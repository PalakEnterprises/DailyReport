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96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<sst xmlns="http://schemas.openxmlformats.org/spreadsheetml/2006/main" count="12" uniqueCount="12">
  <si>
    <t>S.No.</t>
  </si>
  <si>
    <t>Month-Year</t>
  </si>
  <si>
    <t>Total Order Amt</t>
  </si>
  <si>
    <t>Amt to Collect</t>
  </si>
  <si>
    <t>Collected Amt</t>
  </si>
  <si>
    <t>Remaining to Collect</t>
  </si>
  <si>
    <t>Commission PLI + CONO3</t>
  </si>
  <si>
    <t>GST 50%</t>
  </si>
  <si>
    <t>Total Profit</t>
  </si>
  <si>
    <t>Total =&gt;&gt;</t>
  </si>
  <si>
    <t>Dec-2020</t>
  </si>
  <si>
    <t>Jan-2021</t>
  </si>
</sst>
</file>

<file path=xl/styles.xml><?xml version="1.0" encoding="utf-8"?>
<styleSheet xmlns="http://schemas.openxmlformats.org/spreadsheetml/2006/main">
  <numFmts count="4"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8" fillId="9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5" borderId="4" applyNumberFormat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0" fillId="11" borderId="6" applyNumberFormat="0" applyFont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6" fillId="0" borderId="1" applyNumberFormat="0" applyFill="0" applyAlignment="0" applyProtection="0">
      <alignment vertical="center"/>
    </xf>
    <xf numFmtId="0" fontId="5" fillId="0" borderId="8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9" fillId="10" borderId="5" applyNumberFormat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4" fillId="4" borderId="3" applyNumberFormat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3" fillId="0" borderId="2" applyNumberFormat="0" applyFill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0" fontId="0" fillId="2" borderId="0" xfId="0" applyNumberForma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NumberFormat="1" applyFont="1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9"/>
  <sheetViews>
    <sheetView tabSelected="1" workbookViewId="0">
      <pane ySplit="1" topLeftCell="A2" activePane="bottomLeft" state="frozen"/>
      <selection/>
      <selection pane="bottomLeft" activeCell="L16" sqref="L16"/>
    </sheetView>
  </sheetViews>
  <sheetFormatPr defaultColWidth="9.14285714285714" defaultRowHeight="15"/>
  <cols>
    <col min="1" max="1" width="6.28571428571429" style="1" customWidth="1"/>
    <col min="2" max="2" width="12.2857142857143" style="1" customWidth="1"/>
    <col min="3" max="3" width="16.4285714285714" style="1" customWidth="1"/>
    <col min="4" max="5" width="14.7142857142857" style="1" customWidth="1"/>
    <col min="6" max="6" width="21.1428571428571" style="1" customWidth="1"/>
    <col min="7" max="7" width="12.8571428571429" style="1" customWidth="1"/>
    <col min="8" max="8" width="26.2857142857143" style="1" customWidth="1"/>
    <col min="9" max="9" width="8.85714285714286" style="1" customWidth="1"/>
    <col min="10" max="10" width="12.8571428571429" style="2" customWidth="1"/>
    <col min="11" max="16384" width="9.14285714285714" style="1"/>
  </cols>
  <sheetData>
    <row r="1" spans="1:1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>
        <v>0.0155</v>
      </c>
      <c r="H1" s="3" t="s">
        <v>6</v>
      </c>
      <c r="I1" s="3" t="s">
        <v>7</v>
      </c>
      <c r="J1" s="5" t="s">
        <v>8</v>
      </c>
      <c r="K1" s="9"/>
      <c r="L1" s="9"/>
      <c r="M1" s="9"/>
    </row>
    <row r="2" spans="1:13">
      <c r="A2" s="3"/>
      <c r="B2" s="3"/>
      <c r="C2" s="3"/>
      <c r="D2" s="3"/>
      <c r="E2" s="3"/>
      <c r="F2" s="5" t="s">
        <v>9</v>
      </c>
      <c r="G2" s="6">
        <f>SUM(G3:G100)</f>
        <v>136324.777251185</v>
      </c>
      <c r="H2" s="6">
        <f>SUM(H3:H100)</f>
        <v>147871</v>
      </c>
      <c r="I2" s="6">
        <f>SUM(I3:I100)</f>
        <v>89953</v>
      </c>
      <c r="J2" s="6">
        <f>SUM(J3:J100)</f>
        <v>374150</v>
      </c>
      <c r="K2" s="9"/>
      <c r="L2" s="9"/>
      <c r="M2" s="9"/>
    </row>
    <row r="3" spans="1:10">
      <c r="A3" s="1">
        <v>1</v>
      </c>
      <c r="B3" s="7" t="s">
        <v>10</v>
      </c>
      <c r="C3" s="1">
        <v>1353040</v>
      </c>
      <c r="D3" s="1">
        <v>1301000</v>
      </c>
      <c r="E3" s="1">
        <v>1182000</v>
      </c>
      <c r="F3" s="1">
        <f t="shared" ref="F3:F9" si="0">D3-E3</f>
        <v>119000</v>
      </c>
      <c r="G3" s="1">
        <f t="shared" ref="G3:G9" si="1">C3/1.055*0.0155</f>
        <v>19878.7867298578</v>
      </c>
      <c r="H3" s="1">
        <v>0</v>
      </c>
      <c r="I3" s="1">
        <v>0</v>
      </c>
      <c r="J3" s="2">
        <f t="shared" ref="J3:J9" si="2">ROUND(G3+H3+I3,0)</f>
        <v>19879</v>
      </c>
    </row>
    <row r="4" spans="1:10">
      <c r="A4" s="1">
        <v>2</v>
      </c>
      <c r="B4" s="7" t="s">
        <v>11</v>
      </c>
      <c r="C4" s="1">
        <v>1485640</v>
      </c>
      <c r="D4" s="1">
        <v>1547500</v>
      </c>
      <c r="E4" s="1">
        <v>1379300</v>
      </c>
      <c r="F4" s="1">
        <f t="shared" si="0"/>
        <v>168200</v>
      </c>
      <c r="G4" s="1">
        <f t="shared" si="1"/>
        <v>21826.9383886256</v>
      </c>
      <c r="H4" s="1">
        <f>7201+9116</f>
        <v>16317</v>
      </c>
      <c r="I4" s="1">
        <f>14096/2</f>
        <v>7048</v>
      </c>
      <c r="J4" s="2">
        <f t="shared" si="2"/>
        <v>45192</v>
      </c>
    </row>
    <row r="5" spans="1:10">
      <c r="A5" s="1">
        <v>3</v>
      </c>
      <c r="B5" s="8">
        <v>44228</v>
      </c>
      <c r="C5" s="1">
        <v>1263080</v>
      </c>
      <c r="D5" s="1">
        <v>1382700</v>
      </c>
      <c r="E5" s="1">
        <v>1208800</v>
      </c>
      <c r="F5" s="1">
        <f t="shared" si="0"/>
        <v>173900</v>
      </c>
      <c r="G5" s="1">
        <f t="shared" si="1"/>
        <v>18557.0995260664</v>
      </c>
      <c r="H5" s="1">
        <f>12870+8183</f>
        <v>21053</v>
      </c>
      <c r="I5" s="1">
        <f>23743/2</f>
        <v>11871.5</v>
      </c>
      <c r="J5" s="2">
        <f t="shared" si="2"/>
        <v>51482</v>
      </c>
    </row>
    <row r="6" spans="1:10">
      <c r="A6" s="1">
        <v>4</v>
      </c>
      <c r="B6" s="8">
        <v>44256</v>
      </c>
      <c r="C6" s="1">
        <v>1343160</v>
      </c>
      <c r="D6" s="1">
        <v>1465400</v>
      </c>
      <c r="E6" s="1">
        <v>1292800</v>
      </c>
      <c r="F6" s="1">
        <f t="shared" si="0"/>
        <v>172600</v>
      </c>
      <c r="G6" s="1">
        <f t="shared" si="1"/>
        <v>19733.6303317536</v>
      </c>
      <c r="H6" s="1">
        <f>13373+9823</f>
        <v>23196</v>
      </c>
      <c r="I6" s="1">
        <f>36860/2</f>
        <v>18430</v>
      </c>
      <c r="J6" s="2">
        <f t="shared" si="2"/>
        <v>61360</v>
      </c>
    </row>
    <row r="7" spans="1:10">
      <c r="A7" s="1">
        <v>5</v>
      </c>
      <c r="B7" s="8">
        <v>44287</v>
      </c>
      <c r="C7" s="1">
        <v>1415960</v>
      </c>
      <c r="D7" s="1">
        <v>1536600</v>
      </c>
      <c r="E7" s="1">
        <v>1334700</v>
      </c>
      <c r="F7" s="1">
        <f t="shared" si="0"/>
        <v>201900</v>
      </c>
      <c r="G7" s="1">
        <f t="shared" si="1"/>
        <v>20803.2037914692</v>
      </c>
      <c r="H7" s="1">
        <f>16806+11232+58+2585</f>
        <v>30681</v>
      </c>
      <c r="I7" s="1">
        <f>49568/2</f>
        <v>24784</v>
      </c>
      <c r="J7" s="2">
        <f t="shared" si="2"/>
        <v>76268</v>
      </c>
    </row>
    <row r="8" spans="1:10">
      <c r="A8" s="1">
        <v>6</v>
      </c>
      <c r="B8" s="8">
        <v>44317</v>
      </c>
      <c r="C8" s="1">
        <v>1179360</v>
      </c>
      <c r="D8" s="1">
        <v>1335900</v>
      </c>
      <c r="E8" s="1">
        <v>1066000</v>
      </c>
      <c r="F8" s="1">
        <f t="shared" si="0"/>
        <v>269900</v>
      </c>
      <c r="G8" s="1">
        <f t="shared" si="1"/>
        <v>17327.0900473934</v>
      </c>
      <c r="H8" s="1">
        <f>17487+2690+13184</f>
        <v>33361</v>
      </c>
      <c r="I8" s="1">
        <f>55639/2</f>
        <v>27819.5</v>
      </c>
      <c r="J8" s="2">
        <f t="shared" si="2"/>
        <v>78508</v>
      </c>
    </row>
    <row r="9" spans="1:10">
      <c r="A9" s="1">
        <v>7</v>
      </c>
      <c r="B9" s="8">
        <v>44348</v>
      </c>
      <c r="C9" s="1">
        <v>1238640</v>
      </c>
      <c r="D9" s="1">
        <v>1460900</v>
      </c>
      <c r="E9" s="1">
        <v>1242100</v>
      </c>
      <c r="F9" s="1">
        <f t="shared" si="0"/>
        <v>218800</v>
      </c>
      <c r="G9" s="1">
        <f t="shared" si="1"/>
        <v>18198.028436019</v>
      </c>
      <c r="H9" s="1">
        <f>12319+10944</f>
        <v>23263</v>
      </c>
      <c r="J9" s="2">
        <f t="shared" si="2"/>
        <v>41461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Smart1001Ajay</cp:lastModifiedBy>
  <dcterms:created xsi:type="dcterms:W3CDTF">2021-01-01T00:39:00Z</dcterms:created>
  <dcterms:modified xsi:type="dcterms:W3CDTF">2021-07-02T04:15:48Z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1033-11.2.0.10152</vt:lpwstr>
  </property>
</Properties>
</file>