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December 2020" sheetId="1" r:id="rId1"/>
  </sheets>
  <definedNames>
    <definedName name="_xlnm._FilterDatabase" localSheetId="0" hidden="1">'December 2020'!$A$1:$AK$93</definedName>
  </definedNames>
  <calcPr calcId="144525"/>
</workbook>
</file>

<file path=xl/comments1.xml><?xml version="1.0" encoding="utf-8"?>
<comments xmlns="http://schemas.openxmlformats.org/spreadsheetml/2006/main">
  <authors>
    <author>Vijay</author>
  </authors>
  <commentList>
    <comment ref="AC7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2080+2080</t>
        </r>
      </text>
    </comment>
    <comment ref="AH7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2080-Auto
2080-Auto</t>
        </r>
      </text>
    </comment>
    <comment ref="AD19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1040- Auto
2080- Manual</t>
        </r>
      </text>
    </comment>
    <comment ref="AH56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2080-Manual
2080-Auto</t>
        </r>
      </text>
    </comment>
    <comment ref="AC72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3120- Manual
1040-Auto</t>
        </r>
      </text>
    </comment>
    <comment ref="AE72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2080 - Manual
1560 - Manual</t>
        </r>
      </text>
    </comment>
  </commentList>
</comments>
</file>

<file path=xl/sharedStrings.xml><?xml version="1.0" encoding="utf-8"?>
<sst xmlns="http://schemas.openxmlformats.org/spreadsheetml/2006/main" count="178" uniqueCount="119">
  <si>
    <t>S.No.</t>
  </si>
  <si>
    <t>Alias Name</t>
  </si>
  <si>
    <t>Area</t>
  </si>
  <si>
    <t>Retailer Name</t>
  </si>
  <si>
    <t>Amount To be Collect</t>
  </si>
  <si>
    <t>Total</t>
  </si>
  <si>
    <t>Total:</t>
  </si>
  <si>
    <t>AGNOOR</t>
  </si>
  <si>
    <t>S K COMMUNICATION(661475194)</t>
  </si>
  <si>
    <t>SAJNISH KIRANA(661644709)</t>
  </si>
  <si>
    <t>Amit</t>
  </si>
  <si>
    <t>MAHI TELECOM ELECTRONICS(661644706)</t>
  </si>
  <si>
    <t>Ganesh</t>
  </si>
  <si>
    <t>ARVIND AIRTEL EGRECHARGE CENTR(661591709)</t>
  </si>
  <si>
    <t>shakti</t>
  </si>
  <si>
    <t>pawan and ravi telicom(660604868)</t>
  </si>
  <si>
    <t>Satish</t>
  </si>
  <si>
    <t>PRABHAT TELECOM &amp; ELECTRIC(661066820)</t>
  </si>
  <si>
    <t>SINGH TELECOM(661066803)</t>
  </si>
  <si>
    <t>Ankit</t>
  </si>
  <si>
    <t>ANKIT TELECOM(660324751)</t>
  </si>
  <si>
    <t>KALER</t>
  </si>
  <si>
    <t>NAVEEN MOBILE CENTRE(660903120)</t>
  </si>
  <si>
    <t>SANTOSH PUSTAK BHANDAR(661063900)</t>
  </si>
  <si>
    <t>RAJA MOBILE CENTER(661032976)</t>
  </si>
  <si>
    <t>KALLU JI DOWN LOADING CENTRE(661066808)</t>
  </si>
  <si>
    <t>Praduman</t>
  </si>
  <si>
    <t>NAVEEN RECHARGE CENTRE(661474491)</t>
  </si>
  <si>
    <t>Rohit Mobile Care-(662161247)</t>
  </si>
  <si>
    <t>Glaxy Mobile and Digital Studi(660587311)</t>
  </si>
  <si>
    <t>MAHENDIA</t>
  </si>
  <si>
    <t>SINGH COMMUNICATION(660315658)</t>
  </si>
  <si>
    <t>ASHU COMMUNICATION(661025161)</t>
  </si>
  <si>
    <t>ANIL PAN DUKAN(661705269)</t>
  </si>
  <si>
    <t>MAA VINDHWASHNI COMMUNICATION(660301564)</t>
  </si>
  <si>
    <t>MUKESH PAN BHANDAR(661613669)</t>
  </si>
  <si>
    <t>Maa Bhindwashni Mobile Center(660587310)</t>
  </si>
  <si>
    <t>MS RIYA ENTERPRISES(661562283)</t>
  </si>
  <si>
    <t>ANKIT MOBILE CENTRE(661025000)</t>
  </si>
  <si>
    <t>Sahaj Vasudha Kendra(660624994)</t>
  </si>
  <si>
    <t>rangoli singar general store(660604869)</t>
  </si>
  <si>
    <t>SUBODH PAN(661562286)</t>
  </si>
  <si>
    <t>GUPTA PAN DUKAN(661063901)</t>
  </si>
  <si>
    <t>SUMAN PHONE GHAR(660315655)</t>
  </si>
  <si>
    <t>BAJRANG MOBILE ELECTRIC &amp; ELEC(661591707)</t>
  </si>
  <si>
    <t>WALIDAD</t>
  </si>
  <si>
    <t>ALL THE BEST COMMUNICATION(661096390)</t>
  </si>
  <si>
    <t>NOKIA REPAIRING CENTER(660301577)</t>
  </si>
  <si>
    <t>PRINCE COMMUNICATION(660831270)</t>
  </si>
  <si>
    <t>Vicky Communication(660614434)</t>
  </si>
  <si>
    <t>Kaler Electronics(660628532)</t>
  </si>
  <si>
    <t>MS OM COMPUTER(661542289)</t>
  </si>
  <si>
    <t>SANTU KIRANA STORE(661752211)</t>
  </si>
  <si>
    <t>ujjwal pustak bhandar(660849999)</t>
  </si>
  <si>
    <t>PAYAL COMMNICATION(661644712)</t>
  </si>
  <si>
    <t>PRAVEEN ELECTRONICS(660831267)</t>
  </si>
  <si>
    <t>SONU PHONEX(661752239)</t>
  </si>
  <si>
    <t>BHUMIKA ELECTRONICS(660320662)</t>
  </si>
  <si>
    <t>CHANDAN TELECOM(661644693)</t>
  </si>
  <si>
    <t>USRI</t>
  </si>
  <si>
    <t>MEDIA MOBILE GALLERY(660315675)</t>
  </si>
  <si>
    <t>PAWAN PAY PHONE(660297502)</t>
  </si>
  <si>
    <t>KUMAR INTERNET(660322625)</t>
  </si>
  <si>
    <t>PRITI MOBILE CENTRE(660297509)</t>
  </si>
  <si>
    <t>PATEL TELECOM(661644686)</t>
  </si>
  <si>
    <t>KRISH RAJ MOBILE &amp; ELECTRONIC(661032970)</t>
  </si>
  <si>
    <t>UTKARSH ENTERPRISES(661673664)</t>
  </si>
  <si>
    <t>DIVYANKA MOBILE CENTER(660315660)</t>
  </si>
  <si>
    <t>Neha Phonex(660614432)</t>
  </si>
  <si>
    <t>PARASI</t>
  </si>
  <si>
    <t>ANISH MOBILE CENTER(661474493)</t>
  </si>
  <si>
    <t>SINGH ENTERPRISES(660865703)</t>
  </si>
  <si>
    <t>KALER ENTERPRISES(661674410)</t>
  </si>
  <si>
    <t>BADRABAD</t>
  </si>
  <si>
    <t>ANJALI MOBILE RAMPURCHAE(661735620)</t>
  </si>
  <si>
    <t>MAA VINDHYAVASINI MOBILE CENTE(660064218)</t>
  </si>
  <si>
    <t>ITWA</t>
  </si>
  <si>
    <t>chintu electronics(662114680)</t>
  </si>
  <si>
    <t>NIRANJANPUR</t>
  </si>
  <si>
    <t>RAJESH TELECOM(661613671)</t>
  </si>
  <si>
    <t>CHANDA</t>
  </si>
  <si>
    <t>MAA TELECOM(661361714)</t>
  </si>
  <si>
    <t>RAJU TELECOM(661673669)</t>
  </si>
  <si>
    <t>satyam mobile(661811583)</t>
  </si>
  <si>
    <t>ARYANS PRINTER REPAIRING CENTE(662074228)</t>
  </si>
  <si>
    <t>SHASHI PAY PHONE(661176231)</t>
  </si>
  <si>
    <t>SANDEEP TELECOM(661066825)</t>
  </si>
  <si>
    <t>SHRI SAI ELECTRONICS(661673670)</t>
  </si>
  <si>
    <t>RAJESH TELECOM &amp; KIRANA DUKAN(661063895)</t>
  </si>
  <si>
    <t>BELSAR</t>
  </si>
  <si>
    <t>NISHA GENERAL STORE(661644683)</t>
  </si>
  <si>
    <t>PRAKASH GENERAL SRINGAR STORE(661303685)</t>
  </si>
  <si>
    <t>ANAND SRINGAR STORE(660831268)</t>
  </si>
  <si>
    <t>ROHIT SHOE STORE(661670729)</t>
  </si>
  <si>
    <t>Dhewai</t>
  </si>
  <si>
    <t>maa phone ghar(662077151)</t>
  </si>
  <si>
    <t>Payal Communication(660614430)</t>
  </si>
  <si>
    <t>KAMTA</t>
  </si>
  <si>
    <t>GRAMOTHAN SEVA KENDRA(661705272)</t>
  </si>
  <si>
    <t>Rounk Mobile and Electronics(660584652)</t>
  </si>
  <si>
    <t>SANGAM ENTERPRISES(661591706)</t>
  </si>
  <si>
    <t>SHASHANK MOBILE(661969234)</t>
  </si>
  <si>
    <t>SONU PHONE GHAR(660815245)</t>
  </si>
  <si>
    <t>SANGAM GENERAL STORE(661644708)</t>
  </si>
  <si>
    <t>sugam phone bathe(661711006)</t>
  </si>
  <si>
    <t>Arwal</t>
  </si>
  <si>
    <t>RAJ PHONE HIRDYACHAK(661712682)</t>
  </si>
  <si>
    <t>JANTA SEVA KENDRA(661752229)</t>
  </si>
  <si>
    <t>MUSKAN COMMUNICATION(662077126)</t>
  </si>
  <si>
    <t>KRISHNA KIRANA STORE(661613674)</t>
  </si>
  <si>
    <t>SURAJ KIRANA STORE(661735618)</t>
  </si>
  <si>
    <t>SANTOSH MOBILE CENTER(660321089)</t>
  </si>
  <si>
    <t>JANTA MOBILE CENTRE(660322613)</t>
  </si>
  <si>
    <t>PRADEEP GENERAL STORE(661809210)</t>
  </si>
  <si>
    <t>Raj communication(660623659)</t>
  </si>
  <si>
    <t>SHAHAZ VASHUDHA KENDRA(661377147)</t>
  </si>
  <si>
    <t>RAJU PHONE GHAR(661613675)</t>
  </si>
  <si>
    <t>6201704055(662077143)</t>
  </si>
  <si>
    <t>Manish mobile center(662157439)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</si>
</sst>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177" formatCode="[$-409]d\-mmm;@"/>
    <numFmt numFmtId="178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9"/>
      <name val="Times New Roman"/>
      <charset val="0"/>
    </font>
    <font>
      <sz val="9"/>
      <name val="Times New Roman"/>
      <charset val="0"/>
    </font>
  </fonts>
  <fills count="38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E1B88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4" fillId="9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6" borderId="7" applyNumberFormat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10" borderId="3" applyNumberForma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9" fillId="11" borderId="5" applyNumberForma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7" fillId="11" borderId="3" applyNumberForma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177" fontId="0" fillId="2" borderId="0" xfId="0" applyNumberForma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0" xfId="0" applyBorder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6EDCE"/>
      <color rgb="00E1B88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94"/>
  <sheetViews>
    <sheetView tabSelected="1" workbookViewId="0">
      <pane xSplit="6" ySplit="2" topLeftCell="AF38" activePane="bottomRight" state="frozen"/>
      <selection/>
      <selection pane="topRight"/>
      <selection pane="bottomLeft"/>
      <selection pane="bottomRight" activeCell="AL58" sqref="AL58"/>
    </sheetView>
  </sheetViews>
  <sheetFormatPr defaultColWidth="9.14285714285714" defaultRowHeight="15"/>
  <cols>
    <col min="1" max="1" width="5.71428571428571" style="3" customWidth="1"/>
    <col min="2" max="2" width="11.5714285714286" style="3" customWidth="1"/>
    <col min="3" max="3" width="15" style="3" customWidth="1"/>
    <col min="4" max="4" width="51.1428571428571" style="3" customWidth="1"/>
    <col min="5" max="5" width="21.8571428571429" style="4" customWidth="1"/>
    <col min="6" max="6" width="11" style="4" customWidth="1"/>
    <col min="7" max="16384" width="9.14285714285714" style="3"/>
  </cols>
  <sheetData>
    <row r="1" s="1" customFormat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>
        <v>44166</v>
      </c>
      <c r="H1" s="5">
        <v>44167</v>
      </c>
      <c r="I1" s="5">
        <v>44168</v>
      </c>
      <c r="J1" s="5">
        <v>44169</v>
      </c>
      <c r="K1" s="5">
        <v>44170</v>
      </c>
      <c r="L1" s="5">
        <v>44171</v>
      </c>
      <c r="M1" s="5">
        <v>44172</v>
      </c>
      <c r="N1" s="5">
        <v>44173</v>
      </c>
      <c r="O1" s="5">
        <v>44174</v>
      </c>
      <c r="P1" s="5">
        <v>44175</v>
      </c>
      <c r="Q1" s="5">
        <v>44176</v>
      </c>
      <c r="R1" s="5">
        <v>44177</v>
      </c>
      <c r="S1" s="5">
        <v>44178</v>
      </c>
      <c r="T1" s="5">
        <v>44179</v>
      </c>
      <c r="U1" s="5">
        <v>44180</v>
      </c>
      <c r="V1" s="5">
        <v>44181</v>
      </c>
      <c r="W1" s="5">
        <v>44182</v>
      </c>
      <c r="X1" s="5">
        <v>44183</v>
      </c>
      <c r="Y1" s="5">
        <v>44184</v>
      </c>
      <c r="Z1" s="5">
        <v>44185</v>
      </c>
      <c r="AA1" s="5">
        <v>44186</v>
      </c>
      <c r="AB1" s="5">
        <v>44187</v>
      </c>
      <c r="AC1" s="5">
        <v>44188</v>
      </c>
      <c r="AD1" s="5">
        <v>44189</v>
      </c>
      <c r="AE1" s="5">
        <v>44190</v>
      </c>
      <c r="AF1" s="5">
        <v>44191</v>
      </c>
      <c r="AG1" s="5">
        <v>44192</v>
      </c>
      <c r="AH1" s="5">
        <v>44193</v>
      </c>
      <c r="AI1" s="5">
        <v>44194</v>
      </c>
      <c r="AJ1" s="5">
        <v>44195</v>
      </c>
      <c r="AK1" s="5">
        <v>44196</v>
      </c>
    </row>
    <row r="2" s="2" customFormat="1" spans="2:37">
      <c r="B2" s="6">
        <f>SUM(F3:F119)/1.04</f>
        <v>1301000</v>
      </c>
      <c r="C2" s="7">
        <f>SUM(F3:F119)</f>
        <v>1353040</v>
      </c>
      <c r="D2" s="8" t="s">
        <v>6</v>
      </c>
      <c r="E2" s="7">
        <f t="shared" ref="E2:E16" si="0">F2/1.04</f>
        <v>1301000</v>
      </c>
      <c r="F2" s="6">
        <f t="shared" ref="F2:F16" si="1">SUM(G2:AK2)</f>
        <v>1353040</v>
      </c>
      <c r="G2" s="2">
        <f>SUM(G3:G120)</f>
        <v>0</v>
      </c>
      <c r="H2" s="2">
        <f>SUM(H3:H120)</f>
        <v>42640</v>
      </c>
      <c r="I2" s="2">
        <f>SUM(I3:I120)</f>
        <v>29120</v>
      </c>
      <c r="J2" s="2">
        <f t="shared" ref="J2:AK2" si="2">SUM(J3:J120)</f>
        <v>56160</v>
      </c>
      <c r="K2" s="2">
        <f t="shared" si="2"/>
        <v>34320</v>
      </c>
      <c r="L2" s="2">
        <f t="shared" si="2"/>
        <v>74880</v>
      </c>
      <c r="M2" s="2">
        <f t="shared" si="2"/>
        <v>54600</v>
      </c>
      <c r="N2" s="2">
        <f t="shared" si="2"/>
        <v>45760</v>
      </c>
      <c r="O2" s="2">
        <f t="shared" si="2"/>
        <v>38480</v>
      </c>
      <c r="P2" s="2">
        <f t="shared" si="2"/>
        <v>31200</v>
      </c>
      <c r="Q2" s="2">
        <f t="shared" si="2"/>
        <v>38480</v>
      </c>
      <c r="R2" s="2">
        <f t="shared" si="2"/>
        <v>56160</v>
      </c>
      <c r="S2" s="2">
        <f t="shared" si="2"/>
        <v>37440</v>
      </c>
      <c r="T2" s="2">
        <f t="shared" si="2"/>
        <v>36400</v>
      </c>
      <c r="U2" s="2">
        <f t="shared" si="2"/>
        <v>53040</v>
      </c>
      <c r="V2" s="2">
        <f t="shared" si="2"/>
        <v>54080</v>
      </c>
      <c r="W2" s="2">
        <f t="shared" si="2"/>
        <v>57200</v>
      </c>
      <c r="X2" s="2">
        <f t="shared" si="2"/>
        <v>33280</v>
      </c>
      <c r="Y2" s="2">
        <f t="shared" si="2"/>
        <v>30160</v>
      </c>
      <c r="Z2" s="2">
        <f t="shared" si="2"/>
        <v>39520</v>
      </c>
      <c r="AA2" s="2">
        <f t="shared" si="2"/>
        <v>36400</v>
      </c>
      <c r="AB2" s="2">
        <f t="shared" si="2"/>
        <v>39520</v>
      </c>
      <c r="AC2" s="2">
        <f t="shared" si="2"/>
        <v>73840</v>
      </c>
      <c r="AD2" s="2">
        <f t="shared" si="2"/>
        <v>36400</v>
      </c>
      <c r="AE2" s="2">
        <f t="shared" si="2"/>
        <v>43160</v>
      </c>
      <c r="AF2" s="2">
        <f t="shared" si="2"/>
        <v>40560</v>
      </c>
      <c r="AG2" s="2">
        <f t="shared" si="2"/>
        <v>35360</v>
      </c>
      <c r="AH2" s="2">
        <f t="shared" si="2"/>
        <v>63440</v>
      </c>
      <c r="AI2" s="2">
        <f t="shared" si="2"/>
        <v>35360</v>
      </c>
      <c r="AJ2" s="2">
        <f t="shared" si="2"/>
        <v>45760</v>
      </c>
      <c r="AK2" s="2">
        <f t="shared" si="2"/>
        <v>60320</v>
      </c>
    </row>
    <row r="3" s="3" customFormat="1" spans="1:37">
      <c r="A3" s="3">
        <v>1</v>
      </c>
      <c r="C3" s="3" t="s">
        <v>7</v>
      </c>
      <c r="D3" s="4" t="s">
        <v>8</v>
      </c>
      <c r="E3" s="9">
        <f t="shared" si="0"/>
        <v>9000</v>
      </c>
      <c r="F3" s="9">
        <f t="shared" si="1"/>
        <v>9360</v>
      </c>
      <c r="V3" s="3">
        <v>3120</v>
      </c>
      <c r="AB3" s="3">
        <v>3120</v>
      </c>
      <c r="AK3" s="3">
        <v>3120</v>
      </c>
    </row>
    <row r="4" s="3" customFormat="1" spans="1:32">
      <c r="A4" s="3">
        <v>2</v>
      </c>
      <c r="C4" s="3" t="s">
        <v>7</v>
      </c>
      <c r="D4" s="4" t="s">
        <v>9</v>
      </c>
      <c r="E4" s="9">
        <f t="shared" si="0"/>
        <v>6000</v>
      </c>
      <c r="F4" s="9">
        <f t="shared" si="1"/>
        <v>6240</v>
      </c>
      <c r="L4" s="3">
        <v>2080</v>
      </c>
      <c r="Y4" s="12">
        <v>2080</v>
      </c>
      <c r="AF4" s="12">
        <v>2080</v>
      </c>
    </row>
    <row r="5" s="3" customFormat="1" spans="1:36">
      <c r="A5" s="3">
        <v>3</v>
      </c>
      <c r="B5" s="3" t="s">
        <v>10</v>
      </c>
      <c r="C5" s="3" t="s">
        <v>7</v>
      </c>
      <c r="D5" s="4" t="s">
        <v>11</v>
      </c>
      <c r="E5" s="9">
        <f t="shared" si="0"/>
        <v>15000</v>
      </c>
      <c r="F5" s="9">
        <f t="shared" si="1"/>
        <v>15600</v>
      </c>
      <c r="I5" s="3">
        <v>2080</v>
      </c>
      <c r="M5" s="3">
        <v>2080</v>
      </c>
      <c r="P5" s="3">
        <v>2080</v>
      </c>
      <c r="S5" s="3">
        <v>1040</v>
      </c>
      <c r="U5" s="3">
        <v>1040</v>
      </c>
      <c r="V5" s="3">
        <v>1040</v>
      </c>
      <c r="Y5" s="3">
        <v>1040</v>
      </c>
      <c r="AC5" s="3">
        <v>1040</v>
      </c>
      <c r="AD5" s="3">
        <v>1040</v>
      </c>
      <c r="AG5" s="3">
        <v>1040</v>
      </c>
      <c r="AI5" s="3">
        <v>1040</v>
      </c>
      <c r="AJ5" s="3">
        <v>1040</v>
      </c>
    </row>
    <row r="6" s="3" customFormat="1" spans="1:37">
      <c r="A6" s="3">
        <v>4</v>
      </c>
      <c r="B6" s="3" t="s">
        <v>12</v>
      </c>
      <c r="C6" s="3" t="s">
        <v>7</v>
      </c>
      <c r="D6" s="4" t="s">
        <v>13</v>
      </c>
      <c r="E6" s="9">
        <f t="shared" si="0"/>
        <v>29500</v>
      </c>
      <c r="F6" s="9">
        <f t="shared" si="1"/>
        <v>30680</v>
      </c>
      <c r="H6" s="3">
        <v>1560</v>
      </c>
      <c r="I6" s="3">
        <v>2080</v>
      </c>
      <c r="J6" s="3">
        <v>3120</v>
      </c>
      <c r="K6" s="3">
        <v>1040</v>
      </c>
      <c r="L6" s="3">
        <v>2080</v>
      </c>
      <c r="N6" s="3">
        <v>5200</v>
      </c>
      <c r="V6" s="3">
        <v>5200</v>
      </c>
      <c r="AC6" s="3">
        <v>5200</v>
      </c>
      <c r="AK6" s="3">
        <v>5200</v>
      </c>
    </row>
    <row r="7" s="3" customFormat="1" spans="1:37">
      <c r="A7" s="3">
        <v>5</v>
      </c>
      <c r="B7" s="3" t="s">
        <v>14</v>
      </c>
      <c r="C7" s="3" t="s">
        <v>7</v>
      </c>
      <c r="D7" s="4" t="s">
        <v>15</v>
      </c>
      <c r="E7" s="9">
        <f t="shared" si="0"/>
        <v>66000</v>
      </c>
      <c r="F7" s="9">
        <f t="shared" si="1"/>
        <v>68640</v>
      </c>
      <c r="H7" s="3">
        <v>2080</v>
      </c>
      <c r="I7" s="3">
        <v>2080</v>
      </c>
      <c r="J7" s="3">
        <v>5200</v>
      </c>
      <c r="K7" s="3">
        <v>2080</v>
      </c>
      <c r="L7" s="3">
        <v>3120</v>
      </c>
      <c r="M7" s="3">
        <v>5200</v>
      </c>
      <c r="Q7" s="3">
        <v>5200</v>
      </c>
      <c r="S7" s="3">
        <v>5200</v>
      </c>
      <c r="V7" s="3">
        <v>5200</v>
      </c>
      <c r="X7" s="3">
        <v>4160</v>
      </c>
      <c r="Y7" s="3">
        <v>2080</v>
      </c>
      <c r="Z7" s="3">
        <v>2080</v>
      </c>
      <c r="AB7" s="3">
        <v>2080</v>
      </c>
      <c r="AC7" s="3">
        <v>4160</v>
      </c>
      <c r="AD7" s="3">
        <v>2080</v>
      </c>
      <c r="AE7" s="3">
        <v>2080</v>
      </c>
      <c r="AF7" s="3">
        <v>2080</v>
      </c>
      <c r="AG7" s="3">
        <v>2080</v>
      </c>
      <c r="AH7" s="3">
        <v>4160</v>
      </c>
      <c r="AI7" s="3">
        <v>2080</v>
      </c>
      <c r="AJ7" s="3">
        <v>2080</v>
      </c>
      <c r="AK7" s="3">
        <v>2080</v>
      </c>
    </row>
    <row r="8" s="3" customFormat="1" spans="1:36">
      <c r="A8" s="3">
        <v>6</v>
      </c>
      <c r="B8" s="3" t="s">
        <v>16</v>
      </c>
      <c r="C8" s="3" t="s">
        <v>7</v>
      </c>
      <c r="D8" s="4" t="s">
        <v>17</v>
      </c>
      <c r="E8" s="9">
        <f t="shared" si="0"/>
        <v>7000</v>
      </c>
      <c r="F8" s="9">
        <f t="shared" si="1"/>
        <v>7280</v>
      </c>
      <c r="L8" s="3">
        <v>1040</v>
      </c>
      <c r="O8" s="3">
        <v>2080</v>
      </c>
      <c r="X8" s="3">
        <v>2080</v>
      </c>
      <c r="AJ8" s="3">
        <v>2080</v>
      </c>
    </row>
    <row r="9" s="3" customFormat="1" spans="1:33">
      <c r="A9" s="3">
        <v>7</v>
      </c>
      <c r="C9" s="3" t="s">
        <v>7</v>
      </c>
      <c r="D9" s="4" t="s">
        <v>18</v>
      </c>
      <c r="E9" s="9">
        <f t="shared" si="0"/>
        <v>8000</v>
      </c>
      <c r="F9" s="9">
        <f t="shared" si="1"/>
        <v>8320</v>
      </c>
      <c r="I9" s="3">
        <v>2080</v>
      </c>
      <c r="L9" s="3">
        <v>2080</v>
      </c>
      <c r="U9" s="3">
        <v>2080</v>
      </c>
      <c r="AG9" s="3">
        <v>2080</v>
      </c>
    </row>
    <row r="10" s="3" customFormat="1" spans="1:36">
      <c r="A10" s="3">
        <v>8</v>
      </c>
      <c r="B10" s="3" t="s">
        <v>19</v>
      </c>
      <c r="C10" s="3" t="s">
        <v>7</v>
      </c>
      <c r="D10" s="4" t="s">
        <v>20</v>
      </c>
      <c r="E10" s="9">
        <f t="shared" si="0"/>
        <v>45000</v>
      </c>
      <c r="F10" s="9">
        <f t="shared" si="1"/>
        <v>46800</v>
      </c>
      <c r="H10" s="3">
        <v>2080</v>
      </c>
      <c r="I10" s="3">
        <v>1040</v>
      </c>
      <c r="J10" s="3">
        <v>3120</v>
      </c>
      <c r="K10" s="3">
        <v>1040</v>
      </c>
      <c r="L10" s="3">
        <v>3120</v>
      </c>
      <c r="N10" s="3">
        <v>5200</v>
      </c>
      <c r="Q10" s="3">
        <v>5200</v>
      </c>
      <c r="V10" s="3">
        <v>5200</v>
      </c>
      <c r="Z10" s="3">
        <v>5200</v>
      </c>
      <c r="AC10" s="3">
        <v>5200</v>
      </c>
      <c r="AG10" s="3">
        <v>5200</v>
      </c>
      <c r="AJ10" s="3">
        <v>5200</v>
      </c>
    </row>
    <row r="11" s="3" customFormat="1" spans="1:37">
      <c r="A11" s="3">
        <v>9</v>
      </c>
      <c r="C11" s="3" t="s">
        <v>21</v>
      </c>
      <c r="D11" s="4" t="s">
        <v>22</v>
      </c>
      <c r="E11" s="9">
        <f t="shared" si="0"/>
        <v>15000</v>
      </c>
      <c r="F11" s="9">
        <f t="shared" si="1"/>
        <v>15600</v>
      </c>
      <c r="H11" s="3">
        <v>2080</v>
      </c>
      <c r="J11" s="3">
        <v>1040</v>
      </c>
      <c r="K11" s="3">
        <v>1040</v>
      </c>
      <c r="L11" s="3">
        <v>2080</v>
      </c>
      <c r="N11" s="3">
        <v>3120</v>
      </c>
      <c r="V11" s="3">
        <v>2080</v>
      </c>
      <c r="AB11" s="3">
        <v>2080</v>
      </c>
      <c r="AK11" s="3">
        <v>2080</v>
      </c>
    </row>
    <row r="12" s="3" customFormat="1" spans="1:35">
      <c r="A12" s="3">
        <v>10</v>
      </c>
      <c r="C12" s="3" t="s">
        <v>21</v>
      </c>
      <c r="D12" s="4" t="s">
        <v>23</v>
      </c>
      <c r="E12" s="9">
        <f t="shared" si="0"/>
        <v>7000</v>
      </c>
      <c r="F12" s="9">
        <f t="shared" si="1"/>
        <v>7280</v>
      </c>
      <c r="H12" s="3">
        <v>1040</v>
      </c>
      <c r="M12" s="3">
        <v>1040</v>
      </c>
      <c r="O12" s="3">
        <v>1040</v>
      </c>
      <c r="W12" s="12">
        <v>1040</v>
      </c>
      <c r="AC12" s="12">
        <v>1040</v>
      </c>
      <c r="AF12" s="3">
        <v>1040</v>
      </c>
      <c r="AI12" s="3">
        <v>1040</v>
      </c>
    </row>
    <row r="13" s="3" customFormat="1" spans="1:35">
      <c r="A13" s="3">
        <v>11</v>
      </c>
      <c r="C13" s="3" t="s">
        <v>21</v>
      </c>
      <c r="D13" s="4" t="s">
        <v>24</v>
      </c>
      <c r="E13" s="9">
        <f t="shared" si="0"/>
        <v>33000</v>
      </c>
      <c r="F13" s="9">
        <f t="shared" si="1"/>
        <v>34320</v>
      </c>
      <c r="H13" s="3">
        <v>2080</v>
      </c>
      <c r="J13" s="3">
        <v>2080</v>
      </c>
      <c r="K13" s="3">
        <v>1040</v>
      </c>
      <c r="L13" s="3">
        <v>3120</v>
      </c>
      <c r="N13" s="3">
        <v>5200</v>
      </c>
      <c r="R13" s="3">
        <v>5200</v>
      </c>
      <c r="W13" s="3">
        <v>5200</v>
      </c>
      <c r="AD13" s="3">
        <v>5200</v>
      </c>
      <c r="AI13" s="3">
        <v>5200</v>
      </c>
    </row>
    <row r="14" s="3" customFormat="1" spans="1:37">
      <c r="A14" s="3">
        <v>12</v>
      </c>
      <c r="C14" s="3" t="s">
        <v>21</v>
      </c>
      <c r="D14" s="4" t="s">
        <v>25</v>
      </c>
      <c r="E14" s="9">
        <f t="shared" si="0"/>
        <v>54000</v>
      </c>
      <c r="F14" s="9">
        <f t="shared" si="1"/>
        <v>56160</v>
      </c>
      <c r="H14" s="3">
        <v>2080</v>
      </c>
      <c r="J14" s="3">
        <v>2080</v>
      </c>
      <c r="K14" s="3">
        <v>3120</v>
      </c>
      <c r="L14" s="3">
        <v>2080</v>
      </c>
      <c r="M14" s="3">
        <v>5200</v>
      </c>
      <c r="O14" s="3">
        <v>5200</v>
      </c>
      <c r="R14" s="3">
        <v>5200</v>
      </c>
      <c r="T14" s="3">
        <v>5200</v>
      </c>
      <c r="X14" s="3">
        <v>5200</v>
      </c>
      <c r="AA14" s="3">
        <v>5200</v>
      </c>
      <c r="AE14" s="3">
        <v>5200</v>
      </c>
      <c r="AH14" s="3">
        <v>5200</v>
      </c>
      <c r="AK14" s="3">
        <v>5200</v>
      </c>
    </row>
    <row r="15" s="3" customFormat="1" spans="1:36">
      <c r="A15" s="3">
        <v>13</v>
      </c>
      <c r="B15" s="3" t="s">
        <v>26</v>
      </c>
      <c r="C15" s="3" t="s">
        <v>21</v>
      </c>
      <c r="D15" s="4" t="s">
        <v>27</v>
      </c>
      <c r="E15" s="9">
        <f t="shared" si="0"/>
        <v>10000</v>
      </c>
      <c r="F15" s="9">
        <f t="shared" si="1"/>
        <v>10400</v>
      </c>
      <c r="T15" s="3">
        <v>2080</v>
      </c>
      <c r="V15" s="3">
        <v>2080</v>
      </c>
      <c r="AB15" s="3">
        <v>2080</v>
      </c>
      <c r="AH15" s="3">
        <v>2080</v>
      </c>
      <c r="AJ15" s="3">
        <v>2080</v>
      </c>
    </row>
    <row r="16" spans="1:33">
      <c r="A16" s="3">
        <v>14</v>
      </c>
      <c r="C16" s="4" t="s">
        <v>21</v>
      </c>
      <c r="D16" s="4" t="s">
        <v>28</v>
      </c>
      <c r="E16" s="9">
        <f t="shared" si="0"/>
        <v>3000</v>
      </c>
      <c r="F16" s="9">
        <f t="shared" si="1"/>
        <v>3120</v>
      </c>
      <c r="AG16" s="12">
        <v>3120</v>
      </c>
    </row>
    <row r="17" s="3" customFormat="1" spans="1:34">
      <c r="A17" s="3">
        <v>15</v>
      </c>
      <c r="C17" s="3" t="s">
        <v>21</v>
      </c>
      <c r="D17" s="4" t="s">
        <v>29</v>
      </c>
      <c r="E17" s="9">
        <f t="shared" ref="E17:E35" si="3">F17/1.04</f>
        <v>18000</v>
      </c>
      <c r="F17" s="9">
        <f t="shared" ref="F17:F35" si="4">SUM(G17:AK17)</f>
        <v>18720</v>
      </c>
      <c r="M17" s="3">
        <v>2080</v>
      </c>
      <c r="P17" s="3">
        <v>1040</v>
      </c>
      <c r="Q17" s="3">
        <v>3120</v>
      </c>
      <c r="T17" s="3">
        <v>3120</v>
      </c>
      <c r="X17" s="3">
        <v>3120</v>
      </c>
      <c r="AD17" s="3">
        <v>3120</v>
      </c>
      <c r="AH17" s="3">
        <v>3120</v>
      </c>
    </row>
    <row r="18" s="3" customFormat="1" spans="1:37">
      <c r="A18" s="3">
        <v>16</v>
      </c>
      <c r="C18" s="3" t="s">
        <v>30</v>
      </c>
      <c r="D18" s="4" t="s">
        <v>31</v>
      </c>
      <c r="E18" s="9">
        <f t="shared" si="3"/>
        <v>34000</v>
      </c>
      <c r="F18" s="9">
        <f t="shared" si="4"/>
        <v>35360</v>
      </c>
      <c r="H18" s="3">
        <v>3120</v>
      </c>
      <c r="K18" s="3">
        <v>3120</v>
      </c>
      <c r="L18" s="3">
        <v>3120</v>
      </c>
      <c r="M18" s="3">
        <v>5200</v>
      </c>
      <c r="R18" s="3">
        <v>5200</v>
      </c>
      <c r="Y18" s="3">
        <v>5200</v>
      </c>
      <c r="AH18" s="3">
        <v>5200</v>
      </c>
      <c r="AK18" s="3">
        <v>5200</v>
      </c>
    </row>
    <row r="19" s="3" customFormat="1" spans="1:34">
      <c r="A19" s="3">
        <v>17</v>
      </c>
      <c r="C19" s="3" t="s">
        <v>30</v>
      </c>
      <c r="D19" s="4" t="s">
        <v>32</v>
      </c>
      <c r="E19" s="9">
        <f t="shared" si="3"/>
        <v>9000</v>
      </c>
      <c r="F19" s="9">
        <f t="shared" si="4"/>
        <v>9360</v>
      </c>
      <c r="R19" s="3">
        <v>1040</v>
      </c>
      <c r="W19" s="3">
        <v>1040</v>
      </c>
      <c r="Y19" s="3">
        <v>1040</v>
      </c>
      <c r="AB19" s="3">
        <v>1040</v>
      </c>
      <c r="AD19" s="12">
        <v>3120</v>
      </c>
      <c r="AH19" s="3">
        <v>2080</v>
      </c>
    </row>
    <row r="20" s="3" customFormat="1" spans="1:30">
      <c r="A20" s="3">
        <v>18</v>
      </c>
      <c r="C20" s="3" t="s">
        <v>30</v>
      </c>
      <c r="D20" s="4" t="s">
        <v>33</v>
      </c>
      <c r="E20" s="9">
        <f t="shared" si="3"/>
        <v>12000</v>
      </c>
      <c r="F20" s="9">
        <f t="shared" si="4"/>
        <v>12480</v>
      </c>
      <c r="J20" s="3">
        <v>1040</v>
      </c>
      <c r="K20" s="3">
        <v>1040</v>
      </c>
      <c r="L20" s="3">
        <v>1040</v>
      </c>
      <c r="P20" s="3">
        <v>3120</v>
      </c>
      <c r="U20" s="3">
        <v>3120</v>
      </c>
      <c r="AD20" s="3">
        <v>3120</v>
      </c>
    </row>
    <row r="21" s="3" customFormat="1" spans="1:36">
      <c r="A21" s="3">
        <v>19</v>
      </c>
      <c r="C21" s="3" t="s">
        <v>30</v>
      </c>
      <c r="D21" s="4" t="s">
        <v>34</v>
      </c>
      <c r="E21" s="9">
        <f t="shared" si="3"/>
        <v>27000</v>
      </c>
      <c r="F21" s="9">
        <f t="shared" si="4"/>
        <v>28080</v>
      </c>
      <c r="O21" s="3">
        <v>2080</v>
      </c>
      <c r="R21" s="3">
        <v>5200</v>
      </c>
      <c r="S21" s="3">
        <v>5200</v>
      </c>
      <c r="W21" s="3">
        <v>5200</v>
      </c>
      <c r="AD21" s="3">
        <v>5200</v>
      </c>
      <c r="AJ21" s="3">
        <v>5200</v>
      </c>
    </row>
    <row r="22" s="3" customFormat="1" spans="1:36">
      <c r="A22" s="3">
        <v>20</v>
      </c>
      <c r="C22" s="3" t="s">
        <v>30</v>
      </c>
      <c r="D22" s="4" t="s">
        <v>35</v>
      </c>
      <c r="E22" s="9">
        <f t="shared" si="3"/>
        <v>9000</v>
      </c>
      <c r="F22" s="9">
        <f t="shared" si="4"/>
        <v>9360</v>
      </c>
      <c r="J22" s="3">
        <v>2080</v>
      </c>
      <c r="O22" s="3">
        <v>1040</v>
      </c>
      <c r="R22" s="3">
        <v>1040</v>
      </c>
      <c r="S22" s="3">
        <v>1040</v>
      </c>
      <c r="W22" s="3">
        <v>1040</v>
      </c>
      <c r="AB22" s="3">
        <v>1040</v>
      </c>
      <c r="AI22" s="3">
        <v>1040</v>
      </c>
      <c r="AJ22" s="3">
        <v>1040</v>
      </c>
    </row>
    <row r="23" s="3" customFormat="1" spans="1:36">
      <c r="A23" s="3">
        <v>21</v>
      </c>
      <c r="C23" s="3" t="s">
        <v>30</v>
      </c>
      <c r="D23" s="4" t="s">
        <v>36</v>
      </c>
      <c r="E23" s="9">
        <f t="shared" si="3"/>
        <v>21000</v>
      </c>
      <c r="F23" s="9">
        <f t="shared" si="4"/>
        <v>21840</v>
      </c>
      <c r="I23" s="3">
        <v>3120</v>
      </c>
      <c r="O23" s="3">
        <v>3120</v>
      </c>
      <c r="S23" s="3">
        <v>3120</v>
      </c>
      <c r="W23" s="3">
        <v>3120</v>
      </c>
      <c r="AC23" s="3">
        <v>3120</v>
      </c>
      <c r="AE23" s="3">
        <v>3120</v>
      </c>
      <c r="AJ23" s="3">
        <v>3120</v>
      </c>
    </row>
    <row r="24" s="3" customFormat="1" spans="1:37">
      <c r="A24" s="3">
        <v>22</v>
      </c>
      <c r="C24" s="3" t="s">
        <v>30</v>
      </c>
      <c r="D24" s="4" t="s">
        <v>37</v>
      </c>
      <c r="E24" s="9">
        <f t="shared" si="3"/>
        <v>27000</v>
      </c>
      <c r="F24" s="9">
        <f t="shared" si="4"/>
        <v>28080</v>
      </c>
      <c r="T24" s="12">
        <v>2080</v>
      </c>
      <c r="U24" s="3">
        <v>5200</v>
      </c>
      <c r="W24" s="3">
        <v>5200</v>
      </c>
      <c r="AB24" s="3">
        <v>5200</v>
      </c>
      <c r="AF24" s="3">
        <v>5200</v>
      </c>
      <c r="AK24" s="3">
        <v>5200</v>
      </c>
    </row>
    <row r="25" s="3" customFormat="1" spans="1:37">
      <c r="A25" s="3">
        <v>23</v>
      </c>
      <c r="C25" s="3" t="s">
        <v>30</v>
      </c>
      <c r="D25" s="4" t="s">
        <v>38</v>
      </c>
      <c r="E25" s="9">
        <f t="shared" si="3"/>
        <v>27000</v>
      </c>
      <c r="F25" s="9">
        <f t="shared" si="4"/>
        <v>28080</v>
      </c>
      <c r="H25" s="3">
        <v>3120</v>
      </c>
      <c r="M25" s="3">
        <v>6240</v>
      </c>
      <c r="U25" s="3">
        <v>3120</v>
      </c>
      <c r="V25" s="3">
        <v>3120</v>
      </c>
      <c r="Z25" s="3">
        <v>3120</v>
      </c>
      <c r="AC25" s="3">
        <v>3120</v>
      </c>
      <c r="AH25" s="3">
        <v>3120</v>
      </c>
      <c r="AK25" s="3">
        <v>3120</v>
      </c>
    </row>
    <row r="26" s="3" customFormat="1" spans="1:35">
      <c r="A26" s="3">
        <v>24</v>
      </c>
      <c r="C26" s="3" t="s">
        <v>30</v>
      </c>
      <c r="D26" s="4" t="s">
        <v>39</v>
      </c>
      <c r="E26" s="9">
        <f t="shared" si="3"/>
        <v>13000</v>
      </c>
      <c r="F26" s="9">
        <f t="shared" si="4"/>
        <v>13520</v>
      </c>
      <c r="H26" s="3">
        <v>1040</v>
      </c>
      <c r="I26" s="3">
        <v>1040</v>
      </c>
      <c r="L26" s="3">
        <v>2080</v>
      </c>
      <c r="S26" s="12">
        <v>1040</v>
      </c>
      <c r="U26" s="3">
        <v>2080</v>
      </c>
      <c r="V26" s="3">
        <v>2080</v>
      </c>
      <c r="AA26" s="3">
        <v>2080</v>
      </c>
      <c r="AI26" s="3">
        <v>2080</v>
      </c>
    </row>
    <row r="27" s="3" customFormat="1" spans="1:35">
      <c r="A27" s="3">
        <v>25</v>
      </c>
      <c r="C27" s="3" t="s">
        <v>30</v>
      </c>
      <c r="D27" s="4" t="s">
        <v>40</v>
      </c>
      <c r="E27" s="9">
        <f t="shared" si="3"/>
        <v>7000</v>
      </c>
      <c r="F27" s="9">
        <f t="shared" si="4"/>
        <v>7280</v>
      </c>
      <c r="L27" s="3">
        <v>1040</v>
      </c>
      <c r="U27" s="3">
        <v>2080</v>
      </c>
      <c r="AB27" s="3">
        <v>2080</v>
      </c>
      <c r="AI27" s="3">
        <v>2080</v>
      </c>
    </row>
    <row r="28" s="3" customFormat="1" spans="1:34">
      <c r="A28" s="3">
        <v>26</v>
      </c>
      <c r="C28" s="3" t="s">
        <v>30</v>
      </c>
      <c r="D28" s="4" t="s">
        <v>41</v>
      </c>
      <c r="E28" s="9">
        <f t="shared" si="3"/>
        <v>10000</v>
      </c>
      <c r="F28" s="9">
        <f t="shared" si="4"/>
        <v>10400</v>
      </c>
      <c r="J28" s="3">
        <v>1040</v>
      </c>
      <c r="M28" s="3">
        <v>2080</v>
      </c>
      <c r="Q28" s="3">
        <v>1040</v>
      </c>
      <c r="R28" s="3">
        <v>2080</v>
      </c>
      <c r="V28" s="3">
        <v>2080</v>
      </c>
      <c r="AH28" s="3">
        <v>2080</v>
      </c>
    </row>
    <row r="29" s="3" customFormat="1" spans="1:37">
      <c r="A29" s="3">
        <v>27</v>
      </c>
      <c r="C29" s="3" t="s">
        <v>30</v>
      </c>
      <c r="D29" s="4" t="s">
        <v>42</v>
      </c>
      <c r="E29" s="9">
        <f t="shared" si="3"/>
        <v>27000</v>
      </c>
      <c r="F29" s="9">
        <f t="shared" si="4"/>
        <v>28080</v>
      </c>
      <c r="H29" s="3">
        <v>2080</v>
      </c>
      <c r="J29" s="3">
        <v>2080</v>
      </c>
      <c r="L29" s="3">
        <v>3120</v>
      </c>
      <c r="P29" s="3">
        <v>5200</v>
      </c>
      <c r="V29" s="3">
        <v>5200</v>
      </c>
      <c r="AE29" s="3">
        <v>5200</v>
      </c>
      <c r="AK29" s="3">
        <v>5200</v>
      </c>
    </row>
    <row r="30" s="3" customFormat="1" spans="1:36">
      <c r="A30" s="3">
        <v>28</v>
      </c>
      <c r="C30" s="3" t="s">
        <v>30</v>
      </c>
      <c r="D30" s="4" t="s">
        <v>43</v>
      </c>
      <c r="E30" s="9">
        <f t="shared" si="3"/>
        <v>59000</v>
      </c>
      <c r="F30" s="9">
        <f t="shared" si="4"/>
        <v>61360</v>
      </c>
      <c r="I30" s="3">
        <v>2080</v>
      </c>
      <c r="J30" s="3">
        <v>5200</v>
      </c>
      <c r="K30" s="3">
        <v>2080</v>
      </c>
      <c r="L30" s="3">
        <v>5200</v>
      </c>
      <c r="N30" s="3">
        <v>5200</v>
      </c>
      <c r="P30" s="3">
        <v>5200</v>
      </c>
      <c r="R30" s="3">
        <v>5200</v>
      </c>
      <c r="U30" s="3">
        <v>5200</v>
      </c>
      <c r="W30" s="3">
        <v>5200</v>
      </c>
      <c r="Z30" s="3">
        <v>5200</v>
      </c>
      <c r="AC30" s="3">
        <v>5200</v>
      </c>
      <c r="AF30" s="3">
        <v>5200</v>
      </c>
      <c r="AJ30" s="3">
        <v>5200</v>
      </c>
    </row>
    <row r="31" s="3" customFormat="1" spans="1:33">
      <c r="A31" s="3">
        <v>29</v>
      </c>
      <c r="C31" s="3" t="s">
        <v>30</v>
      </c>
      <c r="D31" s="4" t="s">
        <v>44</v>
      </c>
      <c r="E31" s="9">
        <f t="shared" si="3"/>
        <v>14000</v>
      </c>
      <c r="F31" s="9">
        <f t="shared" si="4"/>
        <v>14560</v>
      </c>
      <c r="H31" s="3">
        <v>1040</v>
      </c>
      <c r="K31" s="3">
        <v>1040</v>
      </c>
      <c r="M31" s="3">
        <v>2080</v>
      </c>
      <c r="S31" s="3">
        <v>2080</v>
      </c>
      <c r="U31" s="3">
        <v>2080</v>
      </c>
      <c r="X31" s="3">
        <v>2080</v>
      </c>
      <c r="AC31" s="3">
        <v>2080</v>
      </c>
      <c r="AG31" s="3">
        <v>2080</v>
      </c>
    </row>
    <row r="32" s="3" customFormat="1" spans="1:31">
      <c r="A32" s="3">
        <v>30</v>
      </c>
      <c r="C32" s="3" t="s">
        <v>45</v>
      </c>
      <c r="D32" s="4" t="s">
        <v>46</v>
      </c>
      <c r="E32" s="9">
        <f t="shared" si="3"/>
        <v>12000</v>
      </c>
      <c r="F32" s="9">
        <f t="shared" si="4"/>
        <v>12480</v>
      </c>
      <c r="I32" s="3">
        <v>2080</v>
      </c>
      <c r="K32" s="3">
        <v>1040</v>
      </c>
      <c r="N32" s="3">
        <v>3120</v>
      </c>
      <c r="X32" s="3">
        <v>3120</v>
      </c>
      <c r="AE32" s="3">
        <v>3120</v>
      </c>
    </row>
    <row r="33" s="3" customFormat="1" spans="1:36">
      <c r="A33" s="3">
        <v>31</v>
      </c>
      <c r="C33" s="3" t="s">
        <v>45</v>
      </c>
      <c r="D33" s="4" t="s">
        <v>47</v>
      </c>
      <c r="E33" s="9">
        <f t="shared" si="3"/>
        <v>7000</v>
      </c>
      <c r="F33" s="9">
        <f t="shared" si="4"/>
        <v>7280</v>
      </c>
      <c r="I33" s="3">
        <v>1040</v>
      </c>
      <c r="M33" s="3">
        <v>1040</v>
      </c>
      <c r="O33" s="3">
        <v>1040</v>
      </c>
      <c r="U33" s="3">
        <v>1040</v>
      </c>
      <c r="W33" s="3">
        <v>1040</v>
      </c>
      <c r="AE33" s="3">
        <v>1040</v>
      </c>
      <c r="AJ33" s="3">
        <v>1040</v>
      </c>
    </row>
    <row r="34" s="3" customFormat="1" spans="1:31">
      <c r="A34" s="3">
        <v>32</v>
      </c>
      <c r="C34" s="3" t="s">
        <v>45</v>
      </c>
      <c r="D34" s="4" t="s">
        <v>48</v>
      </c>
      <c r="E34" s="9">
        <f t="shared" si="3"/>
        <v>5000</v>
      </c>
      <c r="F34" s="9">
        <f t="shared" si="4"/>
        <v>5200</v>
      </c>
      <c r="I34" s="3">
        <v>1040</v>
      </c>
      <c r="L34" s="3">
        <v>2080</v>
      </c>
      <c r="AE34" s="3">
        <v>2080</v>
      </c>
    </row>
    <row r="35" s="3" customFormat="1" spans="1:37">
      <c r="A35" s="3">
        <v>33</v>
      </c>
      <c r="C35" s="3" t="s">
        <v>45</v>
      </c>
      <c r="D35" s="4" t="s">
        <v>49</v>
      </c>
      <c r="E35" s="9">
        <f t="shared" si="3"/>
        <v>33000</v>
      </c>
      <c r="F35" s="9">
        <f t="shared" si="4"/>
        <v>34320</v>
      </c>
      <c r="I35" s="3">
        <v>2080</v>
      </c>
      <c r="J35" s="3">
        <v>1040</v>
      </c>
      <c r="K35" s="3">
        <v>1040</v>
      </c>
      <c r="L35" s="3">
        <v>2080</v>
      </c>
      <c r="N35" s="3">
        <v>3120</v>
      </c>
      <c r="Q35" s="3">
        <v>3120</v>
      </c>
      <c r="T35" s="3">
        <v>3120</v>
      </c>
      <c r="W35" s="3">
        <v>3120</v>
      </c>
      <c r="AB35" s="3">
        <v>3120</v>
      </c>
      <c r="AE35" s="3">
        <v>3120</v>
      </c>
      <c r="AG35" s="3">
        <v>3120</v>
      </c>
      <c r="AI35" s="3">
        <v>3120</v>
      </c>
      <c r="AK35" s="3">
        <v>3120</v>
      </c>
    </row>
    <row r="36" s="3" customFormat="1" spans="1:29">
      <c r="A36" s="3">
        <v>34</v>
      </c>
      <c r="C36" s="3" t="s">
        <v>45</v>
      </c>
      <c r="D36" s="4" t="s">
        <v>50</v>
      </c>
      <c r="E36" s="9">
        <f t="shared" ref="E36:E73" si="5">F36/1.04</f>
        <v>4000</v>
      </c>
      <c r="F36" s="9">
        <f t="shared" ref="F36:F73" si="6">SUM(G36:AK36)</f>
        <v>4160</v>
      </c>
      <c r="V36" s="12">
        <v>2080</v>
      </c>
      <c r="AC36" s="12">
        <v>2080</v>
      </c>
    </row>
    <row r="37" s="3" customFormat="1" spans="1:36">
      <c r="A37" s="3">
        <v>35</v>
      </c>
      <c r="C37" s="3" t="s">
        <v>45</v>
      </c>
      <c r="D37" s="4" t="s">
        <v>51</v>
      </c>
      <c r="E37" s="9">
        <f t="shared" si="5"/>
        <v>24000</v>
      </c>
      <c r="F37" s="9">
        <f t="shared" si="6"/>
        <v>24960</v>
      </c>
      <c r="H37" s="3">
        <v>3120</v>
      </c>
      <c r="J37" s="3">
        <v>1040</v>
      </c>
      <c r="L37" s="3">
        <v>2080</v>
      </c>
      <c r="O37" s="3">
        <v>3120</v>
      </c>
      <c r="S37" s="3">
        <v>3120</v>
      </c>
      <c r="W37" s="3">
        <v>3120</v>
      </c>
      <c r="AA37" s="3">
        <v>3120</v>
      </c>
      <c r="AF37" s="3">
        <v>3120</v>
      </c>
      <c r="AJ37" s="3">
        <v>3120</v>
      </c>
    </row>
    <row r="38" s="3" customFormat="1" spans="1:35">
      <c r="A38" s="3">
        <v>36</v>
      </c>
      <c r="C38" s="3" t="s">
        <v>45</v>
      </c>
      <c r="D38" s="4" t="s">
        <v>52</v>
      </c>
      <c r="E38" s="9">
        <f t="shared" si="5"/>
        <v>9000</v>
      </c>
      <c r="F38" s="9">
        <f t="shared" si="6"/>
        <v>9360</v>
      </c>
      <c r="K38" s="3">
        <v>2080</v>
      </c>
      <c r="U38" s="12">
        <v>2080</v>
      </c>
      <c r="AA38" s="12">
        <v>2080</v>
      </c>
      <c r="AI38" s="12">
        <v>3120</v>
      </c>
    </row>
    <row r="39" s="3" customFormat="1" spans="1:32">
      <c r="A39" s="3">
        <v>37</v>
      </c>
      <c r="C39" s="3" t="s">
        <v>45</v>
      </c>
      <c r="D39" s="4" t="s">
        <v>53</v>
      </c>
      <c r="E39" s="9">
        <f t="shared" si="5"/>
        <v>12000</v>
      </c>
      <c r="F39" s="9">
        <f t="shared" si="6"/>
        <v>12480</v>
      </c>
      <c r="M39" s="3">
        <v>2080</v>
      </c>
      <c r="N39" s="3">
        <v>2080</v>
      </c>
      <c r="Q39" s="3">
        <v>2080</v>
      </c>
      <c r="V39" s="3">
        <v>2080</v>
      </c>
      <c r="AA39" s="3">
        <v>2080</v>
      </c>
      <c r="AF39" s="3">
        <v>2080</v>
      </c>
    </row>
    <row r="40" s="3" customFormat="1" spans="1:34">
      <c r="A40" s="3">
        <v>38</v>
      </c>
      <c r="C40" s="3" t="s">
        <v>45</v>
      </c>
      <c r="D40" s="4" t="s">
        <v>54</v>
      </c>
      <c r="E40" s="9">
        <f t="shared" si="5"/>
        <v>11000</v>
      </c>
      <c r="F40" s="9">
        <f t="shared" si="6"/>
        <v>11440</v>
      </c>
      <c r="H40" s="3">
        <v>2080</v>
      </c>
      <c r="K40" s="3">
        <v>1040</v>
      </c>
      <c r="N40" s="3">
        <v>2080</v>
      </c>
      <c r="S40" s="3">
        <v>2080</v>
      </c>
      <c r="Z40" s="3">
        <v>2080</v>
      </c>
      <c r="AH40" s="3">
        <v>2080</v>
      </c>
    </row>
    <row r="41" s="3" customFormat="1" spans="1:36">
      <c r="A41" s="3">
        <v>39</v>
      </c>
      <c r="C41" s="3" t="s">
        <v>45</v>
      </c>
      <c r="D41" s="4" t="s">
        <v>55</v>
      </c>
      <c r="E41" s="9">
        <f t="shared" si="5"/>
        <v>39000</v>
      </c>
      <c r="F41" s="9">
        <f t="shared" si="6"/>
        <v>40560</v>
      </c>
      <c r="I41" s="3">
        <v>2080</v>
      </c>
      <c r="J41" s="3">
        <v>2080</v>
      </c>
      <c r="K41" s="3">
        <v>1040</v>
      </c>
      <c r="L41" s="3">
        <v>1040</v>
      </c>
      <c r="M41" s="3">
        <v>3120</v>
      </c>
      <c r="O41" s="3">
        <v>3120</v>
      </c>
      <c r="Q41" s="3">
        <v>3120</v>
      </c>
      <c r="T41" s="3">
        <v>3120</v>
      </c>
      <c r="V41" s="3">
        <v>3120</v>
      </c>
      <c r="X41" s="3">
        <v>3120</v>
      </c>
      <c r="Z41" s="3">
        <v>3120</v>
      </c>
      <c r="AC41" s="3">
        <v>3120</v>
      </c>
      <c r="AE41" s="3">
        <v>3120</v>
      </c>
      <c r="AH41" s="3">
        <v>3120</v>
      </c>
      <c r="AJ41" s="3">
        <v>3120</v>
      </c>
    </row>
    <row r="42" s="3" customFormat="1" spans="1:26">
      <c r="A42" s="3">
        <v>40</v>
      </c>
      <c r="C42" s="3" t="s">
        <v>45</v>
      </c>
      <c r="D42" s="4" t="s">
        <v>56</v>
      </c>
      <c r="E42" s="9">
        <f t="shared" si="5"/>
        <v>5000</v>
      </c>
      <c r="F42" s="9">
        <f t="shared" si="6"/>
        <v>5200</v>
      </c>
      <c r="L42" s="3">
        <v>2080</v>
      </c>
      <c r="Q42" s="3">
        <v>1040</v>
      </c>
      <c r="Z42" s="12">
        <v>2080</v>
      </c>
    </row>
    <row r="43" s="3" customFormat="1" spans="1:6">
      <c r="A43" s="3">
        <v>41</v>
      </c>
      <c r="C43" s="3" t="s">
        <v>45</v>
      </c>
      <c r="D43" s="4" t="s">
        <v>57</v>
      </c>
      <c r="E43" s="9">
        <f t="shared" si="5"/>
        <v>0</v>
      </c>
      <c r="F43" s="9">
        <f t="shared" si="6"/>
        <v>0</v>
      </c>
    </row>
    <row r="44" s="3" customFormat="1" spans="1:37">
      <c r="A44" s="3">
        <v>42</v>
      </c>
      <c r="C44" s="3" t="s">
        <v>45</v>
      </c>
      <c r="D44" s="4" t="s">
        <v>58</v>
      </c>
      <c r="E44" s="9">
        <f t="shared" si="5"/>
        <v>24000</v>
      </c>
      <c r="F44" s="9">
        <f t="shared" si="6"/>
        <v>24960</v>
      </c>
      <c r="H44" s="3">
        <v>3120</v>
      </c>
      <c r="I44" s="3">
        <v>2080</v>
      </c>
      <c r="L44" s="3">
        <v>3120</v>
      </c>
      <c r="R44" s="3">
        <v>1040</v>
      </c>
      <c r="U44" s="3">
        <v>3120</v>
      </c>
      <c r="X44" s="3">
        <v>3120</v>
      </c>
      <c r="AC44" s="3">
        <v>3120</v>
      </c>
      <c r="AG44" s="3">
        <v>3120</v>
      </c>
      <c r="AK44" s="3">
        <v>3120</v>
      </c>
    </row>
    <row r="45" s="3" customFormat="1" spans="1:37">
      <c r="A45" s="3">
        <v>43</v>
      </c>
      <c r="C45" s="3" t="s">
        <v>59</v>
      </c>
      <c r="D45" s="4" t="s">
        <v>60</v>
      </c>
      <c r="E45" s="9">
        <f t="shared" si="5"/>
        <v>26000</v>
      </c>
      <c r="F45" s="9">
        <f t="shared" si="6"/>
        <v>27040</v>
      </c>
      <c r="H45" s="3">
        <v>2080</v>
      </c>
      <c r="J45" s="3">
        <v>3120</v>
      </c>
      <c r="R45" s="3">
        <v>3120</v>
      </c>
      <c r="T45" s="3">
        <v>3120</v>
      </c>
      <c r="W45" s="3">
        <v>3120</v>
      </c>
      <c r="AA45" s="3">
        <v>3120</v>
      </c>
      <c r="AC45" s="3">
        <v>3120</v>
      </c>
      <c r="AF45" s="3">
        <v>3120</v>
      </c>
      <c r="AK45" s="3">
        <v>3120</v>
      </c>
    </row>
    <row r="46" s="3" customFormat="1" spans="1:34">
      <c r="A46" s="3">
        <v>44</v>
      </c>
      <c r="C46" s="3" t="s">
        <v>59</v>
      </c>
      <c r="D46" s="4" t="s">
        <v>61</v>
      </c>
      <c r="E46" s="9">
        <f t="shared" si="5"/>
        <v>22000</v>
      </c>
      <c r="F46" s="9">
        <f t="shared" si="6"/>
        <v>22880</v>
      </c>
      <c r="J46" s="3">
        <v>2080</v>
      </c>
      <c r="L46" s="3">
        <v>2080</v>
      </c>
      <c r="N46" s="3">
        <v>3120</v>
      </c>
      <c r="S46" s="3">
        <v>3120</v>
      </c>
      <c r="V46" s="3">
        <v>3120</v>
      </c>
      <c r="Y46" s="3">
        <v>3120</v>
      </c>
      <c r="AB46" s="3">
        <v>3120</v>
      </c>
      <c r="AH46" s="3">
        <v>3120</v>
      </c>
    </row>
    <row r="47" s="3" customFormat="1" spans="1:28">
      <c r="A47" s="3">
        <v>45</v>
      </c>
      <c r="C47" s="3" t="s">
        <v>59</v>
      </c>
      <c r="D47" s="4" t="s">
        <v>62</v>
      </c>
      <c r="E47" s="9">
        <f t="shared" si="5"/>
        <v>6000</v>
      </c>
      <c r="F47" s="9">
        <f t="shared" si="6"/>
        <v>6240</v>
      </c>
      <c r="J47" s="3">
        <v>2080</v>
      </c>
      <c r="T47" s="3">
        <v>2080</v>
      </c>
      <c r="AB47" s="3">
        <v>2080</v>
      </c>
    </row>
    <row r="48" s="3" customFormat="1" spans="1:37">
      <c r="A48" s="3">
        <v>46</v>
      </c>
      <c r="C48" s="3" t="s">
        <v>59</v>
      </c>
      <c r="D48" s="4" t="s">
        <v>63</v>
      </c>
      <c r="E48" s="9">
        <f t="shared" si="5"/>
        <v>20000</v>
      </c>
      <c r="F48" s="9">
        <f t="shared" si="6"/>
        <v>20800</v>
      </c>
      <c r="O48" s="3">
        <v>2080</v>
      </c>
      <c r="P48" s="3">
        <v>3120</v>
      </c>
      <c r="S48" s="3">
        <v>3120</v>
      </c>
      <c r="U48" s="3">
        <v>3120</v>
      </c>
      <c r="Y48" s="3">
        <v>3120</v>
      </c>
      <c r="AF48" s="3">
        <v>3120</v>
      </c>
      <c r="AK48" s="3">
        <v>3120</v>
      </c>
    </row>
    <row r="49" s="3" customFormat="1" spans="1:37">
      <c r="A49" s="3">
        <v>47</v>
      </c>
      <c r="C49" s="3" t="s">
        <v>59</v>
      </c>
      <c r="D49" s="4" t="s">
        <v>64</v>
      </c>
      <c r="E49" s="9">
        <f t="shared" si="5"/>
        <v>27000</v>
      </c>
      <c r="F49" s="9">
        <f t="shared" si="6"/>
        <v>28080</v>
      </c>
      <c r="J49" s="3">
        <v>2080</v>
      </c>
      <c r="K49" s="3">
        <v>1040</v>
      </c>
      <c r="M49" s="3">
        <v>3120</v>
      </c>
      <c r="O49" s="3">
        <v>3120</v>
      </c>
      <c r="S49" s="3">
        <v>3120</v>
      </c>
      <c r="W49" s="3">
        <v>3120</v>
      </c>
      <c r="Z49" s="3">
        <v>3120</v>
      </c>
      <c r="AC49" s="3">
        <v>3120</v>
      </c>
      <c r="AH49" s="3">
        <v>3120</v>
      </c>
      <c r="AK49" s="3">
        <v>3120</v>
      </c>
    </row>
    <row r="50" s="3" customFormat="1" spans="1:37">
      <c r="A50" s="3">
        <v>48</v>
      </c>
      <c r="C50" s="3" t="s">
        <v>59</v>
      </c>
      <c r="D50" s="4" t="s">
        <v>65</v>
      </c>
      <c r="E50" s="9">
        <f t="shared" si="5"/>
        <v>11000</v>
      </c>
      <c r="F50" s="9">
        <f t="shared" si="6"/>
        <v>11440</v>
      </c>
      <c r="J50" s="3">
        <v>1040</v>
      </c>
      <c r="P50" s="3">
        <v>2080</v>
      </c>
      <c r="S50" s="3">
        <v>2080</v>
      </c>
      <c r="X50" s="3">
        <v>2080</v>
      </c>
      <c r="AA50" s="3">
        <v>2080</v>
      </c>
      <c r="AK50" s="3">
        <v>2080</v>
      </c>
    </row>
    <row r="51" s="3" customFormat="1" spans="1:33">
      <c r="A51" s="3">
        <v>49</v>
      </c>
      <c r="C51" s="3" t="s">
        <v>59</v>
      </c>
      <c r="D51" s="4" t="s">
        <v>66</v>
      </c>
      <c r="E51" s="9">
        <f t="shared" si="5"/>
        <v>8000</v>
      </c>
      <c r="F51" s="9">
        <f t="shared" si="6"/>
        <v>8320</v>
      </c>
      <c r="H51" s="3">
        <v>1040</v>
      </c>
      <c r="J51" s="3">
        <v>1040</v>
      </c>
      <c r="L51" s="3">
        <v>2080</v>
      </c>
      <c r="R51" s="3">
        <v>2080</v>
      </c>
      <c r="AG51" s="3">
        <v>2080</v>
      </c>
    </row>
    <row r="52" s="3" customFormat="1" spans="1:36">
      <c r="A52" s="3">
        <v>50</v>
      </c>
      <c r="C52" s="3" t="s">
        <v>59</v>
      </c>
      <c r="D52" s="4" t="s">
        <v>67</v>
      </c>
      <c r="E52" s="9">
        <f t="shared" si="5"/>
        <v>25000</v>
      </c>
      <c r="F52" s="9">
        <f t="shared" si="6"/>
        <v>26000</v>
      </c>
      <c r="H52" s="3">
        <v>2080</v>
      </c>
      <c r="J52" s="3">
        <v>2080</v>
      </c>
      <c r="M52" s="3">
        <v>3120</v>
      </c>
      <c r="N52" s="3">
        <v>3120</v>
      </c>
      <c r="T52" s="3">
        <v>3120</v>
      </c>
      <c r="W52" s="3">
        <v>3120</v>
      </c>
      <c r="AA52" s="3">
        <v>3120</v>
      </c>
      <c r="AE52" s="3">
        <v>3120</v>
      </c>
      <c r="AJ52" s="3">
        <v>3120</v>
      </c>
    </row>
    <row r="53" s="3" customFormat="1" spans="1:36">
      <c r="A53" s="3">
        <v>51</v>
      </c>
      <c r="B53" s="10"/>
      <c r="C53" s="10" t="s">
        <v>59</v>
      </c>
      <c r="D53" s="11" t="s">
        <v>68</v>
      </c>
      <c r="E53" s="9">
        <f t="shared" si="5"/>
        <v>5000</v>
      </c>
      <c r="F53" s="9">
        <f t="shared" si="6"/>
        <v>5200</v>
      </c>
      <c r="AC53" s="3">
        <v>1040</v>
      </c>
      <c r="AD53" s="3">
        <v>1040</v>
      </c>
      <c r="AF53" s="3">
        <v>1040</v>
      </c>
      <c r="AG53" s="12">
        <v>1040</v>
      </c>
      <c r="AJ53" s="3">
        <v>1040</v>
      </c>
    </row>
    <row r="54" s="3" customFormat="1" spans="1:37">
      <c r="A54" s="3">
        <v>52</v>
      </c>
      <c r="C54" s="3" t="s">
        <v>69</v>
      </c>
      <c r="D54" s="4" t="s">
        <v>70</v>
      </c>
      <c r="E54" s="9">
        <f t="shared" si="5"/>
        <v>11000</v>
      </c>
      <c r="F54" s="9">
        <f t="shared" si="6"/>
        <v>11440</v>
      </c>
      <c r="P54" s="3">
        <v>1040</v>
      </c>
      <c r="R54" s="3">
        <v>2080</v>
      </c>
      <c r="U54" s="3">
        <v>2080</v>
      </c>
      <c r="W54" s="3">
        <v>2080</v>
      </c>
      <c r="AD54" s="3">
        <v>2080</v>
      </c>
      <c r="AK54" s="3">
        <v>2080</v>
      </c>
    </row>
    <row r="55" s="3" customFormat="1" spans="1:35">
      <c r="A55" s="3">
        <v>53</v>
      </c>
      <c r="C55" s="3" t="s">
        <v>69</v>
      </c>
      <c r="D55" s="4" t="s">
        <v>71</v>
      </c>
      <c r="E55" s="9">
        <f t="shared" si="5"/>
        <v>38000</v>
      </c>
      <c r="F55" s="9">
        <f t="shared" si="6"/>
        <v>39520</v>
      </c>
      <c r="M55" s="3">
        <v>3120</v>
      </c>
      <c r="N55" s="3">
        <v>5200</v>
      </c>
      <c r="Q55" s="3">
        <v>5200</v>
      </c>
      <c r="U55" s="3">
        <v>5200</v>
      </c>
      <c r="Z55" s="3">
        <v>5200</v>
      </c>
      <c r="AC55" s="3">
        <v>5200</v>
      </c>
      <c r="AF55" s="3">
        <v>5200</v>
      </c>
      <c r="AI55" s="3">
        <v>5200</v>
      </c>
    </row>
    <row r="56" s="3" customFormat="1" spans="1:34">
      <c r="A56" s="3">
        <v>54</v>
      </c>
      <c r="C56" s="3" t="s">
        <v>69</v>
      </c>
      <c r="D56" s="4" t="s">
        <v>72</v>
      </c>
      <c r="E56" s="9">
        <f t="shared" si="5"/>
        <v>9500</v>
      </c>
      <c r="F56" s="9">
        <f t="shared" si="6"/>
        <v>9880</v>
      </c>
      <c r="M56" s="3">
        <v>1560</v>
      </c>
      <c r="T56" s="3">
        <v>2080</v>
      </c>
      <c r="Z56" s="3">
        <v>2080</v>
      </c>
      <c r="AH56" s="12">
        <v>4160</v>
      </c>
    </row>
    <row r="57" s="3" customFormat="1" spans="1:34">
      <c r="A57" s="3">
        <v>55</v>
      </c>
      <c r="B57" s="10"/>
      <c r="C57" s="4" t="s">
        <v>73</v>
      </c>
      <c r="D57" s="11" t="s">
        <v>74</v>
      </c>
      <c r="E57" s="9">
        <f t="shared" si="5"/>
        <v>10000</v>
      </c>
      <c r="F57" s="9">
        <f t="shared" si="6"/>
        <v>10400</v>
      </c>
      <c r="AC57" s="3">
        <v>5200</v>
      </c>
      <c r="AH57" s="3">
        <v>5200</v>
      </c>
    </row>
    <row r="58" s="3" customFormat="1" spans="1:29">
      <c r="A58" s="3">
        <v>56</v>
      </c>
      <c r="C58" s="3" t="s">
        <v>73</v>
      </c>
      <c r="D58" s="4" t="s">
        <v>75</v>
      </c>
      <c r="E58" s="9">
        <f t="shared" si="5"/>
        <v>9000</v>
      </c>
      <c r="F58" s="9">
        <f t="shared" si="6"/>
        <v>9360</v>
      </c>
      <c r="P58" s="12">
        <v>4160</v>
      </c>
      <c r="AC58" s="12">
        <v>5200</v>
      </c>
    </row>
    <row r="59" s="3" customFormat="1" spans="1:35">
      <c r="A59" s="3">
        <v>57</v>
      </c>
      <c r="B59" s="10"/>
      <c r="C59" s="3" t="s">
        <v>76</v>
      </c>
      <c r="D59" s="11" t="s">
        <v>77</v>
      </c>
      <c r="E59" s="9">
        <f t="shared" si="5"/>
        <v>15000</v>
      </c>
      <c r="F59" s="9">
        <f t="shared" si="6"/>
        <v>15600</v>
      </c>
      <c r="J59" s="3">
        <v>1040</v>
      </c>
      <c r="Q59" s="3">
        <v>2080</v>
      </c>
      <c r="R59" s="3">
        <v>2080</v>
      </c>
      <c r="V59" s="3">
        <v>2080</v>
      </c>
      <c r="Z59" s="3">
        <v>2080</v>
      </c>
      <c r="AC59" s="3">
        <v>2080</v>
      </c>
      <c r="AF59" s="3">
        <v>2080</v>
      </c>
      <c r="AI59" s="3">
        <v>2080</v>
      </c>
    </row>
    <row r="60" s="3" customFormat="1" spans="1:37">
      <c r="A60" s="3">
        <v>58</v>
      </c>
      <c r="B60" s="10"/>
      <c r="C60" s="3" t="s">
        <v>78</v>
      </c>
      <c r="D60" s="11" t="s">
        <v>79</v>
      </c>
      <c r="E60" s="9">
        <f t="shared" si="5"/>
        <v>6000</v>
      </c>
      <c r="F60" s="9">
        <f t="shared" si="6"/>
        <v>6240</v>
      </c>
      <c r="V60" s="12">
        <v>2080</v>
      </c>
      <c r="Y60" s="3">
        <v>2080</v>
      </c>
      <c r="AK60" s="3">
        <v>2080</v>
      </c>
    </row>
    <row r="61" s="3" customFormat="1" spans="1:35">
      <c r="A61" s="3">
        <v>59</v>
      </c>
      <c r="C61" s="3" t="s">
        <v>80</v>
      </c>
      <c r="D61" s="4" t="s">
        <v>81</v>
      </c>
      <c r="E61" s="9">
        <f t="shared" si="5"/>
        <v>13000</v>
      </c>
      <c r="F61" s="9">
        <f t="shared" si="6"/>
        <v>13520</v>
      </c>
      <c r="O61" s="3">
        <v>1040</v>
      </c>
      <c r="P61" s="3">
        <v>2080</v>
      </c>
      <c r="R61" s="3">
        <v>2080</v>
      </c>
      <c r="U61" s="3">
        <v>2080</v>
      </c>
      <c r="AB61" s="3">
        <v>2080</v>
      </c>
      <c r="AG61" s="3">
        <v>2080</v>
      </c>
      <c r="AI61" s="3">
        <v>2080</v>
      </c>
    </row>
    <row r="62" s="3" customFormat="1" spans="1:34">
      <c r="A62" s="3">
        <v>60</v>
      </c>
      <c r="C62" s="3" t="s">
        <v>80</v>
      </c>
      <c r="D62" s="4" t="s">
        <v>82</v>
      </c>
      <c r="E62" s="9">
        <f t="shared" si="5"/>
        <v>11000</v>
      </c>
      <c r="F62" s="9">
        <f t="shared" si="6"/>
        <v>11440</v>
      </c>
      <c r="K62" s="3">
        <v>3120</v>
      </c>
      <c r="T62" s="3">
        <v>2080</v>
      </c>
      <c r="W62" s="3">
        <v>2080</v>
      </c>
      <c r="AD62" s="3">
        <v>2080</v>
      </c>
      <c r="AH62" s="3">
        <v>2080</v>
      </c>
    </row>
    <row r="63" s="3" customFormat="1" spans="1:35">
      <c r="A63" s="3">
        <v>61</v>
      </c>
      <c r="C63" s="3" t="s">
        <v>80</v>
      </c>
      <c r="D63" s="4" t="s">
        <v>83</v>
      </c>
      <c r="E63" s="9">
        <f t="shared" si="5"/>
        <v>7000</v>
      </c>
      <c r="F63" s="9">
        <f t="shared" si="6"/>
        <v>7280</v>
      </c>
      <c r="K63" s="3">
        <v>1040</v>
      </c>
      <c r="Q63" s="3">
        <v>2080</v>
      </c>
      <c r="Y63" s="3">
        <v>2080</v>
      </c>
      <c r="AI63" s="3">
        <v>2080</v>
      </c>
    </row>
    <row r="64" s="3" customFormat="1" spans="1:30">
      <c r="A64" s="3">
        <v>62</v>
      </c>
      <c r="C64" s="3" t="s">
        <v>80</v>
      </c>
      <c r="D64" s="4" t="s">
        <v>84</v>
      </c>
      <c r="E64" s="9">
        <f t="shared" si="5"/>
        <v>4000</v>
      </c>
      <c r="F64" s="9">
        <f t="shared" si="6"/>
        <v>4160</v>
      </c>
      <c r="K64" s="3">
        <v>2080</v>
      </c>
      <c r="Y64" s="3">
        <v>1040</v>
      </c>
      <c r="AD64" s="3">
        <v>1040</v>
      </c>
    </row>
    <row r="65" s="3" customFormat="1" spans="1:34">
      <c r="A65" s="3">
        <v>63</v>
      </c>
      <c r="C65" s="3" t="s">
        <v>80</v>
      </c>
      <c r="D65" s="4" t="s">
        <v>85</v>
      </c>
      <c r="E65" s="9">
        <f t="shared" si="5"/>
        <v>52000</v>
      </c>
      <c r="F65" s="9">
        <f t="shared" si="6"/>
        <v>54080</v>
      </c>
      <c r="K65" s="3">
        <v>2080</v>
      </c>
      <c r="L65" s="3">
        <v>15600</v>
      </c>
      <c r="O65" s="3">
        <v>5200</v>
      </c>
      <c r="R65" s="3">
        <v>5200</v>
      </c>
      <c r="U65" s="3">
        <v>5200</v>
      </c>
      <c r="Y65" s="3">
        <v>5200</v>
      </c>
      <c r="AA65" s="3">
        <v>5200</v>
      </c>
      <c r="AE65" s="3">
        <v>5200</v>
      </c>
      <c r="AH65" s="3">
        <v>5200</v>
      </c>
    </row>
    <row r="66" s="3" customFormat="1" spans="1:36">
      <c r="A66" s="3">
        <v>64</v>
      </c>
      <c r="C66" s="3" t="s">
        <v>80</v>
      </c>
      <c r="D66" s="4" t="s">
        <v>86</v>
      </c>
      <c r="E66" s="9">
        <f t="shared" si="5"/>
        <v>27000</v>
      </c>
      <c r="F66" s="9">
        <f t="shared" si="6"/>
        <v>28080</v>
      </c>
      <c r="H66" s="3">
        <v>2080</v>
      </c>
      <c r="J66" s="3">
        <v>2080</v>
      </c>
      <c r="K66" s="3">
        <v>1040</v>
      </c>
      <c r="L66" s="3">
        <v>1040</v>
      </c>
      <c r="M66" s="3">
        <v>3120</v>
      </c>
      <c r="Q66" s="3">
        <v>3120</v>
      </c>
      <c r="V66" s="3">
        <v>3120</v>
      </c>
      <c r="Z66" s="3">
        <v>3120</v>
      </c>
      <c r="AC66" s="3">
        <v>3120</v>
      </c>
      <c r="AH66" s="3">
        <v>3120</v>
      </c>
      <c r="AJ66" s="3">
        <v>3120</v>
      </c>
    </row>
    <row r="67" s="3" customFormat="1" spans="1:36">
      <c r="A67" s="3">
        <v>65</v>
      </c>
      <c r="B67" s="10"/>
      <c r="C67" s="4" t="s">
        <v>80</v>
      </c>
      <c r="D67" s="11" t="s">
        <v>87</v>
      </c>
      <c r="E67" s="9">
        <f t="shared" si="5"/>
        <v>8000</v>
      </c>
      <c r="F67" s="9">
        <f t="shared" si="6"/>
        <v>8320</v>
      </c>
      <c r="W67" s="12">
        <v>4160</v>
      </c>
      <c r="AF67" s="3">
        <v>2080</v>
      </c>
      <c r="AJ67" s="3">
        <v>2080</v>
      </c>
    </row>
    <row r="68" s="3" customFormat="1" spans="1:27">
      <c r="A68" s="3">
        <v>66</v>
      </c>
      <c r="B68" s="10"/>
      <c r="C68" s="10" t="s">
        <v>80</v>
      </c>
      <c r="D68" s="11" t="s">
        <v>88</v>
      </c>
      <c r="E68" s="9">
        <f t="shared" si="5"/>
        <v>4000</v>
      </c>
      <c r="F68" s="9">
        <f t="shared" si="6"/>
        <v>4160</v>
      </c>
      <c r="X68" s="12">
        <v>2080</v>
      </c>
      <c r="AA68" s="3">
        <v>2080</v>
      </c>
    </row>
    <row r="69" s="3" customFormat="1" spans="1:33">
      <c r="A69" s="3">
        <v>67</v>
      </c>
      <c r="C69" s="3" t="s">
        <v>89</v>
      </c>
      <c r="D69" s="4" t="s">
        <v>90</v>
      </c>
      <c r="E69" s="9">
        <f t="shared" si="5"/>
        <v>18000</v>
      </c>
      <c r="F69" s="9">
        <f t="shared" si="6"/>
        <v>18720</v>
      </c>
      <c r="I69" s="3">
        <v>1040</v>
      </c>
      <c r="L69" s="3">
        <v>2080</v>
      </c>
      <c r="M69" s="3">
        <v>3120</v>
      </c>
      <c r="T69" s="3">
        <v>3120</v>
      </c>
      <c r="X69" s="3">
        <v>3120</v>
      </c>
      <c r="AA69" s="3">
        <v>3120</v>
      </c>
      <c r="AG69" s="3">
        <v>3120</v>
      </c>
    </row>
    <row r="70" s="3" customFormat="1" spans="1:35">
      <c r="A70" s="3">
        <v>68</v>
      </c>
      <c r="C70" s="3" t="s">
        <v>89</v>
      </c>
      <c r="D70" s="4" t="s">
        <v>91</v>
      </c>
      <c r="E70" s="9">
        <f t="shared" si="5"/>
        <v>27000</v>
      </c>
      <c r="F70" s="9">
        <f t="shared" si="6"/>
        <v>28080</v>
      </c>
      <c r="H70" s="3">
        <v>3120</v>
      </c>
      <c r="K70" s="3">
        <v>1040</v>
      </c>
      <c r="L70" s="3">
        <v>2080</v>
      </c>
      <c r="O70" s="3">
        <v>3120</v>
      </c>
      <c r="R70" s="3">
        <v>3120</v>
      </c>
      <c r="U70" s="3">
        <v>3120</v>
      </c>
      <c r="W70" s="3">
        <v>3120</v>
      </c>
      <c r="AA70" s="3">
        <v>3120</v>
      </c>
      <c r="AD70" s="3">
        <v>3120</v>
      </c>
      <c r="AI70" s="3">
        <v>3120</v>
      </c>
    </row>
    <row r="71" s="3" customFormat="1" spans="1:36">
      <c r="A71" s="3">
        <v>69</v>
      </c>
      <c r="C71" s="3" t="s">
        <v>89</v>
      </c>
      <c r="D71" s="4" t="s">
        <v>92</v>
      </c>
      <c r="E71" s="9">
        <f t="shared" si="5"/>
        <v>21000</v>
      </c>
      <c r="F71" s="9">
        <f t="shared" si="6"/>
        <v>21840</v>
      </c>
      <c r="J71" s="3">
        <v>2080</v>
      </c>
      <c r="L71" s="3">
        <v>1040</v>
      </c>
      <c r="O71" s="3">
        <v>2080</v>
      </c>
      <c r="P71" s="3">
        <v>2080</v>
      </c>
      <c r="S71" s="3">
        <v>2080</v>
      </c>
      <c r="T71" s="3">
        <v>2080</v>
      </c>
      <c r="W71" s="3">
        <v>2080</v>
      </c>
      <c r="Y71" s="3">
        <v>2080</v>
      </c>
      <c r="AB71" s="3">
        <v>2080</v>
      </c>
      <c r="AH71" s="3">
        <v>2080</v>
      </c>
      <c r="AJ71" s="3">
        <v>2080</v>
      </c>
    </row>
    <row r="72" s="3" customFormat="1" spans="1:32">
      <c r="A72" s="3">
        <v>70</v>
      </c>
      <c r="B72" s="10"/>
      <c r="C72" s="10"/>
      <c r="D72" s="11" t="s">
        <v>93</v>
      </c>
      <c r="E72" s="9">
        <f t="shared" si="5"/>
        <v>27000</v>
      </c>
      <c r="F72" s="9">
        <f t="shared" si="6"/>
        <v>28080</v>
      </c>
      <c r="G72" s="10"/>
      <c r="H72" s="10">
        <v>520</v>
      </c>
      <c r="I72" s="10">
        <v>2080</v>
      </c>
      <c r="J72" s="10">
        <v>5200</v>
      </c>
      <c r="K72" s="10"/>
      <c r="L72" s="10"/>
      <c r="M72" s="10"/>
      <c r="N72" s="10"/>
      <c r="O72" s="10"/>
      <c r="P72" s="10"/>
      <c r="Q72" s="10"/>
      <c r="R72" s="10">
        <v>5200</v>
      </c>
      <c r="S72" s="13"/>
      <c r="T72" s="13"/>
      <c r="U72" s="13"/>
      <c r="V72" s="13"/>
      <c r="W72" s="13"/>
      <c r="Z72" s="3">
        <v>1040</v>
      </c>
      <c r="AB72" s="12">
        <v>2080</v>
      </c>
      <c r="AC72" s="12">
        <v>4160</v>
      </c>
      <c r="AD72" s="12">
        <v>1040</v>
      </c>
      <c r="AE72" s="12">
        <v>3640</v>
      </c>
      <c r="AF72" s="12">
        <v>3120</v>
      </c>
    </row>
    <row r="73" s="3" customFormat="1" spans="1:37">
      <c r="A73" s="3">
        <v>71</v>
      </c>
      <c r="B73" s="10"/>
      <c r="C73" s="4" t="s">
        <v>94</v>
      </c>
      <c r="D73" s="11" t="s">
        <v>95</v>
      </c>
      <c r="E73" s="9">
        <f t="shared" si="5"/>
        <v>6000</v>
      </c>
      <c r="F73" s="9">
        <f t="shared" si="6"/>
        <v>6240</v>
      </c>
      <c r="Q73" s="3">
        <v>2080</v>
      </c>
      <c r="AB73" s="12">
        <v>2080</v>
      </c>
      <c r="AK73" s="12">
        <v>2080</v>
      </c>
    </row>
    <row r="74" s="3" customFormat="1" spans="1:6">
      <c r="A74" s="3">
        <v>72</v>
      </c>
      <c r="B74" s="10"/>
      <c r="C74" s="4"/>
      <c r="D74" s="11" t="s">
        <v>96</v>
      </c>
      <c r="E74" s="9">
        <f t="shared" ref="E69:E94" si="7">F74/1.04</f>
        <v>0</v>
      </c>
      <c r="F74" s="9">
        <f t="shared" ref="F69:F94" si="8">SUM(G74:AK74)</f>
        <v>0</v>
      </c>
    </row>
    <row r="75" s="3" customFormat="1" spans="1:34">
      <c r="A75" s="3">
        <v>73</v>
      </c>
      <c r="B75" s="10"/>
      <c r="C75" s="4" t="s">
        <v>97</v>
      </c>
      <c r="D75" s="11" t="s">
        <v>98</v>
      </c>
      <c r="E75" s="9">
        <f t="shared" si="7"/>
        <v>3000</v>
      </c>
      <c r="F75" s="9">
        <f t="shared" si="8"/>
        <v>3120</v>
      </c>
      <c r="AH75" s="12">
        <v>3120</v>
      </c>
    </row>
    <row r="76" s="3" customFormat="1" spans="1:18">
      <c r="A76" s="3">
        <v>74</v>
      </c>
      <c r="B76" s="10"/>
      <c r="C76" s="4"/>
      <c r="D76" s="11" t="s">
        <v>99</v>
      </c>
      <c r="E76" s="9">
        <f t="shared" si="7"/>
        <v>0</v>
      </c>
      <c r="F76" s="9">
        <f t="shared" si="8"/>
        <v>0</v>
      </c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</row>
    <row r="77" s="3" customFormat="1" spans="1:31">
      <c r="A77" s="3">
        <v>75</v>
      </c>
      <c r="B77" s="10"/>
      <c r="C77" s="4"/>
      <c r="D77" s="11" t="s">
        <v>100</v>
      </c>
      <c r="E77" s="9">
        <f t="shared" si="7"/>
        <v>3000</v>
      </c>
      <c r="F77" s="9">
        <f t="shared" si="8"/>
        <v>3120</v>
      </c>
      <c r="AE77" s="12">
        <v>3120</v>
      </c>
    </row>
    <row r="78" s="3" customFormat="1" spans="1:6">
      <c r="A78" s="3">
        <v>76</v>
      </c>
      <c r="B78" s="10"/>
      <c r="C78" s="4"/>
      <c r="D78" s="11" t="s">
        <v>101</v>
      </c>
      <c r="E78" s="9">
        <f t="shared" si="7"/>
        <v>0</v>
      </c>
      <c r="F78" s="9">
        <f t="shared" si="8"/>
        <v>0</v>
      </c>
    </row>
    <row r="79" s="3" customFormat="1" spans="1:6">
      <c r="A79" s="3">
        <v>77</v>
      </c>
      <c r="B79" s="10"/>
      <c r="C79" s="4"/>
      <c r="D79" s="11" t="s">
        <v>102</v>
      </c>
      <c r="E79" s="9">
        <f t="shared" si="7"/>
        <v>0</v>
      </c>
      <c r="F79" s="9">
        <f t="shared" si="8"/>
        <v>0</v>
      </c>
    </row>
    <row r="80" s="3" customFormat="1" spans="1:6">
      <c r="A80" s="3">
        <v>78</v>
      </c>
      <c r="B80" s="10"/>
      <c r="C80" s="4"/>
      <c r="D80" s="11" t="s">
        <v>103</v>
      </c>
      <c r="E80" s="9">
        <f t="shared" si="7"/>
        <v>0</v>
      </c>
      <c r="F80" s="9">
        <f t="shared" si="8"/>
        <v>0</v>
      </c>
    </row>
    <row r="81" s="3" customFormat="1" spans="1:24">
      <c r="A81" s="3">
        <v>79</v>
      </c>
      <c r="B81" s="10"/>
      <c r="C81" s="4"/>
      <c r="D81" s="11" t="s">
        <v>104</v>
      </c>
      <c r="E81" s="9">
        <f t="shared" si="7"/>
        <v>0</v>
      </c>
      <c r="F81" s="9">
        <f t="shared" si="8"/>
        <v>0</v>
      </c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</row>
    <row r="82" s="3" customFormat="1" spans="1:33">
      <c r="A82" s="3">
        <v>80</v>
      </c>
      <c r="B82" s="10"/>
      <c r="C82" s="4" t="s">
        <v>105</v>
      </c>
      <c r="D82" s="11" t="s">
        <v>106</v>
      </c>
      <c r="E82" s="9">
        <f t="shared" si="7"/>
        <v>13000</v>
      </c>
      <c r="F82" s="9">
        <f t="shared" si="8"/>
        <v>13520</v>
      </c>
      <c r="AB82" s="12">
        <v>2080</v>
      </c>
      <c r="AC82" s="3">
        <v>3120</v>
      </c>
      <c r="AD82" s="3">
        <v>3120</v>
      </c>
      <c r="AG82" s="3">
        <v>5200</v>
      </c>
    </row>
    <row r="83" s="3" customFormat="1" spans="1:6">
      <c r="A83" s="3">
        <v>81</v>
      </c>
      <c r="B83" s="10"/>
      <c r="C83" s="4"/>
      <c r="D83" s="11" t="s">
        <v>107</v>
      </c>
      <c r="E83" s="9">
        <f t="shared" si="7"/>
        <v>0</v>
      </c>
      <c r="F83" s="9">
        <f t="shared" si="8"/>
        <v>0</v>
      </c>
    </row>
    <row r="84" s="3" customFormat="1" spans="1:17">
      <c r="A84" s="3">
        <v>82</v>
      </c>
      <c r="B84" s="10"/>
      <c r="C84" s="4"/>
      <c r="D84" s="11" t="s">
        <v>108</v>
      </c>
      <c r="E84" s="9">
        <f t="shared" si="7"/>
        <v>0</v>
      </c>
      <c r="F84" s="9">
        <f t="shared" si="8"/>
        <v>0</v>
      </c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</row>
    <row r="85" s="3" customFormat="1" spans="1:28">
      <c r="A85" s="3">
        <v>83</v>
      </c>
      <c r="B85" s="10"/>
      <c r="C85" s="4" t="s">
        <v>105</v>
      </c>
      <c r="D85" s="11" t="s">
        <v>109</v>
      </c>
      <c r="E85" s="9">
        <f t="shared" si="7"/>
        <v>2000</v>
      </c>
      <c r="F85" s="9">
        <f t="shared" si="8"/>
        <v>2080</v>
      </c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AB85" s="12">
        <v>2080</v>
      </c>
    </row>
    <row r="86" s="3" customFormat="1" spans="1:22">
      <c r="A86" s="3">
        <v>84</v>
      </c>
      <c r="B86" s="10"/>
      <c r="C86" s="4"/>
      <c r="D86" s="11" t="s">
        <v>110</v>
      </c>
      <c r="E86" s="9">
        <f t="shared" si="7"/>
        <v>0</v>
      </c>
      <c r="F86" s="9">
        <f t="shared" si="8"/>
        <v>0</v>
      </c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</row>
    <row r="87" s="3" customFormat="1" spans="1:6">
      <c r="A87" s="3">
        <v>85</v>
      </c>
      <c r="C87" s="4"/>
      <c r="D87" s="4" t="s">
        <v>111</v>
      </c>
      <c r="E87" s="9">
        <f t="shared" si="7"/>
        <v>0</v>
      </c>
      <c r="F87" s="9">
        <f t="shared" si="8"/>
        <v>0</v>
      </c>
    </row>
    <row r="88" s="3" customFormat="1" spans="1:6">
      <c r="A88" s="3">
        <v>86</v>
      </c>
      <c r="C88" s="4"/>
      <c r="D88" s="4" t="s">
        <v>112</v>
      </c>
      <c r="E88" s="9">
        <f t="shared" si="7"/>
        <v>0</v>
      </c>
      <c r="F88" s="9">
        <f t="shared" si="8"/>
        <v>0</v>
      </c>
    </row>
    <row r="89" s="3" customFormat="1" spans="1:6">
      <c r="A89" s="3">
        <v>87</v>
      </c>
      <c r="C89" s="4"/>
      <c r="D89" s="4" t="s">
        <v>113</v>
      </c>
      <c r="E89" s="9">
        <f t="shared" si="7"/>
        <v>0</v>
      </c>
      <c r="F89" s="9">
        <f t="shared" si="8"/>
        <v>0</v>
      </c>
    </row>
    <row r="90" s="3" customFormat="1" spans="1:6">
      <c r="A90" s="3">
        <v>88</v>
      </c>
      <c r="C90" s="4"/>
      <c r="D90" s="4" t="s">
        <v>114</v>
      </c>
      <c r="E90" s="9">
        <f t="shared" si="7"/>
        <v>0</v>
      </c>
      <c r="F90" s="9">
        <f t="shared" si="8"/>
        <v>0</v>
      </c>
    </row>
    <row r="91" s="3" customFormat="1" spans="1:6">
      <c r="A91" s="3">
        <v>89</v>
      </c>
      <c r="C91" s="4"/>
      <c r="D91" s="4" t="s">
        <v>115</v>
      </c>
      <c r="E91" s="9">
        <f t="shared" si="7"/>
        <v>0</v>
      </c>
      <c r="F91" s="9">
        <f t="shared" si="8"/>
        <v>0</v>
      </c>
    </row>
    <row r="92" s="3" customFormat="1" spans="1:6">
      <c r="A92" s="3">
        <v>90</v>
      </c>
      <c r="C92" s="4"/>
      <c r="D92" s="4" t="s">
        <v>116</v>
      </c>
      <c r="E92" s="9">
        <f t="shared" si="7"/>
        <v>0</v>
      </c>
      <c r="F92" s="9">
        <f t="shared" si="8"/>
        <v>0</v>
      </c>
    </row>
    <row r="93" s="3" customFormat="1" spans="1:6">
      <c r="A93" s="3">
        <v>91</v>
      </c>
      <c r="C93" s="4"/>
      <c r="D93" s="4" t="s">
        <v>117</v>
      </c>
      <c r="E93" s="9">
        <f t="shared" si="7"/>
        <v>0</v>
      </c>
      <c r="F93" s="9">
        <f t="shared" si="8"/>
        <v>0</v>
      </c>
    </row>
    <row r="94" spans="1:6">
      <c r="A94" s="3">
        <v>92</v>
      </c>
      <c r="C94" s="4"/>
      <c r="D94" s="3" t="s">
        <v>118</v>
      </c>
      <c r="E94" s="9">
        <f t="shared" si="7"/>
        <v>0</v>
      </c>
      <c r="F94" s="9">
        <f t="shared" si="8"/>
        <v>0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December 2020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2020-12-05T13:52:00Z</dcterms:created>
  <dcterms:modified xsi:type="dcterms:W3CDTF">2021-01-04T12:23:06Z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1033-11.2.0.9906</vt:lpwstr>
  </property>
  <property fmtid="{D5CDD505-2E9C-101B-9397-08002B2CF9AE}" pid="3" name="KSOReadingLayout">
    <vt:bool>true</vt:bool>
  </property>
</Properties>
</file>