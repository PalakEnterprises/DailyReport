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February-2021" sheetId="1" r:id="rId1"/>
  </sheets>
  <definedNames>
    <definedName name="_xlnm._FilterDatabase" localSheetId="0" hidden="1">'February-2021'!$A$1:$AM$94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J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V1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</commentList>
</comments>
</file>

<file path=xl/sharedStrings.xml><?xml version="1.0" encoding="utf-8"?>
<sst xmlns="http://schemas.openxmlformats.org/spreadsheetml/2006/main" count="195" uniqueCount="127">
  <si>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</si>
  <si>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</si>
  <si>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</si>
  <si>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</si>
  <si>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</si>
  <si>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</si>
  <si>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</si>
  <si>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</si>
  <si>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</si>
  <si>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</si>
  <si>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</si>
  <si>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</si>
  <si>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</si>
  <si>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</si>
  <si>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</si>
  <si>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</si>
  <si>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</si>
  <si>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</si>
  <si>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</si>
  <si>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</si>
  <si>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</si>
  <si>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</si>
  <si>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</si>
  <si>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</si>
  <si>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</si>
  <si>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</si>
  <si>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</si>
  <si>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</si>
  <si>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</si>
  <si>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</si>
  <si>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</si>
  <si>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</si>
  <si>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</si>
  <si>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</si>
  <si>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</si>
  <si>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</si>
  <si>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</si>
  <si>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</si>
  <si>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</si>
  <si>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</si>
  <si>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</si>
  <si>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</si>
  <si>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</si>
  <si>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</si>
  <si>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</si>
  <si>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</si>
  <si>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</si>
  <si>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</si>
  <si>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</si>
  <si>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</si>
  <si>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</si>
  <si>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</si>
  <si>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</si>
  <si>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</si>
  <si>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</si>
  <si>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</si>
  <si>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</si>
  <si>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</si>
  <si>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</si>
  <si>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Vikash Amir Bigha</t>
  </si>
  <si>
    <t>BHUMIKA ELECTRONICS(660320662)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</si>
  <si>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</si>
  <si>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</si>
  <si>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</si>
  <si>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</si>
  <si>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</si>
  <si>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</si>
  <si>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</si>
  <si>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</si>
  <si>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</si>
  <si>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</si>
  <si>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</si>
  <si>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Neha Phonex(660614432)</t>
  </si>
  <si>
    <t>PARASI</t>
  </si>
  <si>
    <t>ANISH MOBILE CENTER(661474493)</t>
  </si>
  <si>
    <t>SINGH ENTERPRISES(660865703)</t>
  </si>
  <si>
    <t>KALER ENTERPRISES(661674410)</t>
  </si>
  <si>
    <t>BADRABAD</t>
  </si>
  <si>
    <t>ANJALI MOBILE RAMPURCHAE(661735620)</t>
  </si>
  <si>
    <t>0681066927/0681961014</t>
  </si>
  <si>
    <t>MAA VINDHYAVASINI MOBILE CENTE(660064218)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</si>
  <si>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</si>
  <si>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</si>
  <si>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</si>
  <si>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</si>
  <si>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</si>
  <si>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</si>
  <si>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</si>
  <si>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</si>
  <si>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</si>
  <si>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</si>
  <si>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</si>
  <si>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</si>
  <si>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</si>
  <si>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</si>
  <si>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</si>
  <si>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</si>
  <si>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</si>
  <si>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</si>
  <si>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</si>
  <si>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</si>
  <si>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</si>
  <si>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</si>
  <si>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</si>
  <si>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</si>
  <si>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</si>
  <si>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SANGAM ENTERPRISES(661591706)</t>
  </si>
  <si>
    <t>SHASHANK MOBILE(661969234)</t>
  </si>
  <si>
    <t>SONU PHONE GHAR(660815245)</t>
  </si>
  <si>
    <t>SANGAM GENERAL STORE(661644708)</t>
  </si>
  <si>
    <t>Rupsagar</t>
  </si>
  <si>
    <t>sugam phone bathe(661711006)</t>
  </si>
  <si>
    <t>RAJ PHONE HIRDYACHAK(661712682)</t>
  </si>
  <si>
    <t>JANTA SEVA KENDRA(661752229)</t>
  </si>
  <si>
    <t>MUSKAN COMMUNICATION(662077126)</t>
  </si>
  <si>
    <t>Amit Amir Bigha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</si>
  <si>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</si>
  <si>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</si>
  <si>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</si>
  <si>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</si>
  <si>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</si>
  <si>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</si>
  <si>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</si>
  <si>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</si>
  <si>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</si>
  <si>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</si>
  <si>
    <t>Ananya Communication-(662161233)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</si>
</sst>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178" formatCode="[$-409]d\-mmm;@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23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25" borderId="5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28" borderId="5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1" fillId="7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8" fontId="1" fillId="3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</xf>
    <xf numFmtId="0" fontId="0" fillId="0" borderId="0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0" fillId="8" borderId="0" xfId="0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tabSelected="1" workbookViewId="0">
      <pane xSplit="7" ySplit="2" topLeftCell="R24" activePane="bottomRight" state="frozen"/>
      <selection/>
      <selection pane="topRight"/>
      <selection pane="bottomLeft"/>
      <selection pane="bottomRight" activeCell="E44" sqref="E44"/>
    </sheetView>
  </sheetViews>
  <sheetFormatPr defaultColWidth="9.14285714285714" defaultRowHeight="15"/>
  <cols>
    <col min="1" max="1" width="5.71428571428571" style="3" customWidth="1"/>
    <col min="2" max="3" width="11.5714285714286" style="3" customWidth="1"/>
    <col min="4" max="4" width="15" style="3" customWidth="1"/>
    <col min="5" max="5" width="51.1428571428571" style="3" customWidth="1"/>
    <col min="6" max="6" width="21.8571428571429" style="4" customWidth="1"/>
    <col min="7" max="7" width="11" style="4" customWidth="1"/>
    <col min="8" max="8" width="20" style="5" customWidth="1"/>
    <col min="9" max="16384" width="9.14285714285714" style="3"/>
  </cols>
  <sheetData>
    <row r="1" s="1" customFormat="1" spans="1: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8">
        <v>44228</v>
      </c>
      <c r="J1" s="18">
        <v>44229</v>
      </c>
      <c r="K1" s="18">
        <v>44230</v>
      </c>
      <c r="L1" s="18">
        <v>44231</v>
      </c>
      <c r="M1" s="18">
        <v>44232</v>
      </c>
      <c r="N1" s="18">
        <v>44233</v>
      </c>
      <c r="O1" s="18">
        <v>44234</v>
      </c>
      <c r="P1" s="18">
        <v>44235</v>
      </c>
      <c r="Q1" s="18">
        <v>44236</v>
      </c>
      <c r="R1" s="18">
        <v>44237</v>
      </c>
      <c r="S1" s="18">
        <v>44238</v>
      </c>
      <c r="T1" s="18">
        <v>44239</v>
      </c>
      <c r="U1" s="18">
        <v>44240</v>
      </c>
      <c r="V1" s="18">
        <v>44241</v>
      </c>
      <c r="W1" s="18">
        <v>44242</v>
      </c>
      <c r="X1" s="18">
        <v>44243</v>
      </c>
      <c r="Y1" s="18">
        <v>44244</v>
      </c>
      <c r="Z1" s="18">
        <v>44245</v>
      </c>
      <c r="AA1" s="18">
        <v>44246</v>
      </c>
      <c r="AB1" s="18">
        <v>44247</v>
      </c>
      <c r="AC1" s="18">
        <v>44248</v>
      </c>
      <c r="AD1" s="18">
        <v>44249</v>
      </c>
      <c r="AE1" s="18">
        <v>44250</v>
      </c>
      <c r="AF1" s="18">
        <v>44251</v>
      </c>
      <c r="AG1" s="18">
        <v>44252</v>
      </c>
      <c r="AH1" s="18">
        <v>44253</v>
      </c>
      <c r="AI1" s="18">
        <v>44254</v>
      </c>
      <c r="AJ1" s="18">
        <v>44255</v>
      </c>
      <c r="AK1" s="20"/>
      <c r="AL1" s="20"/>
      <c r="AM1" s="20"/>
      <c r="AN1" s="20"/>
      <c r="AO1" s="20"/>
      <c r="AP1" s="20"/>
      <c r="AQ1" s="20"/>
      <c r="AR1" s="20"/>
      <c r="AS1" s="20"/>
    </row>
    <row r="2" s="2" customFormat="1" spans="1:36">
      <c r="A2" s="8"/>
      <c r="B2" s="9">
        <f>SUM(F3:F121)</f>
        <v>791700</v>
      </c>
      <c r="C2" s="1"/>
      <c r="D2" s="10">
        <f>SUM(G3:G121)</f>
        <v>648440</v>
      </c>
      <c r="E2" s="11" t="s">
        <v>8</v>
      </c>
      <c r="F2" s="9">
        <f>G2/1.04+H2</f>
        <v>791700</v>
      </c>
      <c r="G2" s="10">
        <f t="shared" ref="G2:G16" si="0">SUM(I2:AM2)</f>
        <v>648440</v>
      </c>
      <c r="H2" s="12">
        <f>SUM(H3:H121)</f>
        <v>168200</v>
      </c>
      <c r="I2" s="2">
        <f>SUM(I3:I121)</f>
        <v>41080</v>
      </c>
      <c r="J2" s="2">
        <f>SUM(J3:J121)</f>
        <v>53040</v>
      </c>
      <c r="K2" s="2">
        <f>SUM(K3:K121)</f>
        <v>45760</v>
      </c>
      <c r="L2" s="2">
        <f t="shared" ref="L2:AM2" si="1">SUM(L3:L121)</f>
        <v>47840</v>
      </c>
      <c r="M2" s="2">
        <f t="shared" si="1"/>
        <v>26000</v>
      </c>
      <c r="N2" s="2">
        <f t="shared" si="1"/>
        <v>45760</v>
      </c>
      <c r="O2" s="2">
        <f t="shared" si="1"/>
        <v>68640</v>
      </c>
      <c r="P2" s="2">
        <f t="shared" si="1"/>
        <v>54080</v>
      </c>
      <c r="Q2" s="2">
        <f t="shared" si="1"/>
        <v>46280</v>
      </c>
      <c r="R2" s="2">
        <f t="shared" si="1"/>
        <v>28080</v>
      </c>
      <c r="S2" s="2">
        <f t="shared" si="1"/>
        <v>42640</v>
      </c>
      <c r="T2" s="2">
        <f t="shared" si="1"/>
        <v>58760</v>
      </c>
      <c r="U2" s="2">
        <f t="shared" si="1"/>
        <v>42640</v>
      </c>
      <c r="V2" s="2">
        <f t="shared" si="1"/>
        <v>47840</v>
      </c>
      <c r="W2" s="2">
        <f t="shared" si="1"/>
        <v>0</v>
      </c>
      <c r="X2" s="2">
        <f t="shared" si="1"/>
        <v>0</v>
      </c>
      <c r="Y2" s="2">
        <f t="shared" si="1"/>
        <v>0</v>
      </c>
      <c r="Z2" s="2">
        <f t="shared" si="1"/>
        <v>0</v>
      </c>
      <c r="AA2" s="2">
        <f t="shared" si="1"/>
        <v>0</v>
      </c>
      <c r="AB2" s="2">
        <f t="shared" si="1"/>
        <v>0</v>
      </c>
      <c r="AC2" s="2">
        <f t="shared" si="1"/>
        <v>0</v>
      </c>
      <c r="AD2" s="2">
        <f t="shared" si="1"/>
        <v>0</v>
      </c>
      <c r="AE2" s="2">
        <f t="shared" si="1"/>
        <v>0</v>
      </c>
      <c r="AF2" s="2">
        <f t="shared" si="1"/>
        <v>0</v>
      </c>
      <c r="AG2" s="2">
        <f t="shared" si="1"/>
        <v>0</v>
      </c>
      <c r="AH2" s="2">
        <f t="shared" si="1"/>
        <v>0</v>
      </c>
      <c r="AI2" s="2">
        <f t="shared" si="1"/>
        <v>0</v>
      </c>
      <c r="AJ2" s="2">
        <f t="shared" si="1"/>
        <v>0</v>
      </c>
    </row>
    <row r="3" s="3" customFormat="1" spans="1:41">
      <c r="A3" s="3">
        <v>1</v>
      </c>
      <c r="D3" s="3" t="s">
        <v>9</v>
      </c>
      <c r="E3" s="13" t="s">
        <v>10</v>
      </c>
      <c r="F3" s="1">
        <f t="shared" ref="F3:F34" si="2">G3/1.04+H3</f>
        <v>6000</v>
      </c>
      <c r="G3" s="1">
        <f t="shared" si="0"/>
        <v>3120</v>
      </c>
      <c r="H3" s="14">
        <v>3000</v>
      </c>
      <c r="I3" s="4"/>
      <c r="J3" s="4"/>
      <c r="K3" s="4"/>
      <c r="L3" s="4"/>
      <c r="M3" s="4"/>
      <c r="N3" s="4"/>
      <c r="O3" s="4"/>
      <c r="P3" s="4">
        <v>3120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="3" customFormat="1" spans="1:41">
      <c r="A4" s="3">
        <v>2</v>
      </c>
      <c r="D4" s="3" t="s">
        <v>9</v>
      </c>
      <c r="E4" s="13" t="s">
        <v>11</v>
      </c>
      <c r="F4" s="1">
        <f t="shared" si="2"/>
        <v>6000</v>
      </c>
      <c r="G4" s="1">
        <f t="shared" si="0"/>
        <v>4160</v>
      </c>
      <c r="H4" s="14">
        <v>2000</v>
      </c>
      <c r="I4" s="4"/>
      <c r="J4" s="4">
        <v>1040</v>
      </c>
      <c r="K4" s="4"/>
      <c r="L4" s="4"/>
      <c r="M4" s="4"/>
      <c r="N4" s="4"/>
      <c r="O4" s="4">
        <v>1040</v>
      </c>
      <c r="P4" s="4"/>
      <c r="Q4" s="4"/>
      <c r="R4" s="4"/>
      <c r="S4" s="4"/>
      <c r="T4" s="4">
        <v>1040</v>
      </c>
      <c r="U4" s="4"/>
      <c r="V4" s="4">
        <v>1040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="3" customFormat="1" spans="1:41">
      <c r="A5" s="3">
        <v>3</v>
      </c>
      <c r="B5" s="3" t="s">
        <v>12</v>
      </c>
      <c r="D5" s="3" t="s">
        <v>9</v>
      </c>
      <c r="E5" s="13" t="s">
        <v>13</v>
      </c>
      <c r="F5" s="1">
        <f t="shared" si="2"/>
        <v>10500</v>
      </c>
      <c r="G5" s="1">
        <f t="shared" si="0"/>
        <v>7280</v>
      </c>
      <c r="H5" s="14">
        <v>3500</v>
      </c>
      <c r="I5" s="4">
        <v>1040</v>
      </c>
      <c r="J5" s="4">
        <v>1040</v>
      </c>
      <c r="K5" s="4">
        <v>1040</v>
      </c>
      <c r="L5" s="4"/>
      <c r="M5" s="4"/>
      <c r="N5" s="4">
        <v>1040</v>
      </c>
      <c r="O5" s="4">
        <v>1040</v>
      </c>
      <c r="P5" s="4">
        <v>1040</v>
      </c>
      <c r="Q5" s="4"/>
      <c r="R5" s="4"/>
      <c r="S5" s="4"/>
      <c r="T5" s="4">
        <v>1040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="3" customFormat="1" spans="1:41">
      <c r="A6" s="3">
        <v>4</v>
      </c>
      <c r="B6" s="3" t="s">
        <v>14</v>
      </c>
      <c r="D6" s="3" t="s">
        <v>9</v>
      </c>
      <c r="E6" s="13" t="s">
        <v>15</v>
      </c>
      <c r="F6" s="1">
        <f t="shared" si="2"/>
        <v>15000</v>
      </c>
      <c r="G6" s="1">
        <f t="shared" si="0"/>
        <v>10400</v>
      </c>
      <c r="H6" s="14">
        <v>5000</v>
      </c>
      <c r="I6" s="4"/>
      <c r="J6" s="4"/>
      <c r="K6" s="4"/>
      <c r="L6" s="4"/>
      <c r="M6" s="4"/>
      <c r="N6" s="4">
        <v>5200</v>
      </c>
      <c r="O6" s="4"/>
      <c r="P6" s="4"/>
      <c r="Q6" s="4"/>
      <c r="R6" s="4"/>
      <c r="S6" s="4"/>
      <c r="T6" s="4"/>
      <c r="U6" s="4">
        <v>5200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="3" customFormat="1" spans="1:41">
      <c r="A7" s="3">
        <v>5</v>
      </c>
      <c r="B7" s="3" t="s">
        <v>16</v>
      </c>
      <c r="D7" s="3" t="s">
        <v>9</v>
      </c>
      <c r="E7" s="13" t="s">
        <v>17</v>
      </c>
      <c r="F7" s="1">
        <f t="shared" si="2"/>
        <v>41000</v>
      </c>
      <c r="G7" s="1">
        <f t="shared" si="0"/>
        <v>31200</v>
      </c>
      <c r="H7" s="14">
        <v>11000</v>
      </c>
      <c r="I7" s="4">
        <v>2080</v>
      </c>
      <c r="J7" s="4">
        <v>4160</v>
      </c>
      <c r="K7" s="4">
        <v>2080</v>
      </c>
      <c r="L7" s="4">
        <v>2080</v>
      </c>
      <c r="M7" s="4"/>
      <c r="N7" s="4">
        <v>2080</v>
      </c>
      <c r="O7" s="4">
        <v>2080</v>
      </c>
      <c r="P7" s="4">
        <v>2080</v>
      </c>
      <c r="Q7" s="4">
        <v>4160</v>
      </c>
      <c r="R7" s="4">
        <v>2080</v>
      </c>
      <c r="S7" s="4">
        <v>2080</v>
      </c>
      <c r="T7" s="4">
        <v>2080</v>
      </c>
      <c r="U7" s="4">
        <v>2080</v>
      </c>
      <c r="V7" s="4">
        <v>2080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="3" customFormat="1" spans="1:41">
      <c r="A8" s="3">
        <v>6</v>
      </c>
      <c r="B8" s="3" t="s">
        <v>18</v>
      </c>
      <c r="D8" s="3" t="s">
        <v>9</v>
      </c>
      <c r="E8" s="13" t="s">
        <v>19</v>
      </c>
      <c r="F8" s="1">
        <f t="shared" si="2"/>
        <v>4000</v>
      </c>
      <c r="G8" s="1">
        <f t="shared" si="0"/>
        <v>4160</v>
      </c>
      <c r="H8" s="14">
        <v>0</v>
      </c>
      <c r="I8" s="4"/>
      <c r="J8" s="4">
        <v>2080</v>
      </c>
      <c r="K8" s="4"/>
      <c r="L8" s="4"/>
      <c r="M8" s="4"/>
      <c r="N8" s="4"/>
      <c r="O8" s="4"/>
      <c r="P8" s="4"/>
      <c r="Q8" s="4"/>
      <c r="R8" s="4"/>
      <c r="S8" s="4"/>
      <c r="T8" s="4">
        <v>2080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="3" customFormat="1" spans="1:41">
      <c r="A9" s="3">
        <v>7</v>
      </c>
      <c r="D9" s="3" t="s">
        <v>9</v>
      </c>
      <c r="E9" s="13" t="s">
        <v>20</v>
      </c>
      <c r="F9" s="1">
        <f t="shared" si="2"/>
        <v>4000</v>
      </c>
      <c r="G9" s="1">
        <f t="shared" si="0"/>
        <v>2080</v>
      </c>
      <c r="H9" s="14">
        <v>2000</v>
      </c>
      <c r="I9" s="4"/>
      <c r="J9" s="4"/>
      <c r="K9" s="4"/>
      <c r="L9" s="4"/>
      <c r="M9" s="4"/>
      <c r="N9" s="4"/>
      <c r="O9" s="4">
        <v>2080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="3" customFormat="1" spans="1:41">
      <c r="A10" s="3">
        <v>8</v>
      </c>
      <c r="B10" s="3" t="s">
        <v>21</v>
      </c>
      <c r="D10" s="3" t="s">
        <v>9</v>
      </c>
      <c r="E10" s="13" t="s">
        <v>22</v>
      </c>
      <c r="F10" s="1">
        <f t="shared" si="2"/>
        <v>20000</v>
      </c>
      <c r="G10" s="1">
        <f t="shared" si="0"/>
        <v>15600</v>
      </c>
      <c r="H10" s="14">
        <v>5000</v>
      </c>
      <c r="I10" s="4"/>
      <c r="J10" s="4"/>
      <c r="K10" s="4"/>
      <c r="L10" s="4">
        <v>5200</v>
      </c>
      <c r="M10" s="4"/>
      <c r="N10" s="4"/>
      <c r="O10" s="4"/>
      <c r="P10" s="4"/>
      <c r="Q10" s="4">
        <v>5200</v>
      </c>
      <c r="R10" s="4"/>
      <c r="S10" s="4"/>
      <c r="T10" s="4"/>
      <c r="U10" s="4"/>
      <c r="V10" s="4">
        <v>5200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="3" customFormat="1" spans="1:41">
      <c r="A11" s="3">
        <v>9</v>
      </c>
      <c r="D11" s="3" t="s">
        <v>23</v>
      </c>
      <c r="E11" s="13" t="s">
        <v>24</v>
      </c>
      <c r="F11" s="1">
        <f t="shared" si="2"/>
        <v>6000</v>
      </c>
      <c r="G11" s="1">
        <f t="shared" si="0"/>
        <v>4160</v>
      </c>
      <c r="H11" s="14">
        <v>2000</v>
      </c>
      <c r="I11" s="4"/>
      <c r="J11" s="4">
        <v>2080</v>
      </c>
      <c r="K11" s="4"/>
      <c r="L11" s="4"/>
      <c r="M11" s="4"/>
      <c r="N11" s="4"/>
      <c r="O11" s="4"/>
      <c r="P11" s="4"/>
      <c r="Q11" s="4"/>
      <c r="R11" s="4"/>
      <c r="S11" s="4"/>
      <c r="T11" s="4">
        <v>2080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="3" customFormat="1" spans="1:41">
      <c r="A12" s="3">
        <v>10</v>
      </c>
      <c r="D12" s="3" t="s">
        <v>23</v>
      </c>
      <c r="E12" s="13" t="s">
        <v>25</v>
      </c>
      <c r="F12" s="1">
        <f t="shared" si="2"/>
        <v>5000</v>
      </c>
      <c r="G12" s="1">
        <f t="shared" si="0"/>
        <v>5200</v>
      </c>
      <c r="H12" s="14">
        <v>0</v>
      </c>
      <c r="I12" s="4">
        <v>1040</v>
      </c>
      <c r="J12" s="4">
        <v>1040</v>
      </c>
      <c r="K12" s="4"/>
      <c r="L12" s="4"/>
      <c r="M12" s="4">
        <v>1040</v>
      </c>
      <c r="N12" s="4"/>
      <c r="O12" s="4"/>
      <c r="P12" s="4">
        <v>1040</v>
      </c>
      <c r="Q12" s="4"/>
      <c r="R12" s="4"/>
      <c r="S12" s="4"/>
      <c r="T12" s="4"/>
      <c r="U12" s="4">
        <v>1040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="3" customFormat="1" spans="1:41">
      <c r="A13" s="3">
        <v>11</v>
      </c>
      <c r="D13" s="3" t="s">
        <v>23</v>
      </c>
      <c r="E13" s="13" t="s">
        <v>26</v>
      </c>
      <c r="F13" s="1">
        <f t="shared" si="2"/>
        <v>15000</v>
      </c>
      <c r="G13" s="1">
        <f t="shared" si="0"/>
        <v>15600</v>
      </c>
      <c r="H13" s="14">
        <v>0</v>
      </c>
      <c r="I13" s="4"/>
      <c r="J13" s="4"/>
      <c r="K13" s="4">
        <v>5200</v>
      </c>
      <c r="L13" s="4"/>
      <c r="M13" s="4"/>
      <c r="N13" s="4"/>
      <c r="O13" s="4">
        <v>5200</v>
      </c>
      <c r="P13" s="4"/>
      <c r="Q13" s="4"/>
      <c r="R13" s="4"/>
      <c r="S13" s="4"/>
      <c r="T13" s="4">
        <v>5200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="3" customFormat="1" spans="1:41">
      <c r="A14" s="3">
        <v>12</v>
      </c>
      <c r="D14" s="3" t="s">
        <v>23</v>
      </c>
      <c r="E14" s="13" t="s">
        <v>27</v>
      </c>
      <c r="F14" s="1">
        <f t="shared" si="2"/>
        <v>30500</v>
      </c>
      <c r="G14" s="1">
        <f t="shared" si="0"/>
        <v>20800</v>
      </c>
      <c r="H14" s="14">
        <v>10500</v>
      </c>
      <c r="I14" s="4"/>
      <c r="J14" s="4"/>
      <c r="K14" s="4">
        <v>5200</v>
      </c>
      <c r="L14" s="4"/>
      <c r="M14" s="4"/>
      <c r="N14" s="4">
        <v>5200</v>
      </c>
      <c r="O14" s="4"/>
      <c r="P14" s="4"/>
      <c r="Q14" s="4">
        <v>5200</v>
      </c>
      <c r="R14" s="4"/>
      <c r="S14" s="4"/>
      <c r="T14" s="4">
        <v>5200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="3" customFormat="1" spans="1:41">
      <c r="A15" s="3">
        <v>13</v>
      </c>
      <c r="B15" s="3" t="s">
        <v>28</v>
      </c>
      <c r="D15" s="3" t="s">
        <v>23</v>
      </c>
      <c r="E15" s="13" t="s">
        <v>29</v>
      </c>
      <c r="F15" s="1">
        <f t="shared" si="2"/>
        <v>8000</v>
      </c>
      <c r="G15" s="1">
        <f t="shared" si="0"/>
        <v>6240</v>
      </c>
      <c r="H15" s="14">
        <v>2000</v>
      </c>
      <c r="I15" s="4"/>
      <c r="J15" s="4"/>
      <c r="K15" s="4"/>
      <c r="L15" s="4"/>
      <c r="M15" s="4">
        <v>2080</v>
      </c>
      <c r="N15" s="4"/>
      <c r="O15" s="4"/>
      <c r="P15" s="4">
        <v>2080</v>
      </c>
      <c r="Q15" s="4"/>
      <c r="R15" s="4"/>
      <c r="S15" s="4"/>
      <c r="T15" s="4"/>
      <c r="U15" s="4"/>
      <c r="V15" s="4">
        <v>2080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>
      <c r="A16" s="3">
        <v>14</v>
      </c>
      <c r="D16" s="3" t="s">
        <v>23</v>
      </c>
      <c r="E16" s="13" t="s">
        <v>30</v>
      </c>
      <c r="F16" s="1">
        <f t="shared" si="2"/>
        <v>5200</v>
      </c>
      <c r="G16" s="1">
        <f t="shared" si="0"/>
        <v>3120</v>
      </c>
      <c r="H16" s="14">
        <v>2200</v>
      </c>
      <c r="I16" s="4"/>
      <c r="J16" s="4"/>
      <c r="K16" s="4"/>
      <c r="L16" s="4"/>
      <c r="M16" s="4"/>
      <c r="N16" s="4"/>
      <c r="O16" s="4"/>
      <c r="P16" s="4"/>
      <c r="Q16" s="4">
        <v>1040</v>
      </c>
      <c r="R16" s="4"/>
      <c r="S16" s="4"/>
      <c r="T16" s="4"/>
      <c r="U16" s="4"/>
      <c r="V16" s="4">
        <v>2080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="3" customFormat="1" spans="1:41">
      <c r="A17" s="3">
        <v>15</v>
      </c>
      <c r="D17" s="3" t="s">
        <v>23</v>
      </c>
      <c r="E17" s="13" t="s">
        <v>31</v>
      </c>
      <c r="F17" s="1">
        <f t="shared" si="2"/>
        <v>8000</v>
      </c>
      <c r="G17" s="1">
        <f t="shared" ref="G17:G39" si="3">SUM(I17:AM17)</f>
        <v>9360</v>
      </c>
      <c r="H17" s="14">
        <v>-1000</v>
      </c>
      <c r="I17" s="4"/>
      <c r="J17" s="4">
        <v>3120</v>
      </c>
      <c r="K17" s="4"/>
      <c r="L17" s="4"/>
      <c r="M17" s="4"/>
      <c r="N17" s="4"/>
      <c r="O17" s="4"/>
      <c r="P17" s="4">
        <v>3120</v>
      </c>
      <c r="Q17" s="4"/>
      <c r="R17" s="4"/>
      <c r="S17" s="4"/>
      <c r="T17" s="4"/>
      <c r="U17" s="4"/>
      <c r="V17" s="4">
        <v>3120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="3" customFormat="1" spans="1:41">
      <c r="A18" s="3">
        <v>16</v>
      </c>
      <c r="D18" s="3" t="s">
        <v>32</v>
      </c>
      <c r="E18" s="13" t="s">
        <v>33</v>
      </c>
      <c r="F18" s="1">
        <f t="shared" si="2"/>
        <v>20000</v>
      </c>
      <c r="G18" s="1">
        <f t="shared" si="3"/>
        <v>15600</v>
      </c>
      <c r="H18" s="14">
        <v>5000</v>
      </c>
      <c r="I18" s="4"/>
      <c r="J18" s="4"/>
      <c r="K18" s="4">
        <v>5200</v>
      </c>
      <c r="L18" s="4"/>
      <c r="M18" s="4"/>
      <c r="N18" s="4"/>
      <c r="O18" s="4">
        <v>5200</v>
      </c>
      <c r="P18" s="4"/>
      <c r="Q18" s="4"/>
      <c r="R18" s="4"/>
      <c r="S18" s="4"/>
      <c r="T18" s="4"/>
      <c r="U18" s="4">
        <v>5200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="3" customFormat="1" spans="1:41">
      <c r="A19" s="3">
        <v>17</v>
      </c>
      <c r="D19" s="3" t="s">
        <v>32</v>
      </c>
      <c r="E19" s="13" t="s">
        <v>34</v>
      </c>
      <c r="F19" s="1">
        <f t="shared" si="2"/>
        <v>6000</v>
      </c>
      <c r="G19" s="1">
        <f t="shared" si="3"/>
        <v>6240</v>
      </c>
      <c r="H19" s="14">
        <v>0</v>
      </c>
      <c r="I19" s="4"/>
      <c r="J19" s="4"/>
      <c r="K19" s="4"/>
      <c r="L19" s="4">
        <v>2080</v>
      </c>
      <c r="M19" s="4"/>
      <c r="N19" s="4"/>
      <c r="O19" s="4"/>
      <c r="P19" s="4"/>
      <c r="Q19" s="4">
        <v>2080</v>
      </c>
      <c r="R19" s="4"/>
      <c r="S19" s="4"/>
      <c r="T19" s="4">
        <v>2080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="3" customFormat="1" spans="1:41">
      <c r="A20" s="3">
        <v>18</v>
      </c>
      <c r="D20" s="3" t="s">
        <v>32</v>
      </c>
      <c r="E20" s="13" t="s">
        <v>35</v>
      </c>
      <c r="F20" s="1">
        <f t="shared" si="2"/>
        <v>3000</v>
      </c>
      <c r="G20" s="1">
        <f t="shared" si="3"/>
        <v>2080</v>
      </c>
      <c r="H20" s="14">
        <v>1000</v>
      </c>
      <c r="I20" s="4"/>
      <c r="J20" s="4">
        <v>1040</v>
      </c>
      <c r="K20" s="4"/>
      <c r="L20" s="4"/>
      <c r="M20" s="4"/>
      <c r="N20" s="4">
        <v>1040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="3" customFormat="1" spans="1:41">
      <c r="A21" s="3">
        <v>19</v>
      </c>
      <c r="D21" s="3" t="s">
        <v>32</v>
      </c>
      <c r="E21" s="13" t="s">
        <v>36</v>
      </c>
      <c r="F21" s="1">
        <f t="shared" si="2"/>
        <v>15000</v>
      </c>
      <c r="G21" s="1">
        <f t="shared" si="3"/>
        <v>15600</v>
      </c>
      <c r="H21" s="14">
        <v>0</v>
      </c>
      <c r="I21" s="4">
        <v>5200</v>
      </c>
      <c r="J21" s="4"/>
      <c r="K21" s="4"/>
      <c r="L21" s="4"/>
      <c r="M21" s="4">
        <v>5200</v>
      </c>
      <c r="N21" s="4"/>
      <c r="O21" s="4"/>
      <c r="P21" s="4"/>
      <c r="Q21" s="4"/>
      <c r="R21" s="4">
        <v>5200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="3" customFormat="1" spans="1:41">
      <c r="A22" s="3">
        <v>20</v>
      </c>
      <c r="D22" s="3" t="s">
        <v>32</v>
      </c>
      <c r="E22" s="13" t="s">
        <v>37</v>
      </c>
      <c r="F22" s="1">
        <f t="shared" si="2"/>
        <v>5000</v>
      </c>
      <c r="G22" s="1">
        <f t="shared" si="3"/>
        <v>4160</v>
      </c>
      <c r="H22" s="14">
        <v>1000</v>
      </c>
      <c r="I22" s="4"/>
      <c r="J22" s="4">
        <v>1040</v>
      </c>
      <c r="K22" s="4"/>
      <c r="L22" s="4"/>
      <c r="M22" s="4"/>
      <c r="N22" s="4"/>
      <c r="O22" s="4">
        <v>1040</v>
      </c>
      <c r="P22" s="4"/>
      <c r="Q22" s="4"/>
      <c r="R22" s="4">
        <v>1040</v>
      </c>
      <c r="S22" s="4"/>
      <c r="T22" s="4">
        <v>1040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="3" customFormat="1" spans="1:41">
      <c r="A23" s="3">
        <v>21</v>
      </c>
      <c r="D23" s="3" t="s">
        <v>32</v>
      </c>
      <c r="E23" s="13" t="s">
        <v>38</v>
      </c>
      <c r="F23" s="1">
        <f t="shared" si="2"/>
        <v>12000</v>
      </c>
      <c r="G23" s="1">
        <f t="shared" si="3"/>
        <v>12480</v>
      </c>
      <c r="H23" s="14">
        <v>0</v>
      </c>
      <c r="I23" s="4"/>
      <c r="J23" s="4">
        <v>3120</v>
      </c>
      <c r="K23" s="4"/>
      <c r="L23" s="4">
        <v>3120</v>
      </c>
      <c r="M23" s="4"/>
      <c r="N23" s="4"/>
      <c r="O23" s="4">
        <v>3120</v>
      </c>
      <c r="P23" s="4"/>
      <c r="Q23" s="4"/>
      <c r="R23" s="4"/>
      <c r="S23" s="4"/>
      <c r="T23" s="4">
        <v>3120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="3" customFormat="1" spans="1:41">
      <c r="A24" s="3">
        <v>22</v>
      </c>
      <c r="D24" s="3" t="s">
        <v>32</v>
      </c>
      <c r="E24" s="13" t="s">
        <v>39</v>
      </c>
      <c r="F24" s="1">
        <f t="shared" si="2"/>
        <v>20000</v>
      </c>
      <c r="G24" s="1">
        <f t="shared" si="3"/>
        <v>20800</v>
      </c>
      <c r="H24" s="14">
        <v>0</v>
      </c>
      <c r="I24" s="4">
        <v>5200</v>
      </c>
      <c r="J24" s="4"/>
      <c r="K24" s="4"/>
      <c r="L24" s="4">
        <v>5200</v>
      </c>
      <c r="M24" s="4"/>
      <c r="N24" s="4"/>
      <c r="O24" s="4"/>
      <c r="P24" s="4">
        <v>5200</v>
      </c>
      <c r="Q24" s="4"/>
      <c r="R24" s="4"/>
      <c r="S24" s="4">
        <v>5200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="3" customFormat="1" spans="1:41">
      <c r="A25" s="3">
        <v>23</v>
      </c>
      <c r="D25" s="3" t="s">
        <v>32</v>
      </c>
      <c r="E25" s="13" t="s">
        <v>40</v>
      </c>
      <c r="F25" s="1">
        <f t="shared" si="2"/>
        <v>6000</v>
      </c>
      <c r="G25" s="1">
        <f t="shared" si="3"/>
        <v>3120</v>
      </c>
      <c r="H25" s="14">
        <v>3000</v>
      </c>
      <c r="I25" s="4"/>
      <c r="J25" s="4"/>
      <c r="K25" s="4"/>
      <c r="L25" s="4"/>
      <c r="M25" s="4"/>
      <c r="N25" s="4"/>
      <c r="O25" s="4">
        <v>3120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="3" customFormat="1" spans="1:41">
      <c r="A26" s="3">
        <v>24</v>
      </c>
      <c r="D26" s="3" t="s">
        <v>32</v>
      </c>
      <c r="E26" s="13" t="s">
        <v>41</v>
      </c>
      <c r="F26" s="1">
        <f t="shared" si="2"/>
        <v>10500</v>
      </c>
      <c r="G26" s="1">
        <f t="shared" si="3"/>
        <v>8320</v>
      </c>
      <c r="H26" s="14">
        <v>2500</v>
      </c>
      <c r="I26" s="4"/>
      <c r="J26" s="4"/>
      <c r="K26" s="4">
        <v>2080</v>
      </c>
      <c r="L26" s="4"/>
      <c r="M26" s="4"/>
      <c r="N26" s="4"/>
      <c r="O26" s="4">
        <v>2080</v>
      </c>
      <c r="P26" s="4"/>
      <c r="Q26" s="4"/>
      <c r="R26" s="4"/>
      <c r="S26" s="4">
        <v>2080</v>
      </c>
      <c r="T26" s="4"/>
      <c r="U26" s="4"/>
      <c r="V26" s="4">
        <v>2080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="3" customFormat="1" spans="1:41">
      <c r="A27" s="3">
        <v>25</v>
      </c>
      <c r="D27" s="3" t="s">
        <v>32</v>
      </c>
      <c r="E27" s="13" t="s">
        <v>42</v>
      </c>
      <c r="F27" s="1">
        <f t="shared" si="2"/>
        <v>4000</v>
      </c>
      <c r="G27" s="1">
        <f>SUM(J27:AM27)</f>
        <v>4160</v>
      </c>
      <c r="H27" s="14">
        <v>0</v>
      </c>
      <c r="J27" s="4">
        <v>2080</v>
      </c>
      <c r="K27" s="4"/>
      <c r="L27" s="4"/>
      <c r="M27" s="4"/>
      <c r="N27" s="4"/>
      <c r="O27" s="4"/>
      <c r="P27" s="4"/>
      <c r="Q27" s="4"/>
      <c r="R27" s="4">
        <v>2080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="3" customFormat="1" spans="1:41">
      <c r="A28" s="3">
        <v>26</v>
      </c>
      <c r="D28" s="3" t="s">
        <v>32</v>
      </c>
      <c r="E28" s="13" t="s">
        <v>43</v>
      </c>
      <c r="F28" s="1">
        <f t="shared" si="2"/>
        <v>4000</v>
      </c>
      <c r="G28" s="1">
        <f t="shared" si="3"/>
        <v>2080</v>
      </c>
      <c r="H28" s="14">
        <v>2000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v>2080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="3" customFormat="1" spans="1:41">
      <c r="A29" s="3">
        <v>27</v>
      </c>
      <c r="D29" s="3" t="s">
        <v>32</v>
      </c>
      <c r="E29" s="13" t="s">
        <v>44</v>
      </c>
      <c r="F29" s="1">
        <f t="shared" si="2"/>
        <v>16000</v>
      </c>
      <c r="G29" s="1">
        <f t="shared" si="3"/>
        <v>16640</v>
      </c>
      <c r="H29" s="14">
        <v>0</v>
      </c>
      <c r="I29" s="19">
        <v>520</v>
      </c>
      <c r="J29" s="4">
        <v>5200</v>
      </c>
      <c r="K29" s="4"/>
      <c r="L29" s="4"/>
      <c r="M29" s="4"/>
      <c r="N29" s="4"/>
      <c r="O29" s="4">
        <v>5200</v>
      </c>
      <c r="P29" s="4"/>
      <c r="Q29" s="4"/>
      <c r="R29" s="4"/>
      <c r="S29" s="4"/>
      <c r="T29" s="19">
        <v>520</v>
      </c>
      <c r="U29" s="4">
        <v>5200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="3" customFormat="1" spans="1:41">
      <c r="A30" s="3">
        <v>28</v>
      </c>
      <c r="D30" s="3" t="s">
        <v>32</v>
      </c>
      <c r="E30" s="13" t="s">
        <v>45</v>
      </c>
      <c r="F30" s="1">
        <f t="shared" si="2"/>
        <v>25000</v>
      </c>
      <c r="G30" s="1">
        <f t="shared" si="3"/>
        <v>26000</v>
      </c>
      <c r="H30" s="14">
        <v>0</v>
      </c>
      <c r="I30" s="4">
        <v>5200</v>
      </c>
      <c r="J30" s="4"/>
      <c r="K30" s="4"/>
      <c r="L30" s="4"/>
      <c r="M30" s="4">
        <v>5200</v>
      </c>
      <c r="N30" s="4"/>
      <c r="O30" s="4"/>
      <c r="P30" s="4">
        <v>5200</v>
      </c>
      <c r="Q30" s="4"/>
      <c r="R30" s="4"/>
      <c r="S30" s="4">
        <v>5200</v>
      </c>
      <c r="T30" s="4"/>
      <c r="U30" s="4"/>
      <c r="V30" s="4">
        <v>5200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="3" customFormat="1" spans="1:41">
      <c r="A31" s="3">
        <v>29</v>
      </c>
      <c r="D31" s="3" t="s">
        <v>32</v>
      </c>
      <c r="E31" s="13" t="s">
        <v>46</v>
      </c>
      <c r="F31" s="1">
        <f t="shared" si="2"/>
        <v>9000</v>
      </c>
      <c r="G31" s="1">
        <f t="shared" si="3"/>
        <v>8320</v>
      </c>
      <c r="H31" s="14">
        <v>1000</v>
      </c>
      <c r="I31" s="4"/>
      <c r="J31" s="4"/>
      <c r="K31" s="4"/>
      <c r="L31" s="4">
        <v>2080</v>
      </c>
      <c r="M31" s="4"/>
      <c r="N31" s="4"/>
      <c r="O31" s="4">
        <v>2080</v>
      </c>
      <c r="P31" s="4"/>
      <c r="Q31" s="4"/>
      <c r="R31" s="4"/>
      <c r="S31" s="4">
        <v>2080</v>
      </c>
      <c r="T31" s="4"/>
      <c r="U31" s="4"/>
      <c r="V31" s="4">
        <v>2080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="3" customFormat="1" spans="1:41">
      <c r="A32" s="3">
        <v>30</v>
      </c>
      <c r="D32" s="3" t="s">
        <v>47</v>
      </c>
      <c r="E32" s="13" t="s">
        <v>48</v>
      </c>
      <c r="F32" s="1">
        <f t="shared" si="2"/>
        <v>6000</v>
      </c>
      <c r="G32" s="1">
        <f t="shared" si="3"/>
        <v>5200</v>
      </c>
      <c r="H32" s="14">
        <v>1000</v>
      </c>
      <c r="I32" s="4"/>
      <c r="J32" s="4">
        <v>1040</v>
      </c>
      <c r="K32" s="4"/>
      <c r="L32" s="4">
        <v>1040</v>
      </c>
      <c r="M32" s="4"/>
      <c r="N32" s="4"/>
      <c r="O32" s="4">
        <v>1040</v>
      </c>
      <c r="P32" s="4">
        <v>1040</v>
      </c>
      <c r="Q32" s="4"/>
      <c r="R32" s="4"/>
      <c r="S32" s="4"/>
      <c r="T32" s="4"/>
      <c r="U32" s="4"/>
      <c r="V32" s="4">
        <v>1040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="3" customFormat="1" spans="1:41">
      <c r="A33" s="3">
        <v>31</v>
      </c>
      <c r="D33" s="3" t="s">
        <v>47</v>
      </c>
      <c r="E33" s="13" t="s">
        <v>49</v>
      </c>
      <c r="F33" s="1">
        <f t="shared" si="2"/>
        <v>4000</v>
      </c>
      <c r="G33" s="1">
        <f t="shared" si="3"/>
        <v>4160</v>
      </c>
      <c r="H33" s="14">
        <v>0</v>
      </c>
      <c r="I33" s="4">
        <v>1040</v>
      </c>
      <c r="J33" s="4"/>
      <c r="K33" s="4"/>
      <c r="L33" s="4"/>
      <c r="M33" s="4"/>
      <c r="N33" s="4"/>
      <c r="O33" s="4">
        <v>1040</v>
      </c>
      <c r="P33" s="4">
        <v>1040</v>
      </c>
      <c r="Q33" s="4"/>
      <c r="R33" s="4">
        <v>1040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="3" customFormat="1" spans="1:41">
      <c r="A34" s="3">
        <v>32</v>
      </c>
      <c r="D34" s="3" t="s">
        <v>47</v>
      </c>
      <c r="E34" s="13" t="s">
        <v>50</v>
      </c>
      <c r="F34" s="1">
        <f t="shared" si="2"/>
        <v>4000</v>
      </c>
      <c r="G34" s="1">
        <f t="shared" si="3"/>
        <v>2080</v>
      </c>
      <c r="H34" s="14">
        <v>2000</v>
      </c>
      <c r="I34" s="4"/>
      <c r="J34" s="4"/>
      <c r="K34" s="4"/>
      <c r="L34" s="4"/>
      <c r="M34" s="4"/>
      <c r="N34" s="4"/>
      <c r="O34" s="4">
        <v>2080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="3" customFormat="1" spans="1:41">
      <c r="A35" s="3">
        <v>33</v>
      </c>
      <c r="D35" s="3" t="s">
        <v>47</v>
      </c>
      <c r="E35" s="13" t="s">
        <v>51</v>
      </c>
      <c r="F35" s="1">
        <f t="shared" ref="F35:F67" si="4">G35/1.04+H35</f>
        <v>18000</v>
      </c>
      <c r="G35" s="1">
        <f t="shared" si="3"/>
        <v>18720</v>
      </c>
      <c r="H35" s="14">
        <v>0</v>
      </c>
      <c r="I35" s="4">
        <v>3120</v>
      </c>
      <c r="J35" s="4"/>
      <c r="K35" s="4">
        <v>3120</v>
      </c>
      <c r="L35" s="4"/>
      <c r="M35" s="4">
        <v>3120</v>
      </c>
      <c r="N35" s="4"/>
      <c r="O35" s="4"/>
      <c r="P35" s="4"/>
      <c r="Q35" s="4"/>
      <c r="R35" s="4">
        <v>3120</v>
      </c>
      <c r="S35" s="4"/>
      <c r="T35" s="4">
        <v>3120</v>
      </c>
      <c r="U35" s="4"/>
      <c r="V35" s="4">
        <v>3120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="3" customFormat="1" spans="1:41">
      <c r="A36" s="3">
        <v>34</v>
      </c>
      <c r="D36" s="3" t="s">
        <v>47</v>
      </c>
      <c r="E36" s="13" t="s">
        <v>52</v>
      </c>
      <c r="F36" s="1">
        <f t="shared" si="4"/>
        <v>1000</v>
      </c>
      <c r="G36" s="1">
        <f t="shared" si="3"/>
        <v>1040</v>
      </c>
      <c r="H36" s="14">
        <v>0</v>
      </c>
      <c r="I36" s="4"/>
      <c r="J36" s="4"/>
      <c r="K36" s="4"/>
      <c r="L36" s="4"/>
      <c r="M36" s="4"/>
      <c r="N36" s="4"/>
      <c r="O36" s="4"/>
      <c r="P36" s="4">
        <v>1040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="3" customFormat="1" spans="1:41">
      <c r="A37" s="3">
        <v>35</v>
      </c>
      <c r="D37" s="3" t="s">
        <v>47</v>
      </c>
      <c r="E37" s="13" t="s">
        <v>53</v>
      </c>
      <c r="F37" s="1">
        <f t="shared" si="4"/>
        <v>9000</v>
      </c>
      <c r="G37" s="1">
        <f t="shared" si="3"/>
        <v>9360</v>
      </c>
      <c r="H37" s="14">
        <v>0</v>
      </c>
      <c r="I37" s="4"/>
      <c r="J37" s="4">
        <v>3120</v>
      </c>
      <c r="K37" s="4"/>
      <c r="L37" s="4"/>
      <c r="M37" s="4"/>
      <c r="N37" s="4"/>
      <c r="O37" s="4"/>
      <c r="P37" s="4">
        <v>3120</v>
      </c>
      <c r="Q37" s="4"/>
      <c r="R37" s="4"/>
      <c r="S37" s="4"/>
      <c r="T37" s="4"/>
      <c r="U37" s="4"/>
      <c r="V37" s="4">
        <v>3120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="3" customFormat="1" spans="1:41">
      <c r="A38" s="3">
        <v>36</v>
      </c>
      <c r="C38" s="3">
        <v>684087396</v>
      </c>
      <c r="D38" s="3" t="s">
        <v>47</v>
      </c>
      <c r="E38" s="13" t="s">
        <v>54</v>
      </c>
      <c r="F38" s="1">
        <f t="shared" si="4"/>
        <v>4000</v>
      </c>
      <c r="G38" s="1">
        <f t="shared" si="3"/>
        <v>2080</v>
      </c>
      <c r="H38" s="14">
        <v>2000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>
        <v>2080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="3" customFormat="1" spans="1:41">
      <c r="A39" s="3">
        <v>37</v>
      </c>
      <c r="D39" s="3" t="s">
        <v>47</v>
      </c>
      <c r="E39" s="13" t="s">
        <v>55</v>
      </c>
      <c r="F39" s="1">
        <f t="shared" si="4"/>
        <v>6000</v>
      </c>
      <c r="G39" s="1">
        <f t="shared" si="3"/>
        <v>4160</v>
      </c>
      <c r="H39" s="14">
        <v>2000</v>
      </c>
      <c r="I39" s="4">
        <v>2080</v>
      </c>
      <c r="J39" s="4"/>
      <c r="K39" s="4"/>
      <c r="L39" s="4"/>
      <c r="M39" s="4"/>
      <c r="N39" s="4"/>
      <c r="O39" s="4"/>
      <c r="P39" s="4"/>
      <c r="Q39" s="4"/>
      <c r="R39" s="4"/>
      <c r="S39" s="4">
        <v>2080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="3" customFormat="1" spans="1:41">
      <c r="A40" s="3">
        <v>38</v>
      </c>
      <c r="D40" s="3" t="s">
        <v>47</v>
      </c>
      <c r="E40" s="13" t="s">
        <v>56</v>
      </c>
      <c r="F40" s="1">
        <f t="shared" si="4"/>
        <v>2000</v>
      </c>
      <c r="G40" s="1">
        <f>SUM(J40:AM40)</f>
        <v>2080</v>
      </c>
      <c r="H40" s="14">
        <v>0</v>
      </c>
      <c r="I40" s="4"/>
      <c r="J40" s="4"/>
      <c r="K40" s="4"/>
      <c r="L40" s="4">
        <v>2080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="3" customFormat="1" spans="1:41">
      <c r="A41" s="3">
        <v>39</v>
      </c>
      <c r="D41" s="3" t="s">
        <v>47</v>
      </c>
      <c r="E41" s="13" t="s">
        <v>57</v>
      </c>
      <c r="F41" s="1">
        <f t="shared" si="4"/>
        <v>22500</v>
      </c>
      <c r="G41" s="1">
        <f t="shared" ref="G41:G53" si="5">SUM(I41:AM41)</f>
        <v>21840</v>
      </c>
      <c r="H41" s="14">
        <v>1500</v>
      </c>
      <c r="I41" s="4">
        <v>3120</v>
      </c>
      <c r="J41" s="4">
        <v>3120</v>
      </c>
      <c r="K41" s="4"/>
      <c r="L41" s="4">
        <v>3120</v>
      </c>
      <c r="M41" s="4"/>
      <c r="N41" s="4"/>
      <c r="O41" s="4">
        <v>3120</v>
      </c>
      <c r="P41" s="4"/>
      <c r="Q41" s="4">
        <v>3120</v>
      </c>
      <c r="R41" s="4"/>
      <c r="S41" s="4">
        <v>3120</v>
      </c>
      <c r="T41" s="4"/>
      <c r="U41" s="4">
        <v>3120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="3" customFormat="1" spans="1:41">
      <c r="A42" s="3">
        <v>40</v>
      </c>
      <c r="D42" s="3" t="s">
        <v>47</v>
      </c>
      <c r="E42" s="13" t="s">
        <v>58</v>
      </c>
      <c r="F42" s="1">
        <f t="shared" si="4"/>
        <v>2000</v>
      </c>
      <c r="G42" s="1">
        <f t="shared" si="5"/>
        <v>2080</v>
      </c>
      <c r="H42" s="14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>
        <v>2080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="3" customFormat="1" spans="1:41">
      <c r="A43" s="3">
        <v>41</v>
      </c>
      <c r="B43" s="15" t="s">
        <v>59</v>
      </c>
      <c r="D43" s="3" t="s">
        <v>23</v>
      </c>
      <c r="E43" s="13" t="s">
        <v>60</v>
      </c>
      <c r="F43" s="1">
        <f t="shared" si="4"/>
        <v>2000</v>
      </c>
      <c r="G43" s="1">
        <f t="shared" si="5"/>
        <v>1040</v>
      </c>
      <c r="H43" s="14">
        <v>1000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>
        <v>1040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="3" customFormat="1" spans="1:41">
      <c r="A44" s="3">
        <v>42</v>
      </c>
      <c r="D44" s="3" t="s">
        <v>47</v>
      </c>
      <c r="E44" s="13" t="s">
        <v>61</v>
      </c>
      <c r="F44" s="1">
        <f t="shared" si="4"/>
        <v>12000</v>
      </c>
      <c r="G44" s="1">
        <f t="shared" si="5"/>
        <v>12480</v>
      </c>
      <c r="H44" s="14">
        <v>0</v>
      </c>
      <c r="I44" s="4"/>
      <c r="J44" s="4">
        <v>3120</v>
      </c>
      <c r="K44" s="4"/>
      <c r="L44" s="4"/>
      <c r="M44" s="4"/>
      <c r="N44" s="4">
        <v>3120</v>
      </c>
      <c r="O44" s="4"/>
      <c r="P44" s="4"/>
      <c r="Q44" s="4"/>
      <c r="R44" s="4">
        <v>3120</v>
      </c>
      <c r="S44" s="4"/>
      <c r="T44" s="4"/>
      <c r="U44" s="4"/>
      <c r="V44" s="4">
        <v>3120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="3" customFormat="1" spans="1:41">
      <c r="A45" s="3">
        <v>43</v>
      </c>
      <c r="D45" s="3" t="s">
        <v>62</v>
      </c>
      <c r="E45" s="13" t="s">
        <v>63</v>
      </c>
      <c r="F45" s="1">
        <f t="shared" si="4"/>
        <v>12000</v>
      </c>
      <c r="G45" s="1">
        <f t="shared" si="5"/>
        <v>9360</v>
      </c>
      <c r="H45" s="14">
        <v>3000</v>
      </c>
      <c r="I45" s="4"/>
      <c r="J45" s="4"/>
      <c r="K45" s="4">
        <v>3120</v>
      </c>
      <c r="L45" s="4"/>
      <c r="M45" s="4"/>
      <c r="N45" s="4"/>
      <c r="O45" s="4">
        <v>3120</v>
      </c>
      <c r="P45" s="4"/>
      <c r="Q45" s="4"/>
      <c r="R45" s="4"/>
      <c r="S45" s="4"/>
      <c r="T45" s="4"/>
      <c r="U45" s="4">
        <v>3120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="3" customFormat="1" spans="1:41">
      <c r="A46" s="3">
        <v>44</v>
      </c>
      <c r="D46" s="3" t="s">
        <v>62</v>
      </c>
      <c r="E46" s="13" t="s">
        <v>64</v>
      </c>
      <c r="F46" s="1">
        <f t="shared" si="4"/>
        <v>9000</v>
      </c>
      <c r="G46" s="1">
        <f t="shared" si="5"/>
        <v>9360</v>
      </c>
      <c r="H46" s="14">
        <v>0</v>
      </c>
      <c r="I46" s="4"/>
      <c r="J46" s="4"/>
      <c r="K46" s="4"/>
      <c r="L46" s="4">
        <v>3120</v>
      </c>
      <c r="M46" s="4"/>
      <c r="N46" s="4"/>
      <c r="O46" s="4">
        <v>3120</v>
      </c>
      <c r="P46" s="4"/>
      <c r="Q46" s="4"/>
      <c r="R46" s="4"/>
      <c r="S46" s="4">
        <v>3120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="3" customFormat="1" spans="1:41">
      <c r="A47" s="3">
        <v>45</v>
      </c>
      <c r="D47" s="3" t="s">
        <v>62</v>
      </c>
      <c r="E47" s="13" t="s">
        <v>65</v>
      </c>
      <c r="F47" s="1">
        <f t="shared" si="4"/>
        <v>2000</v>
      </c>
      <c r="G47" s="1">
        <f t="shared" si="5"/>
        <v>2080</v>
      </c>
      <c r="H47" s="14">
        <v>0</v>
      </c>
      <c r="I47" s="4"/>
      <c r="J47" s="4"/>
      <c r="K47" s="4">
        <v>2080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="3" customFormat="1" spans="1:41">
      <c r="A48" s="3">
        <v>46</v>
      </c>
      <c r="D48" s="3" t="s">
        <v>62</v>
      </c>
      <c r="E48" s="13" t="s">
        <v>66</v>
      </c>
      <c r="F48" s="1">
        <f t="shared" si="4"/>
        <v>18000</v>
      </c>
      <c r="G48" s="1">
        <f t="shared" si="5"/>
        <v>15600</v>
      </c>
      <c r="H48" s="14">
        <v>3000</v>
      </c>
      <c r="I48" s="4">
        <v>3120</v>
      </c>
      <c r="J48" s="4"/>
      <c r="K48" s="4"/>
      <c r="L48" s="4">
        <v>3120</v>
      </c>
      <c r="M48" s="4"/>
      <c r="N48" s="4">
        <v>3120</v>
      </c>
      <c r="O48" s="4"/>
      <c r="P48" s="4">
        <v>3120</v>
      </c>
      <c r="Q48" s="4"/>
      <c r="R48" s="4"/>
      <c r="S48" s="4"/>
      <c r="T48" s="4"/>
      <c r="U48" s="4">
        <v>3120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="3" customFormat="1" spans="1:41">
      <c r="A49" s="3">
        <v>47</v>
      </c>
      <c r="D49" s="3" t="s">
        <v>62</v>
      </c>
      <c r="E49" s="13" t="s">
        <v>67</v>
      </c>
      <c r="F49" s="1">
        <f t="shared" si="4"/>
        <v>18000</v>
      </c>
      <c r="G49" s="1">
        <f t="shared" si="5"/>
        <v>15600</v>
      </c>
      <c r="H49" s="14">
        <v>3000</v>
      </c>
      <c r="I49" s="4"/>
      <c r="J49" s="4"/>
      <c r="K49" s="4">
        <v>3120</v>
      </c>
      <c r="L49" s="4"/>
      <c r="M49" s="4"/>
      <c r="N49" s="4"/>
      <c r="O49" s="4">
        <v>3120</v>
      </c>
      <c r="P49" s="4"/>
      <c r="Q49" s="4">
        <v>3120</v>
      </c>
      <c r="R49" s="4"/>
      <c r="S49" s="4"/>
      <c r="T49" s="4">
        <v>3120</v>
      </c>
      <c r="U49" s="4"/>
      <c r="V49" s="4">
        <v>3120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="3" customFormat="1" spans="1:41">
      <c r="A50" s="3">
        <v>48</v>
      </c>
      <c r="D50" s="3" t="s">
        <v>62</v>
      </c>
      <c r="E50" s="13" t="s">
        <v>68</v>
      </c>
      <c r="F50" s="1">
        <f t="shared" si="4"/>
        <v>6000</v>
      </c>
      <c r="G50" s="1">
        <f t="shared" si="5"/>
        <v>6240</v>
      </c>
      <c r="H50" s="14">
        <v>0</v>
      </c>
      <c r="I50" s="4"/>
      <c r="J50" s="4"/>
      <c r="K50" s="4"/>
      <c r="L50" s="4"/>
      <c r="M50" s="4">
        <v>2080</v>
      </c>
      <c r="N50" s="4"/>
      <c r="O50" s="4">
        <v>2080</v>
      </c>
      <c r="P50" s="4"/>
      <c r="Q50" s="4"/>
      <c r="R50" s="4"/>
      <c r="S50" s="4"/>
      <c r="T50" s="4"/>
      <c r="U50" s="4">
        <v>2080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="3" customFormat="1" spans="1:41">
      <c r="A51" s="3">
        <v>49</v>
      </c>
      <c r="D51" s="3" t="s">
        <v>62</v>
      </c>
      <c r="E51" s="13" t="s">
        <v>69</v>
      </c>
      <c r="F51" s="1">
        <f t="shared" si="4"/>
        <v>0</v>
      </c>
      <c r="G51" s="1">
        <f t="shared" si="5"/>
        <v>0</v>
      </c>
      <c r="H51" s="14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="3" customFormat="1" spans="1:41">
      <c r="A52" s="3">
        <v>50</v>
      </c>
      <c r="D52" s="3" t="s">
        <v>62</v>
      </c>
      <c r="E52" s="13" t="s">
        <v>70</v>
      </c>
      <c r="F52" s="1">
        <f t="shared" si="4"/>
        <v>8000</v>
      </c>
      <c r="G52" s="1">
        <f t="shared" si="5"/>
        <v>8320</v>
      </c>
      <c r="H52" s="14">
        <v>0</v>
      </c>
      <c r="I52" s="4"/>
      <c r="J52" s="4">
        <v>1040</v>
      </c>
      <c r="K52" s="4"/>
      <c r="L52" s="4">
        <v>1040</v>
      </c>
      <c r="M52" s="4"/>
      <c r="N52" s="4">
        <v>1040</v>
      </c>
      <c r="O52" s="4">
        <v>1040</v>
      </c>
      <c r="P52" s="4">
        <v>1040</v>
      </c>
      <c r="Q52" s="4">
        <v>1040</v>
      </c>
      <c r="R52" s="4"/>
      <c r="S52" s="4">
        <v>1040</v>
      </c>
      <c r="T52" s="4"/>
      <c r="U52" s="4"/>
      <c r="V52" s="4">
        <v>1040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="3" customFormat="1" spans="1:41">
      <c r="A53" s="3">
        <v>51</v>
      </c>
      <c r="D53" s="3" t="s">
        <v>62</v>
      </c>
      <c r="E53" s="13" t="s">
        <v>71</v>
      </c>
      <c r="F53" s="1">
        <f t="shared" si="4"/>
        <v>8000</v>
      </c>
      <c r="G53" s="1">
        <f t="shared" si="5"/>
        <v>6240</v>
      </c>
      <c r="H53" s="14">
        <v>2000</v>
      </c>
      <c r="I53" s="4"/>
      <c r="J53" s="4"/>
      <c r="K53" s="4"/>
      <c r="L53" s="19">
        <v>2080</v>
      </c>
      <c r="M53" s="4"/>
      <c r="N53" s="4"/>
      <c r="O53" s="4"/>
      <c r="P53" s="4"/>
      <c r="Q53" s="4"/>
      <c r="R53" s="4"/>
      <c r="S53" s="4">
        <v>2080</v>
      </c>
      <c r="T53" s="4">
        <v>2080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="3" customFormat="1" spans="1:41">
      <c r="A54" s="3">
        <v>52</v>
      </c>
      <c r="B54" s="16"/>
      <c r="D54" s="3" t="s">
        <v>62</v>
      </c>
      <c r="E54" s="17" t="s">
        <v>72</v>
      </c>
      <c r="F54" s="1">
        <f t="shared" si="4"/>
        <v>0</v>
      </c>
      <c r="G54" s="1">
        <f t="shared" ref="G54:G74" si="6">SUM(I54:AM54)</f>
        <v>0</v>
      </c>
      <c r="H54" s="14"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="3" customFormat="1" spans="1:41">
      <c r="A55" s="3">
        <v>53</v>
      </c>
      <c r="D55" s="3" t="s">
        <v>73</v>
      </c>
      <c r="E55" s="13" t="s">
        <v>74</v>
      </c>
      <c r="F55" s="1">
        <f t="shared" si="4"/>
        <v>6000</v>
      </c>
      <c r="G55" s="1">
        <f t="shared" si="6"/>
        <v>6240</v>
      </c>
      <c r="H55" s="14">
        <v>0</v>
      </c>
      <c r="I55" s="4"/>
      <c r="J55" s="4">
        <v>2080</v>
      </c>
      <c r="K55" s="4"/>
      <c r="L55" s="4"/>
      <c r="M55" s="4"/>
      <c r="N55" s="4"/>
      <c r="O55" s="4"/>
      <c r="P55" s="4"/>
      <c r="Q55" s="4">
        <v>2080</v>
      </c>
      <c r="R55" s="4"/>
      <c r="S55" s="4"/>
      <c r="T55" s="4">
        <v>2080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="3" customFormat="1" spans="1:41">
      <c r="A56" s="3">
        <v>54</v>
      </c>
      <c r="D56" s="3" t="s">
        <v>73</v>
      </c>
      <c r="E56" s="13" t="s">
        <v>75</v>
      </c>
      <c r="F56" s="1">
        <f t="shared" si="4"/>
        <v>25000</v>
      </c>
      <c r="G56" s="1">
        <f t="shared" si="6"/>
        <v>20800</v>
      </c>
      <c r="H56" s="14">
        <v>5000</v>
      </c>
      <c r="I56" s="4"/>
      <c r="J56" s="4"/>
      <c r="K56" s="4"/>
      <c r="L56" s="4">
        <v>5200</v>
      </c>
      <c r="M56" s="4"/>
      <c r="N56" s="4"/>
      <c r="O56" s="4"/>
      <c r="P56" s="19">
        <v>5200</v>
      </c>
      <c r="Q56" s="4">
        <v>5200</v>
      </c>
      <c r="R56" s="4"/>
      <c r="S56" s="4"/>
      <c r="T56" s="4">
        <v>5200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="3" customFormat="1" spans="1:41">
      <c r="A57" s="3">
        <v>55</v>
      </c>
      <c r="D57" s="3" t="s">
        <v>73</v>
      </c>
      <c r="E57" s="13" t="s">
        <v>76</v>
      </c>
      <c r="F57" s="1">
        <f t="shared" si="4"/>
        <v>6000</v>
      </c>
      <c r="G57" s="1">
        <f t="shared" si="6"/>
        <v>6240</v>
      </c>
      <c r="H57" s="14">
        <v>0</v>
      </c>
      <c r="I57" s="4">
        <v>2080</v>
      </c>
      <c r="J57" s="4"/>
      <c r="K57" s="4"/>
      <c r="L57" s="4"/>
      <c r="M57" s="4"/>
      <c r="N57" s="4"/>
      <c r="O57" s="4"/>
      <c r="P57" s="4">
        <v>2080</v>
      </c>
      <c r="Q57" s="4"/>
      <c r="R57" s="4"/>
      <c r="S57" s="4">
        <v>2080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="3" customFormat="1" spans="1:41">
      <c r="A58" s="3">
        <v>56</v>
      </c>
      <c r="B58" s="16"/>
      <c r="D58" s="3" t="s">
        <v>77</v>
      </c>
      <c r="E58" s="17" t="s">
        <v>78</v>
      </c>
      <c r="F58" s="1">
        <f t="shared" si="4"/>
        <v>15000</v>
      </c>
      <c r="G58" s="1">
        <f t="shared" si="6"/>
        <v>10400</v>
      </c>
      <c r="H58" s="14">
        <v>5000</v>
      </c>
      <c r="I58" s="4"/>
      <c r="J58" s="4"/>
      <c r="K58" s="4"/>
      <c r="L58" s="4"/>
      <c r="M58" s="4"/>
      <c r="N58" s="4">
        <v>5200</v>
      </c>
      <c r="O58" s="4"/>
      <c r="P58" s="4"/>
      <c r="Q58" s="4"/>
      <c r="R58" s="4">
        <v>5200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="3" customFormat="1" spans="1:41">
      <c r="A59" s="3">
        <v>57</v>
      </c>
      <c r="C59" s="15" t="s">
        <v>79</v>
      </c>
      <c r="D59" s="3" t="s">
        <v>77</v>
      </c>
      <c r="E59" s="13" t="s">
        <v>80</v>
      </c>
      <c r="F59" s="1">
        <f t="shared" si="4"/>
        <v>5000</v>
      </c>
      <c r="G59" s="1">
        <f t="shared" si="6"/>
        <v>5200</v>
      </c>
      <c r="H59" s="14">
        <v>0</v>
      </c>
      <c r="I59" s="4"/>
      <c r="J59" s="4"/>
      <c r="K59" s="4"/>
      <c r="L59" s="4"/>
      <c r="M59" s="4"/>
      <c r="N59" s="4"/>
      <c r="O59" s="4">
        <v>5200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="3" customFormat="1" spans="1:41">
      <c r="A60" s="3">
        <v>58</v>
      </c>
      <c r="B60" s="16"/>
      <c r="D60" s="3" t="s">
        <v>81</v>
      </c>
      <c r="E60" s="17" t="s">
        <v>82</v>
      </c>
      <c r="F60" s="1">
        <f t="shared" si="4"/>
        <v>12000</v>
      </c>
      <c r="G60" s="1">
        <f t="shared" si="6"/>
        <v>10400</v>
      </c>
      <c r="H60" s="14">
        <v>2000</v>
      </c>
      <c r="I60" s="4"/>
      <c r="J60" s="4"/>
      <c r="K60" s="4"/>
      <c r="L60" s="4">
        <v>2080</v>
      </c>
      <c r="M60" s="4"/>
      <c r="N60" s="4">
        <v>2080</v>
      </c>
      <c r="O60" s="4"/>
      <c r="P60" s="4">
        <v>2080</v>
      </c>
      <c r="Q60" s="4"/>
      <c r="R60" s="4"/>
      <c r="S60" s="4">
        <v>2080</v>
      </c>
      <c r="T60" s="4"/>
      <c r="U60" s="4">
        <v>2080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="3" customFormat="1" spans="1:41">
      <c r="A61" s="3">
        <v>59</v>
      </c>
      <c r="B61" s="16"/>
      <c r="D61" s="3" t="s">
        <v>83</v>
      </c>
      <c r="E61" s="17" t="s">
        <v>84</v>
      </c>
      <c r="F61" s="1">
        <f t="shared" si="4"/>
        <v>4000</v>
      </c>
      <c r="G61" s="1">
        <f t="shared" si="6"/>
        <v>2080</v>
      </c>
      <c r="H61" s="14">
        <v>2000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v>2080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="3" customFormat="1" spans="1:41">
      <c r="A62" s="3">
        <v>60</v>
      </c>
      <c r="D62" s="3" t="s">
        <v>85</v>
      </c>
      <c r="E62" s="13" t="s">
        <v>86</v>
      </c>
      <c r="F62" s="1">
        <f t="shared" si="4"/>
        <v>6000</v>
      </c>
      <c r="G62" s="1">
        <f t="shared" si="6"/>
        <v>4160</v>
      </c>
      <c r="H62" s="14">
        <v>2000</v>
      </c>
      <c r="I62" s="4"/>
      <c r="J62" s="4"/>
      <c r="K62" s="4"/>
      <c r="L62" s="4">
        <v>2080</v>
      </c>
      <c r="M62" s="4"/>
      <c r="N62" s="4"/>
      <c r="O62" s="4"/>
      <c r="P62" s="4"/>
      <c r="Q62" s="4"/>
      <c r="R62" s="4"/>
      <c r="S62" s="4">
        <v>2080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="3" customFormat="1" spans="1:41">
      <c r="A63" s="3">
        <v>61</v>
      </c>
      <c r="D63" s="3" t="s">
        <v>85</v>
      </c>
      <c r="E63" s="13" t="s">
        <v>87</v>
      </c>
      <c r="F63" s="1">
        <f t="shared" si="4"/>
        <v>0</v>
      </c>
      <c r="G63" s="1">
        <f t="shared" si="6"/>
        <v>2080</v>
      </c>
      <c r="H63" s="14">
        <v>-2000</v>
      </c>
      <c r="I63" s="4"/>
      <c r="J63" s="4"/>
      <c r="K63" s="4"/>
      <c r="L63" s="4"/>
      <c r="M63" s="4"/>
      <c r="N63" s="4">
        <v>2080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="3" customFormat="1" spans="1:41">
      <c r="A64" s="3">
        <v>62</v>
      </c>
      <c r="D64" s="3" t="s">
        <v>85</v>
      </c>
      <c r="E64" s="13" t="s">
        <v>88</v>
      </c>
      <c r="F64" s="1">
        <f t="shared" si="4"/>
        <v>4000</v>
      </c>
      <c r="G64" s="1">
        <f t="shared" si="6"/>
        <v>4160</v>
      </c>
      <c r="H64" s="14">
        <v>0</v>
      </c>
      <c r="I64" s="4">
        <v>2080</v>
      </c>
      <c r="J64" s="4"/>
      <c r="K64" s="4"/>
      <c r="L64" s="4"/>
      <c r="M64" s="4"/>
      <c r="N64" s="4"/>
      <c r="O64" s="4">
        <v>2080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="3" customFormat="1" spans="1:41">
      <c r="A65" s="3">
        <v>63</v>
      </c>
      <c r="D65" s="3" t="s">
        <v>85</v>
      </c>
      <c r="E65" s="13" t="s">
        <v>89</v>
      </c>
      <c r="F65" s="1">
        <f t="shared" si="4"/>
        <v>2000</v>
      </c>
      <c r="G65" s="1">
        <f t="shared" si="6"/>
        <v>2080</v>
      </c>
      <c r="H65" s="14">
        <v>0</v>
      </c>
      <c r="I65" s="4"/>
      <c r="J65" s="4">
        <v>1040</v>
      </c>
      <c r="K65" s="4"/>
      <c r="L65" s="4"/>
      <c r="M65" s="4"/>
      <c r="N65" s="4"/>
      <c r="O65" s="4"/>
      <c r="P65" s="4"/>
      <c r="Q65" s="4"/>
      <c r="R65" s="4">
        <v>1040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="3" customFormat="1" spans="1:41">
      <c r="A66" s="3">
        <v>64</v>
      </c>
      <c r="D66" s="3" t="s">
        <v>85</v>
      </c>
      <c r="E66" s="13" t="s">
        <v>90</v>
      </c>
      <c r="F66" s="1">
        <f t="shared" si="4"/>
        <v>25000</v>
      </c>
      <c r="G66" s="1">
        <f t="shared" si="6"/>
        <v>20800</v>
      </c>
      <c r="H66" s="14">
        <v>5000</v>
      </c>
      <c r="I66" s="4"/>
      <c r="J66" s="4"/>
      <c r="K66" s="4">
        <v>5200</v>
      </c>
      <c r="L66" s="4"/>
      <c r="M66" s="4"/>
      <c r="N66" s="4">
        <v>5200</v>
      </c>
      <c r="O66" s="4"/>
      <c r="P66" s="4"/>
      <c r="Q66" s="4">
        <v>5200</v>
      </c>
      <c r="R66" s="4"/>
      <c r="S66" s="4"/>
      <c r="T66" s="4">
        <v>5200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="3" customFormat="1" spans="1:41">
      <c r="A67" s="3">
        <v>65</v>
      </c>
      <c r="D67" s="3" t="s">
        <v>85</v>
      </c>
      <c r="E67" s="13" t="s">
        <v>91</v>
      </c>
      <c r="F67" s="1">
        <f t="shared" si="4"/>
        <v>9000</v>
      </c>
      <c r="G67" s="1">
        <f t="shared" si="6"/>
        <v>9360</v>
      </c>
      <c r="H67" s="14">
        <v>0</v>
      </c>
      <c r="I67" s="4"/>
      <c r="J67" s="4">
        <v>3120</v>
      </c>
      <c r="K67" s="4"/>
      <c r="L67" s="4"/>
      <c r="M67" s="4"/>
      <c r="N67" s="4"/>
      <c r="O67" s="4">
        <v>3120</v>
      </c>
      <c r="P67" s="4"/>
      <c r="Q67" s="4"/>
      <c r="R67" s="4"/>
      <c r="S67" s="4">
        <v>3120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="3" customFormat="1" spans="1:41">
      <c r="A68" s="3">
        <v>66</v>
      </c>
      <c r="B68" s="16"/>
      <c r="D68" s="3" t="s">
        <v>85</v>
      </c>
      <c r="E68" s="17" t="s">
        <v>92</v>
      </c>
      <c r="F68" s="1">
        <f t="shared" ref="F68:F96" si="7">G68/1.04+H68</f>
        <v>4000</v>
      </c>
      <c r="G68" s="1">
        <f t="shared" si="6"/>
        <v>4160</v>
      </c>
      <c r="H68" s="14">
        <v>0</v>
      </c>
      <c r="I68" s="4"/>
      <c r="J68" s="4"/>
      <c r="K68" s="4"/>
      <c r="L68" s="4"/>
      <c r="M68" s="4"/>
      <c r="N68" s="4"/>
      <c r="O68" s="4">
        <v>2080</v>
      </c>
      <c r="P68" s="4"/>
      <c r="Q68" s="4"/>
      <c r="R68" s="4">
        <v>2080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="3" customFormat="1" spans="1:41">
      <c r="A69" s="3">
        <v>67</v>
      </c>
      <c r="B69" s="16"/>
      <c r="D69" s="3" t="s">
        <v>85</v>
      </c>
      <c r="E69" s="17" t="s">
        <v>93</v>
      </c>
      <c r="F69" s="1">
        <f t="shared" si="7"/>
        <v>2000</v>
      </c>
      <c r="G69" s="1">
        <f t="shared" si="6"/>
        <v>0</v>
      </c>
      <c r="H69" s="14">
        <v>2000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="3" customFormat="1" spans="1:41">
      <c r="A70" s="3">
        <v>68</v>
      </c>
      <c r="D70" s="3" t="s">
        <v>94</v>
      </c>
      <c r="E70" s="13" t="s">
        <v>95</v>
      </c>
      <c r="F70" s="1">
        <f t="shared" si="7"/>
        <v>9000</v>
      </c>
      <c r="G70" s="1">
        <f t="shared" si="6"/>
        <v>7280</v>
      </c>
      <c r="H70" s="14">
        <v>2000</v>
      </c>
      <c r="I70" s="4">
        <v>1040</v>
      </c>
      <c r="J70" s="4">
        <v>1040</v>
      </c>
      <c r="K70" s="4"/>
      <c r="L70" s="4"/>
      <c r="M70" s="4">
        <v>1040</v>
      </c>
      <c r="N70" s="4"/>
      <c r="O70" s="4">
        <v>1040</v>
      </c>
      <c r="P70" s="4"/>
      <c r="Q70" s="4"/>
      <c r="R70" s="4">
        <v>1040</v>
      </c>
      <c r="S70" s="4"/>
      <c r="T70" s="4">
        <v>1040</v>
      </c>
      <c r="U70" s="4">
        <v>1040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="3" customFormat="1" spans="1:41">
      <c r="A71" s="3">
        <v>69</v>
      </c>
      <c r="D71" s="3" t="s">
        <v>94</v>
      </c>
      <c r="E71" s="13" t="s">
        <v>96</v>
      </c>
      <c r="F71" s="1">
        <f t="shared" si="7"/>
        <v>24000</v>
      </c>
      <c r="G71" s="1">
        <f t="shared" si="6"/>
        <v>18720</v>
      </c>
      <c r="H71" s="14">
        <v>6000</v>
      </c>
      <c r="I71" s="4"/>
      <c r="J71" s="4"/>
      <c r="K71" s="4"/>
      <c r="L71" s="4">
        <v>3120</v>
      </c>
      <c r="M71" s="4"/>
      <c r="N71" s="4">
        <v>3120</v>
      </c>
      <c r="O71" s="4"/>
      <c r="P71" s="4">
        <v>3120</v>
      </c>
      <c r="Q71" s="4">
        <v>3120</v>
      </c>
      <c r="R71" s="4"/>
      <c r="S71" s="4"/>
      <c r="T71" s="4"/>
      <c r="U71" s="4">
        <v>3120</v>
      </c>
      <c r="V71" s="4">
        <v>3120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="3" customFormat="1" spans="1:41">
      <c r="A72" s="3">
        <v>70</v>
      </c>
      <c r="D72" s="3" t="s">
        <v>94</v>
      </c>
      <c r="E72" s="13" t="s">
        <v>97</v>
      </c>
      <c r="F72" s="1">
        <f t="shared" si="7"/>
        <v>11000</v>
      </c>
      <c r="G72" s="1">
        <f t="shared" si="6"/>
        <v>8320</v>
      </c>
      <c r="H72" s="14">
        <v>3000</v>
      </c>
      <c r="I72" s="4"/>
      <c r="J72" s="4"/>
      <c r="K72" s="4">
        <v>2080</v>
      </c>
      <c r="L72" s="4"/>
      <c r="M72" s="4"/>
      <c r="N72" s="4">
        <v>2080</v>
      </c>
      <c r="O72" s="4"/>
      <c r="P72" s="4">
        <v>2080</v>
      </c>
      <c r="Q72" s="4"/>
      <c r="R72" s="4"/>
      <c r="S72" s="4"/>
      <c r="T72" s="4">
        <v>2080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="3" customFormat="1" spans="1:41">
      <c r="A73" s="3">
        <v>71</v>
      </c>
      <c r="B73" s="16"/>
      <c r="E73" s="17" t="s">
        <v>98</v>
      </c>
      <c r="F73" s="1">
        <f t="shared" si="7"/>
        <v>49000</v>
      </c>
      <c r="G73" s="1">
        <f t="shared" si="6"/>
        <v>0</v>
      </c>
      <c r="H73" s="14">
        <v>49000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4"/>
      <c r="V73" s="24"/>
      <c r="W73" s="24"/>
      <c r="X73" s="24"/>
      <c r="Y73" s="2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="3" customFormat="1" spans="1:41">
      <c r="A74" s="3">
        <v>72</v>
      </c>
      <c r="B74" s="16"/>
      <c r="D74" s="3" t="s">
        <v>99</v>
      </c>
      <c r="E74" s="17" t="s">
        <v>100</v>
      </c>
      <c r="F74" s="1">
        <f t="shared" si="7"/>
        <v>4000</v>
      </c>
      <c r="G74" s="1">
        <f t="shared" si="6"/>
        <v>4160</v>
      </c>
      <c r="H74" s="14">
        <v>0</v>
      </c>
      <c r="I74" s="4">
        <v>1040</v>
      </c>
      <c r="J74" s="4"/>
      <c r="K74" s="4">
        <v>1040</v>
      </c>
      <c r="L74" s="4"/>
      <c r="M74" s="4"/>
      <c r="N74" s="4"/>
      <c r="O74" s="4"/>
      <c r="P74" s="4">
        <v>1040</v>
      </c>
      <c r="Q74" s="4"/>
      <c r="R74" s="4"/>
      <c r="S74" s="4">
        <v>1040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="3" customFormat="1" spans="1:41">
      <c r="A75" s="3">
        <v>73</v>
      </c>
      <c r="B75" s="16"/>
      <c r="E75" s="17" t="s">
        <v>101</v>
      </c>
      <c r="F75" s="1">
        <f t="shared" si="7"/>
        <v>0</v>
      </c>
      <c r="G75" s="1">
        <f t="shared" ref="G70:G96" si="8">SUM(I75:AM75)</f>
        <v>0</v>
      </c>
      <c r="H75" s="14"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="3" customFormat="1" spans="1:41">
      <c r="A76" s="3">
        <v>74</v>
      </c>
      <c r="B76" s="16"/>
      <c r="D76" s="3" t="s">
        <v>102</v>
      </c>
      <c r="E76" s="17" t="s">
        <v>103</v>
      </c>
      <c r="F76" s="1">
        <f t="shared" si="7"/>
        <v>0</v>
      </c>
      <c r="G76" s="1">
        <f t="shared" si="8"/>
        <v>2080</v>
      </c>
      <c r="H76" s="14">
        <v>-2000</v>
      </c>
      <c r="I76" s="4"/>
      <c r="J76" s="4">
        <v>2080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="3" customFormat="1" spans="1:41">
      <c r="A77" s="3">
        <v>75</v>
      </c>
      <c r="B77" s="16"/>
      <c r="E77" s="17" t="s">
        <v>104</v>
      </c>
      <c r="F77" s="1">
        <f t="shared" si="7"/>
        <v>0</v>
      </c>
      <c r="G77" s="1">
        <f t="shared" si="8"/>
        <v>0</v>
      </c>
      <c r="H77" s="14">
        <v>0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="3" customFormat="1" spans="1:41">
      <c r="A78" s="3">
        <v>76</v>
      </c>
      <c r="B78" s="16"/>
      <c r="C78" s="3">
        <v>683879115</v>
      </c>
      <c r="D78" s="3" t="s">
        <v>105</v>
      </c>
      <c r="E78" s="17" t="s">
        <v>106</v>
      </c>
      <c r="F78" s="1">
        <f t="shared" si="7"/>
        <v>4000</v>
      </c>
      <c r="G78" s="1">
        <f t="shared" si="8"/>
        <v>4160</v>
      </c>
      <c r="H78" s="14">
        <v>0</v>
      </c>
      <c r="I78" s="19">
        <v>2080</v>
      </c>
      <c r="J78" s="4"/>
      <c r="K78" s="4"/>
      <c r="L78" s="4"/>
      <c r="M78" s="4"/>
      <c r="N78" s="19">
        <v>2080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="3" customFormat="1" spans="1:41">
      <c r="A79" s="3">
        <v>77</v>
      </c>
      <c r="B79" s="16"/>
      <c r="D79" s="3" t="s">
        <v>62</v>
      </c>
      <c r="E79" s="17" t="s">
        <v>107</v>
      </c>
      <c r="F79" s="1">
        <f t="shared" si="7"/>
        <v>2000</v>
      </c>
      <c r="G79" s="1">
        <f t="shared" si="8"/>
        <v>2080</v>
      </c>
      <c r="H79" s="14"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19">
        <v>2080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="3" customFormat="1" spans="1:41">
      <c r="A80" s="3">
        <v>78</v>
      </c>
      <c r="B80" s="16"/>
      <c r="D80" s="3" t="s">
        <v>77</v>
      </c>
      <c r="E80" s="17" t="s">
        <v>108</v>
      </c>
      <c r="F80" s="1">
        <f t="shared" si="7"/>
        <v>3500</v>
      </c>
      <c r="G80" s="1">
        <f t="shared" si="8"/>
        <v>520</v>
      </c>
      <c r="H80" s="14">
        <v>3000</v>
      </c>
      <c r="I80" s="4"/>
      <c r="J80" s="4"/>
      <c r="K80" s="4"/>
      <c r="L80" s="4"/>
      <c r="M80" s="4"/>
      <c r="N80" s="4"/>
      <c r="O80" s="4"/>
      <c r="P80" s="4"/>
      <c r="Q80" s="19">
        <v>520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="3" customFormat="1" spans="1:41">
      <c r="A81" s="3">
        <v>79</v>
      </c>
      <c r="B81" s="16"/>
      <c r="D81" s="3" t="s">
        <v>62</v>
      </c>
      <c r="E81" s="17" t="s">
        <v>109</v>
      </c>
      <c r="F81" s="1">
        <f t="shared" si="7"/>
        <v>1000</v>
      </c>
      <c r="G81" s="1">
        <f t="shared" si="8"/>
        <v>1040</v>
      </c>
      <c r="H81" s="14">
        <v>0</v>
      </c>
      <c r="I81" s="4"/>
      <c r="J81" s="4"/>
      <c r="K81" s="4"/>
      <c r="L81" s="4"/>
      <c r="M81" s="4"/>
      <c r="N81" s="4">
        <v>1040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="3" customFormat="1" spans="1:41">
      <c r="A82" s="3">
        <v>80</v>
      </c>
      <c r="B82" s="16"/>
      <c r="D82" s="3" t="s">
        <v>110</v>
      </c>
      <c r="E82" s="17" t="s">
        <v>111</v>
      </c>
      <c r="F82" s="1">
        <f t="shared" si="7"/>
        <v>2000</v>
      </c>
      <c r="G82" s="1">
        <f t="shared" si="8"/>
        <v>2080</v>
      </c>
      <c r="H82" s="14">
        <v>0</v>
      </c>
      <c r="I82" s="24"/>
      <c r="J82" s="24"/>
      <c r="K82" s="24"/>
      <c r="L82" s="24"/>
      <c r="M82" s="24"/>
      <c r="N82" s="24"/>
      <c r="O82" s="23"/>
      <c r="P82" s="24"/>
      <c r="Q82" s="24"/>
      <c r="R82" s="24"/>
      <c r="S82" s="24">
        <v>2080</v>
      </c>
      <c r="T82" s="24"/>
      <c r="U82" s="24"/>
      <c r="V82" s="24"/>
      <c r="W82" s="23"/>
      <c r="X82" s="24"/>
      <c r="Y82" s="24"/>
      <c r="Z82" s="2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="3" customFormat="1" spans="1:41">
      <c r="A83" s="3">
        <v>81</v>
      </c>
      <c r="B83" s="16"/>
      <c r="D83" s="3" t="s">
        <v>105</v>
      </c>
      <c r="E83" s="17" t="s">
        <v>112</v>
      </c>
      <c r="F83" s="1">
        <f t="shared" si="7"/>
        <v>20000</v>
      </c>
      <c r="G83" s="1">
        <f>SUM(J83:AM83)</f>
        <v>20800</v>
      </c>
      <c r="H83" s="14">
        <v>0</v>
      </c>
      <c r="J83" s="4">
        <v>5200</v>
      </c>
      <c r="K83" s="4"/>
      <c r="M83" s="4">
        <v>5200</v>
      </c>
      <c r="N83" s="4"/>
      <c r="O83" s="4"/>
      <c r="P83" s="4"/>
      <c r="Q83" s="4">
        <v>5200</v>
      </c>
      <c r="R83" s="4"/>
      <c r="S83" s="4"/>
      <c r="T83" s="4"/>
      <c r="U83" s="4"/>
      <c r="V83" s="4">
        <v>5200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="3" customFormat="1" spans="1:41">
      <c r="A84" s="3">
        <v>82</v>
      </c>
      <c r="B84" s="16"/>
      <c r="E84" s="17" t="s">
        <v>113</v>
      </c>
      <c r="F84" s="1">
        <f t="shared" si="7"/>
        <v>0</v>
      </c>
      <c r="G84" s="1">
        <f t="shared" si="8"/>
        <v>0</v>
      </c>
      <c r="H84" s="14"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="3" customFormat="1" spans="1:41">
      <c r="A85" s="3">
        <v>83</v>
      </c>
      <c r="B85" s="16"/>
      <c r="E85" s="17" t="s">
        <v>114</v>
      </c>
      <c r="F85" s="1">
        <f t="shared" si="7"/>
        <v>1000</v>
      </c>
      <c r="G85" s="1">
        <f t="shared" si="8"/>
        <v>1040</v>
      </c>
      <c r="H85" s="14">
        <v>0</v>
      </c>
      <c r="I85" s="24"/>
      <c r="J85" s="24"/>
      <c r="K85" s="24"/>
      <c r="L85" s="24"/>
      <c r="M85" s="24"/>
      <c r="N85" s="24"/>
      <c r="O85" s="24"/>
      <c r="P85" s="24"/>
      <c r="Q85" s="24"/>
      <c r="R85" s="25">
        <v>1040</v>
      </c>
      <c r="S85" s="2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="3" customFormat="1" spans="1:41">
      <c r="A86" s="3">
        <v>84</v>
      </c>
      <c r="B86" s="21" t="s">
        <v>115</v>
      </c>
      <c r="C86" s="3">
        <v>683909556</v>
      </c>
      <c r="D86" s="3" t="s">
        <v>23</v>
      </c>
      <c r="E86" s="17" t="s">
        <v>116</v>
      </c>
      <c r="F86" s="1">
        <f t="shared" si="7"/>
        <v>2000</v>
      </c>
      <c r="G86" s="1">
        <f t="shared" si="8"/>
        <v>2080</v>
      </c>
      <c r="H86" s="14">
        <v>0</v>
      </c>
      <c r="I86" s="24"/>
      <c r="J86" s="24"/>
      <c r="K86" s="24"/>
      <c r="L86" s="24"/>
      <c r="M86" s="23">
        <v>1040</v>
      </c>
      <c r="N86" s="24"/>
      <c r="O86" s="24"/>
      <c r="P86" s="24"/>
      <c r="Q86" s="24"/>
      <c r="R86" s="24"/>
      <c r="S86" s="24"/>
      <c r="T86" s="24"/>
      <c r="U86" s="24">
        <v>1040</v>
      </c>
      <c r="V86" s="24"/>
      <c r="W86" s="24"/>
      <c r="X86" s="24"/>
      <c r="Y86" s="24"/>
      <c r="Z86" s="24"/>
      <c r="AA86" s="2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="3" customFormat="1" spans="1:41">
      <c r="A87" s="3">
        <v>85</v>
      </c>
      <c r="B87" s="16"/>
      <c r="E87" s="17" t="s">
        <v>117</v>
      </c>
      <c r="F87" s="1">
        <f t="shared" si="7"/>
        <v>0</v>
      </c>
      <c r="G87" s="1">
        <f t="shared" si="8"/>
        <v>0</v>
      </c>
      <c r="H87" s="14">
        <v>0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="3" customFormat="1" spans="1:41">
      <c r="A88" s="3">
        <v>86</v>
      </c>
      <c r="E88" s="13" t="s">
        <v>118</v>
      </c>
      <c r="F88" s="1">
        <f t="shared" si="7"/>
        <v>1000</v>
      </c>
      <c r="G88" s="1">
        <f t="shared" si="8"/>
        <v>0</v>
      </c>
      <c r="H88" s="14">
        <v>1000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="3" customFormat="1" spans="1:41">
      <c r="A89" s="3">
        <v>87</v>
      </c>
      <c r="E89" s="13" t="s">
        <v>119</v>
      </c>
      <c r="F89" s="1">
        <f t="shared" si="7"/>
        <v>0</v>
      </c>
      <c r="G89" s="1">
        <f t="shared" si="8"/>
        <v>0</v>
      </c>
      <c r="H89" s="14"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="3" customFormat="1" spans="1:41">
      <c r="A90" s="3">
        <v>88</v>
      </c>
      <c r="E90" s="13" t="s">
        <v>120</v>
      </c>
      <c r="F90" s="1">
        <f t="shared" si="7"/>
        <v>1000</v>
      </c>
      <c r="G90" s="1">
        <f t="shared" si="8"/>
        <v>1040</v>
      </c>
      <c r="H90" s="14">
        <v>0</v>
      </c>
      <c r="I90" s="4"/>
      <c r="J90" s="4"/>
      <c r="K90" s="4"/>
      <c r="L90" s="4"/>
      <c r="M90" s="4"/>
      <c r="N90" s="4">
        <v>1040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="3" customFormat="1" spans="1:41">
      <c r="A91" s="3">
        <v>89</v>
      </c>
      <c r="D91" s="3" t="s">
        <v>105</v>
      </c>
      <c r="E91" s="13" t="s">
        <v>121</v>
      </c>
      <c r="F91" s="1">
        <f t="shared" si="7"/>
        <v>5000</v>
      </c>
      <c r="G91" s="1">
        <f t="shared" si="8"/>
        <v>5200</v>
      </c>
      <c r="H91" s="14">
        <v>0</v>
      </c>
      <c r="I91" s="4"/>
      <c r="J91" s="4"/>
      <c r="K91" s="4"/>
      <c r="L91" s="4"/>
      <c r="M91" s="4"/>
      <c r="N91" s="4"/>
      <c r="O91" s="4"/>
      <c r="P91" s="4">
        <v>5200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="3" customFormat="1" spans="1:41">
      <c r="A92" s="3">
        <v>90</v>
      </c>
      <c r="D92" s="3" t="s">
        <v>73</v>
      </c>
      <c r="E92" s="13" t="s">
        <v>122</v>
      </c>
      <c r="F92" s="1">
        <f t="shared" si="7"/>
        <v>10000</v>
      </c>
      <c r="G92" s="1">
        <f t="shared" si="8"/>
        <v>10400</v>
      </c>
      <c r="H92" s="14">
        <v>0</v>
      </c>
      <c r="I92" s="4"/>
      <c r="J92" s="4"/>
      <c r="K92" s="4">
        <v>5200</v>
      </c>
      <c r="L92" s="4"/>
      <c r="M92" s="4"/>
      <c r="N92" s="4"/>
      <c r="O92" s="4"/>
      <c r="P92" s="4"/>
      <c r="Q92" s="4"/>
      <c r="R92" s="4"/>
      <c r="S92" s="4"/>
      <c r="T92" s="4">
        <v>5200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="3" customFormat="1" spans="1:41">
      <c r="A93" s="3">
        <v>91</v>
      </c>
      <c r="C93" s="3">
        <v>683909558</v>
      </c>
      <c r="D93" s="3" t="s">
        <v>85</v>
      </c>
      <c r="E93" s="13" t="s">
        <v>123</v>
      </c>
      <c r="F93" s="1">
        <f t="shared" si="7"/>
        <v>0</v>
      </c>
      <c r="G93" s="1">
        <f t="shared" si="8"/>
        <v>0</v>
      </c>
      <c r="H93" s="14">
        <v>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="3" customFormat="1" spans="1:41">
      <c r="A94" s="3">
        <v>92</v>
      </c>
      <c r="E94" s="13" t="s">
        <v>124</v>
      </c>
      <c r="F94" s="1">
        <f t="shared" si="7"/>
        <v>0</v>
      </c>
      <c r="G94" s="1">
        <f t="shared" si="8"/>
        <v>0</v>
      </c>
      <c r="H94" s="14">
        <v>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>
      <c r="A95" s="3">
        <v>93</v>
      </c>
      <c r="E95" s="22" t="s">
        <v>125</v>
      </c>
      <c r="F95" s="1">
        <f t="shared" si="7"/>
        <v>0</v>
      </c>
      <c r="G95" s="1">
        <f t="shared" si="8"/>
        <v>0</v>
      </c>
      <c r="H95" s="14"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>
      <c r="A96" s="3">
        <v>94</v>
      </c>
      <c r="C96" s="3">
        <v>685671039</v>
      </c>
      <c r="D96" s="3" t="s">
        <v>81</v>
      </c>
      <c r="E96" s="3" t="s">
        <v>126</v>
      </c>
      <c r="F96" s="1">
        <f t="shared" si="7"/>
        <v>4000</v>
      </c>
      <c r="G96" s="1">
        <f t="shared" si="8"/>
        <v>2080</v>
      </c>
      <c r="H96" s="5">
        <v>2000</v>
      </c>
      <c r="I96" s="4"/>
      <c r="J96" s="4"/>
      <c r="K96" s="4"/>
      <c r="L96" s="4"/>
      <c r="M96" s="4"/>
      <c r="N96" s="4"/>
      <c r="O96" s="4">
        <v>2080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9:41"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9:41"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9:41"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9:41"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9:41"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9:41"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9:41"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9:41"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9:41"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9:41"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9:41"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9:41"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9:41"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9:41"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9:41"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9:41"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9:41"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9:41"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February-2021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2021-02-14T14:10:55Z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  <property fmtid="{D5CDD505-2E9C-101B-9397-08002B2CF9AE}" pid="3" name="KSOReadingLayout">
    <vt:bool>true</vt:bool>
  </property>
</Properties>
</file>