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H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<sst xmlns="http://schemas.openxmlformats.org/spreadsheetml/2006/main" count="224" uniqueCount="158">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</sst>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20" borderId="4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0" fillId="23" borderId="5" applyNumberFormat="0" applyFon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8" fillId="12" borderId="1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78" activePane="bottomRight" state="frozen"/>
      <selection/>
      <selection pane="topRight"/>
      <selection pane="bottomLeft"/>
      <selection pane="bottomRight" activeCell="H96" sqref="H96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4"/>
      <c r="AJ1" s="14"/>
      <c r="AK1" s="14"/>
    </row>
    <row r="2" s="2" customFormat="1" spans="1:34">
      <c r="A2" s="7"/>
      <c r="B2" s="7"/>
      <c r="C2" s="7"/>
      <c r="D2" s="8">
        <f>SUM(F3:F121)</f>
        <v>95900</v>
      </c>
      <c r="E2" s="9" t="s">
        <v>6</v>
      </c>
      <c r="F2" s="8">
        <f>SUM(G2:AK2)</f>
        <v>95900</v>
      </c>
      <c r="G2" s="2">
        <f>SUM(G3:G121)</f>
        <v>58700</v>
      </c>
      <c r="H2" s="2">
        <f>SUM(H3:H121)</f>
        <v>37200</v>
      </c>
      <c r="I2" s="2">
        <f>SUM(I3:I121)</f>
        <v>0</v>
      </c>
      <c r="J2" s="2">
        <f>SUM(J3:J121)</f>
        <v>0</v>
      </c>
      <c r="K2" s="2">
        <f>SUM(K3:K121)</f>
        <v>0</v>
      </c>
      <c r="L2" s="2">
        <f t="shared" ref="L2:AK2" si="0">SUM(L3:L121)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3000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12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2500</v>
      </c>
      <c r="G5" s="4">
        <v>2500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3000</v>
      </c>
      <c r="G6" s="11">
        <v>3000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2000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5000</v>
      </c>
      <c r="G10" s="4">
        <v>5000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1500</v>
      </c>
      <c r="G12" s="4"/>
      <c r="H12" s="4">
        <v>1500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6500</v>
      </c>
      <c r="G14" s="4">
        <v>4500</v>
      </c>
      <c r="H14" s="4">
        <v>2000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2000</v>
      </c>
      <c r="G15" s="4">
        <v>2000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1200</v>
      </c>
      <c r="G16" s="11">
        <v>1200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1000</v>
      </c>
      <c r="G17" s="4"/>
      <c r="H17" s="4">
        <v>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1000</v>
      </c>
      <c r="G20" s="4"/>
      <c r="H20" s="4">
        <v>1000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1000</v>
      </c>
      <c r="G22" s="4">
        <v>1000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5000</v>
      </c>
      <c r="G24" s="11">
        <v>5000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2000</v>
      </c>
      <c r="G28" s="4">
        <v>1000</v>
      </c>
      <c r="H28" s="4">
        <v>1000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5500</v>
      </c>
      <c r="G29" s="4"/>
      <c r="H29" s="4">
        <v>5500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1000</v>
      </c>
      <c r="G31" s="4">
        <v>1000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1000</v>
      </c>
      <c r="G32" s="4">
        <v>1000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3000</v>
      </c>
      <c r="G35" s="4"/>
      <c r="H35" s="11">
        <v>3000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1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1500</v>
      </c>
      <c r="G41" s="4"/>
      <c r="H41" s="4">
        <v>1500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3000</v>
      </c>
      <c r="G45" s="4"/>
      <c r="H45" s="4">
        <v>3000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4000</v>
      </c>
      <c r="G48" s="4"/>
      <c r="H48" s="11">
        <v>4000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2000</v>
      </c>
      <c r="G53" s="11">
        <v>2000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2000</v>
      </c>
      <c r="G55" s="4"/>
      <c r="H55" s="4">
        <v>2000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2000</v>
      </c>
      <c r="G57" s="4"/>
      <c r="H57" s="4">
        <v>2000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13" t="s">
        <v>100</v>
      </c>
      <c r="D59" s="3" t="s">
        <v>97</v>
      </c>
      <c r="E59" s="10" t="s">
        <v>101</v>
      </c>
      <c r="F59" s="1">
        <f t="shared" si="2"/>
        <v>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2000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1500</v>
      </c>
      <c r="G61" s="4"/>
      <c r="H61" s="4">
        <v>1500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1500</v>
      </c>
      <c r="G64" s="4">
        <v>1500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5000</v>
      </c>
      <c r="G66" s="4">
        <v>5000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1200</v>
      </c>
      <c r="G70" s="4"/>
      <c r="H70" s="4">
        <v>1200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2000</v>
      </c>
      <c r="G72" s="4">
        <v>2000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13" t="s">
        <v>126</v>
      </c>
      <c r="D74" s="3" t="s">
        <v>127</v>
      </c>
      <c r="E74" s="10" t="s">
        <v>128</v>
      </c>
      <c r="F74" s="1">
        <f t="shared" si="3"/>
        <v>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E78" s="10" t="s">
        <v>134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D79" s="3" t="s">
        <v>75</v>
      </c>
      <c r="E79" s="10" t="s">
        <v>135</v>
      </c>
      <c r="F79" s="1">
        <f t="shared" si="3"/>
        <v>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136</v>
      </c>
      <c r="F80" s="1">
        <f t="shared" si="3"/>
        <v>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137</v>
      </c>
      <c r="D81" s="3" t="s">
        <v>75</v>
      </c>
      <c r="E81" s="10" t="s">
        <v>138</v>
      </c>
      <c r="F81" s="1">
        <f t="shared" si="3"/>
        <v>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139</v>
      </c>
      <c r="E82" s="10" t="s">
        <v>140</v>
      </c>
      <c r="F82" s="1">
        <f t="shared" si="3"/>
        <v>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141</v>
      </c>
      <c r="D83" s="3" t="s">
        <v>142</v>
      </c>
      <c r="E83" s="10" t="s">
        <v>143</v>
      </c>
      <c r="F83" s="1">
        <f t="shared" si="3"/>
        <v>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144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E85" s="10" t="s">
        <v>145</v>
      </c>
      <c r="F85" s="1">
        <f t="shared" si="3"/>
        <v>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C86" s="13"/>
      <c r="E86" s="10" t="s">
        <v>146</v>
      </c>
      <c r="F86" s="1">
        <f t="shared" si="3"/>
        <v>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147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148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149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150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142</v>
      </c>
      <c r="E91" s="10" t="s">
        <v>151</v>
      </c>
      <c r="F91" s="1">
        <f t="shared" si="3"/>
        <v>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152</v>
      </c>
      <c r="F92" s="1">
        <f t="shared" si="3"/>
        <v>5000</v>
      </c>
      <c r="G92" s="4"/>
      <c r="H92" s="4">
        <v>5000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153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154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5" t="s">
        <v>155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156</v>
      </c>
      <c r="C96" s="3">
        <v>7004399486</v>
      </c>
      <c r="D96" s="3" t="s">
        <v>103</v>
      </c>
      <c r="E96" s="3" t="s">
        <v>157</v>
      </c>
      <c r="F96" s="1">
        <f t="shared" si="3"/>
        <v>2000</v>
      </c>
      <c r="G96" s="4"/>
      <c r="H96" s="11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2021-02-03T02:48:33Z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