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December 2020" sheetId="1" r:id="rId1"/>
  </sheets>
  <definedNames>
    <definedName name="_xlnm._FilterDatabase" localSheetId="0" hidden="1">'December 2020'!$A$1:$AJ$92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O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 Cash
2000- Digital</t>
        </r>
      </text>
    </comment>
    <comment ref="N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P34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4000- Cash
2000- Digital</t>
        </r>
      </text>
    </comment>
    <comment ref="S3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500-Cash</t>
        </r>
      </text>
    </comment>
    <comment ref="S4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1000-Digital</t>
        </r>
      </text>
    </comment>
    <comment ref="S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1000-Digital</t>
        </r>
      </text>
    </comment>
    <comment ref="Z5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K6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  <comment ref="AD6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200-Cash</t>
        </r>
      </text>
    </comment>
  </commentList>
</comments>
</file>

<file path=xl/sharedStrings.xml><?xml version="1.0" encoding="utf-8"?>
<sst xmlns="http://schemas.openxmlformats.org/spreadsheetml/2006/main" count="177" uniqueCount="120">
  <si>
    <t>S.No.</t>
  </si>
  <si>
    <t>Alias Name</t>
  </si>
  <si>
    <t>Area</t>
  </si>
  <si>
    <t>Retailer Name</t>
  </si>
  <si>
    <t>Total</t>
  </si>
  <si>
    <t>Total:</t>
  </si>
  <si>
    <t>AGNOOR</t>
  </si>
  <si>
    <t>S K COMMUNICATION(661475194)</t>
  </si>
  <si>
    <t>SAJNISH KIRANA(661644709)</t>
  </si>
  <si>
    <t>MAHI TELECOM ELECTRONICS(661644706)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</si>
  <si>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</si>
  <si>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</si>
  <si>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</si>
  <si>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</si>
  <si>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</si>
  <si>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</si>
  <si>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</si>
  <si>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</si>
  <si>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</si>
  <si>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</si>
  <si>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</si>
  <si>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</si>
  <si>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Glaxy Mobile and Digital Studi(660587311)</t>
  </si>
  <si>
    <t>MAHENDIA</t>
  </si>
  <si>
    <t>SINGH COMMUNICATION(660315658)</t>
  </si>
  <si>
    <t>Ajay Kr.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</si>
  <si>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</si>
  <si>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</si>
  <si>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</si>
  <si>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</si>
  <si>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</si>
  <si>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</si>
  <si>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</si>
  <si>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</si>
  <si>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</si>
  <si>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</si>
  <si>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</si>
  <si>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</si>
  <si>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</si>
  <si>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</si>
  <si>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</si>
  <si>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</si>
  <si>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</si>
  <si>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</si>
  <si>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</si>
  <si>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</si>
  <si>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</si>
  <si>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</si>
  <si>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</si>
  <si>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</si>
  <si>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</si>
  <si>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</si>
  <si>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</si>
  <si>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</si>
  <si>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</si>
  <si>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</si>
  <si>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Ranjit Kr.</t>
  </si>
  <si>
    <t>KUMAR INTERNET(660322625)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</si>
  <si>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</si>
  <si>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</si>
  <si>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</si>
  <si>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</si>
  <si>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</si>
  <si>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</si>
  <si>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</si>
  <si>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</si>
  <si>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</si>
  <si>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</si>
  <si>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</si>
  <si>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</si>
  <si>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</si>
  <si>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Amresh Kr.</t>
  </si>
  <si>
    <t>BADRABAD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</si>
  <si>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</si>
  <si>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</si>
  <si>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</si>
  <si>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</si>
  <si>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</si>
  <si>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</si>
  <si>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</si>
  <si>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</si>
  <si>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</si>
  <si>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</si>
  <si>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</si>
  <si>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</si>
  <si>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</si>
  <si>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</si>
  <si>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</si>
  <si>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</si>
  <si>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</si>
  <si>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</si>
  <si>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</si>
  <si>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SHRI SAI ELECTRONICS(661673670)</t>
  </si>
  <si>
    <t>Indrijeet</t>
  </si>
  <si>
    <t>Dhewai</t>
  </si>
  <si>
    <t>maa phone ghar(662077151)</t>
  </si>
  <si>
    <t>ANJALI MOBILE RAMPURCHAE(661735620)</t>
  </si>
  <si>
    <t>Payal Communication(660614430)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</si>
  <si>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</si>
  <si>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</si>
  <si>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</si>
  <si>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</si>
  <si>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</si>
  <si>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</si>
  <si>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</si>
  <si>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</si>
  <si>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</si>
  <si>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</si>
  <si>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</si>
  <si>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Sabbir Ahmad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</si>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</sst>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 * #,##0.00_ ;_ * \-#,##0.00_ ;_ * &quot;-&quot;??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2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9" borderId="1" applyNumberFormat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16" borderId="4" applyNumberForma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7" fillId="18" borderId="7" applyNumberFormat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8" fillId="18" borderId="4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3"/>
  <sheetViews>
    <sheetView tabSelected="1" workbookViewId="0">
      <pane xSplit="5" ySplit="2" topLeftCell="X77" activePane="bottomRight" state="frozen"/>
      <selection/>
      <selection pane="topRight"/>
      <selection pane="bottomLeft"/>
      <selection pane="bottomRight" activeCell="A51" sqref="A51:A93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11" style="4" customWidth="1"/>
    <col min="6" max="16384" width="9.14285714285714" style="3"/>
  </cols>
  <sheetData>
    <row r="1" s="1" customFormat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>
        <v>44166</v>
      </c>
      <c r="G1" s="5">
        <v>44167</v>
      </c>
      <c r="H1" s="5">
        <v>44168</v>
      </c>
      <c r="I1" s="5">
        <v>44169</v>
      </c>
      <c r="J1" s="5">
        <v>44170</v>
      </c>
      <c r="K1" s="5">
        <v>44171</v>
      </c>
      <c r="L1" s="5">
        <v>44172</v>
      </c>
      <c r="M1" s="5">
        <v>44173</v>
      </c>
      <c r="N1" s="5">
        <v>44174</v>
      </c>
      <c r="O1" s="5">
        <v>44175</v>
      </c>
      <c r="P1" s="5">
        <v>44176</v>
      </c>
      <c r="Q1" s="5">
        <v>44177</v>
      </c>
      <c r="R1" s="5">
        <v>44178</v>
      </c>
      <c r="S1" s="5">
        <v>44179</v>
      </c>
      <c r="T1" s="5">
        <v>44180</v>
      </c>
      <c r="U1" s="5">
        <v>44181</v>
      </c>
      <c r="V1" s="5">
        <v>44182</v>
      </c>
      <c r="W1" s="5">
        <v>44183</v>
      </c>
      <c r="X1" s="5">
        <v>44184</v>
      </c>
      <c r="Y1" s="5">
        <v>44185</v>
      </c>
      <c r="Z1" s="5">
        <v>44186</v>
      </c>
      <c r="AA1" s="5">
        <v>44187</v>
      </c>
      <c r="AB1" s="5">
        <v>44188</v>
      </c>
      <c r="AC1" s="5">
        <v>44189</v>
      </c>
      <c r="AD1" s="5">
        <v>44190</v>
      </c>
      <c r="AE1" s="5">
        <v>44191</v>
      </c>
      <c r="AF1" s="5">
        <v>44192</v>
      </c>
      <c r="AG1" s="5">
        <v>44193</v>
      </c>
      <c r="AH1" s="5">
        <v>44194</v>
      </c>
      <c r="AI1" s="5">
        <v>44195</v>
      </c>
      <c r="AJ1" s="5">
        <v>44196</v>
      </c>
    </row>
    <row r="2" s="2" customFormat="1" spans="4:36">
      <c r="D2" s="6" t="s">
        <v>5</v>
      </c>
      <c r="E2" s="7">
        <f>SUM(F2:AJ2)</f>
        <v>932000</v>
      </c>
      <c r="F2" s="2">
        <f>SUM(F3:F92)</f>
        <v>0</v>
      </c>
      <c r="G2" s="2">
        <f>SUM(G3:G92)</f>
        <v>0</v>
      </c>
      <c r="H2" s="2">
        <f t="shared" ref="H2:N2" si="0">SUM(H3:H92)</f>
        <v>36000</v>
      </c>
      <c r="I2" s="2">
        <f t="shared" si="0"/>
        <v>34000</v>
      </c>
      <c r="J2" s="2">
        <f t="shared" si="0"/>
        <v>21000</v>
      </c>
      <c r="K2" s="2">
        <f t="shared" si="0"/>
        <v>47500</v>
      </c>
      <c r="L2" s="2">
        <f t="shared" si="0"/>
        <v>42500</v>
      </c>
      <c r="M2" s="2">
        <f t="shared" si="0"/>
        <v>27000</v>
      </c>
      <c r="N2" s="2">
        <f t="shared" si="0"/>
        <v>71900</v>
      </c>
      <c r="O2" s="2">
        <f t="shared" ref="O2:AJ2" si="1">SUM(O3:O92)</f>
        <v>59000</v>
      </c>
      <c r="P2" s="2">
        <f t="shared" si="1"/>
        <v>26000</v>
      </c>
      <c r="Q2" s="2">
        <f t="shared" si="1"/>
        <v>29100</v>
      </c>
      <c r="R2" s="2">
        <f t="shared" si="1"/>
        <v>0</v>
      </c>
      <c r="S2" s="2">
        <f t="shared" si="1"/>
        <v>75000</v>
      </c>
      <c r="T2" s="2">
        <f t="shared" si="1"/>
        <v>49500</v>
      </c>
      <c r="U2" s="2">
        <f t="shared" si="1"/>
        <v>47000</v>
      </c>
      <c r="V2" s="2">
        <f t="shared" si="1"/>
        <v>53000</v>
      </c>
      <c r="W2" s="2">
        <f t="shared" si="1"/>
        <v>56300</v>
      </c>
      <c r="X2" s="2">
        <f t="shared" si="1"/>
        <v>42100</v>
      </c>
      <c r="Y2" s="2">
        <f t="shared" si="1"/>
        <v>7000</v>
      </c>
      <c r="Z2" s="2">
        <f t="shared" si="1"/>
        <v>33000</v>
      </c>
      <c r="AA2" s="2">
        <f t="shared" si="1"/>
        <v>39400</v>
      </c>
      <c r="AB2" s="2">
        <f t="shared" si="1"/>
        <v>41500</v>
      </c>
      <c r="AC2" s="2">
        <f t="shared" si="1"/>
        <v>54500</v>
      </c>
      <c r="AD2" s="2">
        <f t="shared" si="1"/>
        <v>39700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="3" customFormat="1" spans="1:28">
      <c r="A3" s="3">
        <v>1</v>
      </c>
      <c r="C3" s="3" t="s">
        <v>6</v>
      </c>
      <c r="D3" s="4" t="s">
        <v>7</v>
      </c>
      <c r="E3" s="8">
        <f t="shared" ref="E3:E34" si="2">SUM(F3:AJ3)</f>
        <v>6000</v>
      </c>
      <c r="U3" s="9">
        <v>3000</v>
      </c>
      <c r="AB3" s="9">
        <v>3000</v>
      </c>
    </row>
    <row r="4" s="3" customFormat="1" spans="1:28">
      <c r="A4" s="3">
        <v>2</v>
      </c>
      <c r="C4" s="3" t="s">
        <v>6</v>
      </c>
      <c r="D4" s="4" t="s">
        <v>8</v>
      </c>
      <c r="E4" s="8">
        <f t="shared" si="2"/>
        <v>4000</v>
      </c>
      <c r="K4" s="9">
        <v>2000</v>
      </c>
      <c r="AB4" s="3">
        <v>2000</v>
      </c>
    </row>
    <row r="5" s="3" customFormat="1" spans="1:29">
      <c r="A5" s="3">
        <v>3</v>
      </c>
      <c r="C5" s="3" t="s">
        <v>6</v>
      </c>
      <c r="D5" s="4" t="s">
        <v>9</v>
      </c>
      <c r="E5" s="8">
        <f t="shared" si="2"/>
        <v>11000</v>
      </c>
      <c r="H5" s="3">
        <v>1000</v>
      </c>
      <c r="J5" s="3">
        <v>1000</v>
      </c>
      <c r="N5" s="3">
        <v>2000</v>
      </c>
      <c r="S5" s="3">
        <v>2000</v>
      </c>
      <c r="U5" s="3">
        <v>2000</v>
      </c>
      <c r="W5" s="3">
        <v>1000</v>
      </c>
      <c r="X5" s="3">
        <v>1000</v>
      </c>
      <c r="AC5" s="3">
        <v>1000</v>
      </c>
    </row>
    <row r="6" s="3" customFormat="1" spans="1:28">
      <c r="A6" s="3">
        <v>4</v>
      </c>
      <c r="C6" s="3" t="s">
        <v>6</v>
      </c>
      <c r="D6" s="4" t="s">
        <v>10</v>
      </c>
      <c r="E6" s="8">
        <f t="shared" si="2"/>
        <v>21500</v>
      </c>
      <c r="H6" s="9">
        <v>3000</v>
      </c>
      <c r="J6" s="9">
        <v>2000</v>
      </c>
      <c r="K6" s="9">
        <v>1500</v>
      </c>
      <c r="N6" s="9">
        <v>4000</v>
      </c>
      <c r="O6" s="9">
        <v>4000</v>
      </c>
      <c r="U6" s="9">
        <v>2000</v>
      </c>
      <c r="X6" s="9">
        <v>3000</v>
      </c>
      <c r="AB6" s="9">
        <v>2000</v>
      </c>
    </row>
    <row r="7" s="3" customFormat="1" spans="1:29">
      <c r="A7" s="3">
        <v>5</v>
      </c>
      <c r="C7" s="3" t="s">
        <v>6</v>
      </c>
      <c r="D7" s="4" t="s">
        <v>11</v>
      </c>
      <c r="E7" s="8">
        <f t="shared" si="2"/>
        <v>39000</v>
      </c>
      <c r="H7" s="3">
        <v>2000</v>
      </c>
      <c r="N7" s="9">
        <v>6000</v>
      </c>
      <c r="O7" s="9">
        <v>5000</v>
      </c>
      <c r="Q7" s="9">
        <v>1500</v>
      </c>
      <c r="S7" s="9">
        <v>4500</v>
      </c>
      <c r="U7" s="3">
        <v>1500</v>
      </c>
      <c r="V7" s="9">
        <v>3500</v>
      </c>
      <c r="X7" s="3">
        <v>5000</v>
      </c>
      <c r="AA7" s="9">
        <v>6000</v>
      </c>
      <c r="AC7" s="9">
        <v>4000</v>
      </c>
    </row>
    <row r="8" s="3" customFormat="1" spans="1:23">
      <c r="A8" s="3">
        <v>6</v>
      </c>
      <c r="C8" s="3" t="s">
        <v>6</v>
      </c>
      <c r="D8" s="4" t="s">
        <v>12</v>
      </c>
      <c r="E8" s="8">
        <f t="shared" si="2"/>
        <v>5000</v>
      </c>
      <c r="N8" s="3">
        <v>1000</v>
      </c>
      <c r="O8" s="3">
        <v>2000</v>
      </c>
      <c r="W8" s="3">
        <v>2000</v>
      </c>
    </row>
    <row r="9" s="3" customFormat="1" spans="1:21">
      <c r="A9" s="3">
        <v>7</v>
      </c>
      <c r="C9" s="3" t="s">
        <v>6</v>
      </c>
      <c r="D9" s="4" t="s">
        <v>13</v>
      </c>
      <c r="E9" s="8">
        <f t="shared" si="2"/>
        <v>6000</v>
      </c>
      <c r="H9" s="3">
        <v>2000</v>
      </c>
      <c r="N9" s="3">
        <v>1000</v>
      </c>
      <c r="O9" s="3">
        <v>1000</v>
      </c>
      <c r="U9" s="3">
        <v>2000</v>
      </c>
    </row>
    <row r="10" s="3" customFormat="1" spans="1:29">
      <c r="A10" s="3">
        <v>8</v>
      </c>
      <c r="C10" s="3" t="s">
        <v>6</v>
      </c>
      <c r="D10" s="4" t="s">
        <v>14</v>
      </c>
      <c r="E10" s="8">
        <f t="shared" si="2"/>
        <v>35000</v>
      </c>
      <c r="H10" s="3">
        <v>2000</v>
      </c>
      <c r="J10" s="3">
        <v>4000</v>
      </c>
      <c r="N10" s="3">
        <v>8000</v>
      </c>
      <c r="O10" s="3">
        <v>1000</v>
      </c>
      <c r="S10" s="3">
        <v>5000</v>
      </c>
      <c r="V10" s="3">
        <v>5000</v>
      </c>
      <c r="Z10" s="3">
        <v>5000</v>
      </c>
      <c r="AC10" s="3">
        <v>5000</v>
      </c>
    </row>
    <row r="11" s="3" customFormat="1" spans="1:22">
      <c r="A11" s="3">
        <v>9</v>
      </c>
      <c r="C11" s="3" t="s">
        <v>15</v>
      </c>
      <c r="D11" s="4" t="s">
        <v>16</v>
      </c>
      <c r="E11" s="8">
        <f t="shared" si="2"/>
        <v>11000</v>
      </c>
      <c r="H11" s="9">
        <v>2000</v>
      </c>
      <c r="K11" s="9">
        <v>2000</v>
      </c>
      <c r="N11" s="9">
        <v>5000</v>
      </c>
      <c r="V11" s="9">
        <v>2000</v>
      </c>
    </row>
    <row r="12" s="3" customFormat="1" spans="1:28">
      <c r="A12" s="3">
        <v>10</v>
      </c>
      <c r="C12" s="3" t="s">
        <v>15</v>
      </c>
      <c r="D12" s="4" t="s">
        <v>17</v>
      </c>
      <c r="E12" s="8">
        <f t="shared" si="2"/>
        <v>5000</v>
      </c>
      <c r="L12" s="3">
        <v>1000</v>
      </c>
      <c r="N12" s="3">
        <v>1000</v>
      </c>
      <c r="O12" s="3">
        <v>1000</v>
      </c>
      <c r="V12" s="3">
        <v>1000</v>
      </c>
      <c r="AB12" s="3">
        <v>1000</v>
      </c>
    </row>
    <row r="13" s="3" customFormat="1" spans="1:30">
      <c r="A13" s="3">
        <v>11</v>
      </c>
      <c r="C13" s="3" t="s">
        <v>15</v>
      </c>
      <c r="D13" s="4" t="s">
        <v>18</v>
      </c>
      <c r="E13" s="8">
        <f t="shared" si="2"/>
        <v>28000</v>
      </c>
      <c r="H13" s="3">
        <v>2000</v>
      </c>
      <c r="L13" s="9">
        <v>6000</v>
      </c>
      <c r="N13" s="3">
        <v>5000</v>
      </c>
      <c r="Q13" s="3">
        <v>5000</v>
      </c>
      <c r="W13" s="3">
        <v>5000</v>
      </c>
      <c r="AD13" s="3">
        <v>5000</v>
      </c>
    </row>
    <row r="14" s="3" customFormat="1" spans="1:30">
      <c r="A14" s="3">
        <v>12</v>
      </c>
      <c r="C14" s="3" t="s">
        <v>15</v>
      </c>
      <c r="D14" s="4" t="s">
        <v>19</v>
      </c>
      <c r="E14" s="8">
        <f t="shared" si="2"/>
        <v>38500</v>
      </c>
      <c r="H14" s="3">
        <v>2000</v>
      </c>
      <c r="K14" s="3">
        <v>4000</v>
      </c>
      <c r="L14" s="3">
        <v>5000</v>
      </c>
      <c r="N14" s="3">
        <v>3000</v>
      </c>
      <c r="O14" s="3">
        <v>2000</v>
      </c>
      <c r="P14" s="3">
        <v>2000</v>
      </c>
      <c r="Q14" s="3">
        <v>1000</v>
      </c>
      <c r="S14" s="3">
        <v>5000</v>
      </c>
      <c r="U14" s="3">
        <v>2000</v>
      </c>
      <c r="V14" s="3">
        <v>2000</v>
      </c>
      <c r="W14" s="3">
        <v>1000</v>
      </c>
      <c r="X14" s="3">
        <v>1000</v>
      </c>
      <c r="Z14" s="3">
        <v>2500</v>
      </c>
      <c r="AA14" s="3">
        <v>1500</v>
      </c>
      <c r="AB14" s="3">
        <v>1000</v>
      </c>
      <c r="AC14" s="3">
        <v>1500</v>
      </c>
      <c r="AD14" s="3">
        <v>2000</v>
      </c>
    </row>
    <row r="15" s="3" customFormat="1" spans="1:28">
      <c r="A15" s="3">
        <v>13</v>
      </c>
      <c r="B15" s="3" t="s">
        <v>20</v>
      </c>
      <c r="C15" s="3" t="s">
        <v>15</v>
      </c>
      <c r="D15" s="4" t="s">
        <v>21</v>
      </c>
      <c r="E15" s="8">
        <f t="shared" si="2"/>
        <v>6000</v>
      </c>
      <c r="S15" s="3">
        <v>2000</v>
      </c>
      <c r="V15" s="3">
        <v>2000</v>
      </c>
      <c r="AB15" s="3">
        <v>2000</v>
      </c>
    </row>
    <row r="16" s="3" customFormat="1" spans="1:29">
      <c r="A16" s="3">
        <v>14</v>
      </c>
      <c r="C16" s="3" t="s">
        <v>15</v>
      </c>
      <c r="D16" s="4" t="s">
        <v>22</v>
      </c>
      <c r="E16" s="8">
        <f t="shared" si="2"/>
        <v>15000</v>
      </c>
      <c r="M16" s="3">
        <v>2000</v>
      </c>
      <c r="O16" s="3">
        <v>1000</v>
      </c>
      <c r="Q16" s="3">
        <v>3000</v>
      </c>
      <c r="T16" s="3">
        <v>3000</v>
      </c>
      <c r="W16" s="3">
        <v>3000</v>
      </c>
      <c r="AC16" s="3">
        <v>3000</v>
      </c>
    </row>
    <row r="17" s="3" customFormat="1" spans="1:29">
      <c r="A17" s="3">
        <v>15</v>
      </c>
      <c r="C17" s="3" t="s">
        <v>23</v>
      </c>
      <c r="D17" s="4" t="s">
        <v>24</v>
      </c>
      <c r="E17" s="8">
        <f t="shared" si="2"/>
        <v>24000</v>
      </c>
      <c r="I17" s="3">
        <v>3000</v>
      </c>
      <c r="L17" s="3">
        <v>6000</v>
      </c>
      <c r="N17" s="9">
        <v>5000</v>
      </c>
      <c r="S17" s="9">
        <v>5000</v>
      </c>
      <c r="AC17" s="3">
        <v>5000</v>
      </c>
    </row>
    <row r="18" s="3" customFormat="1" spans="1:29">
      <c r="A18" s="3">
        <v>16</v>
      </c>
      <c r="B18" s="3" t="s">
        <v>25</v>
      </c>
      <c r="C18" s="3" t="s">
        <v>23</v>
      </c>
      <c r="D18" s="4" t="s">
        <v>26</v>
      </c>
      <c r="E18" s="8">
        <f t="shared" si="2"/>
        <v>7000</v>
      </c>
      <c r="S18" s="9">
        <v>1000</v>
      </c>
      <c r="W18" s="9">
        <v>1000</v>
      </c>
      <c r="X18" s="9">
        <v>1000</v>
      </c>
      <c r="AB18" s="3">
        <v>2000</v>
      </c>
      <c r="AC18" s="9">
        <v>2000</v>
      </c>
    </row>
    <row r="19" s="3" customFormat="1" spans="1:26">
      <c r="A19" s="3">
        <v>17</v>
      </c>
      <c r="C19" s="3" t="s">
        <v>23</v>
      </c>
      <c r="D19" s="4" t="s">
        <v>27</v>
      </c>
      <c r="E19" s="8">
        <f t="shared" si="2"/>
        <v>9000</v>
      </c>
      <c r="I19" s="3">
        <v>1000</v>
      </c>
      <c r="M19" s="3">
        <v>2000</v>
      </c>
      <c r="S19" s="3">
        <v>2000</v>
      </c>
      <c r="T19" s="3">
        <v>1000</v>
      </c>
      <c r="W19" s="3">
        <v>1500</v>
      </c>
      <c r="Z19" s="3">
        <v>1500</v>
      </c>
    </row>
    <row r="20" s="3" customFormat="1" spans="1:24">
      <c r="A20" s="3">
        <v>18</v>
      </c>
      <c r="C20" s="3" t="s">
        <v>23</v>
      </c>
      <c r="D20" s="4" t="s">
        <v>28</v>
      </c>
      <c r="E20" s="8">
        <f t="shared" si="2"/>
        <v>17000</v>
      </c>
      <c r="P20" s="9">
        <v>5000</v>
      </c>
      <c r="T20" s="9">
        <v>7000</v>
      </c>
      <c r="X20" s="9">
        <v>5000</v>
      </c>
    </row>
    <row r="21" s="3" customFormat="1" spans="1:28">
      <c r="A21" s="3">
        <v>19</v>
      </c>
      <c r="C21" s="3" t="s">
        <v>23</v>
      </c>
      <c r="D21" s="4" t="s">
        <v>29</v>
      </c>
      <c r="E21" s="8">
        <f t="shared" si="2"/>
        <v>7000</v>
      </c>
      <c r="I21" s="3">
        <v>2000</v>
      </c>
      <c r="M21" s="3">
        <v>1000</v>
      </c>
      <c r="Q21" s="3">
        <v>1000</v>
      </c>
      <c r="S21" s="3">
        <v>1000</v>
      </c>
      <c r="W21" s="3">
        <v>1000</v>
      </c>
      <c r="AB21" s="3">
        <v>1000</v>
      </c>
    </row>
    <row r="22" s="3" customFormat="1" spans="1:29">
      <c r="A22" s="3">
        <v>20</v>
      </c>
      <c r="C22" s="3" t="s">
        <v>23</v>
      </c>
      <c r="D22" s="4" t="s">
        <v>30</v>
      </c>
      <c r="E22" s="8">
        <f t="shared" si="2"/>
        <v>15000</v>
      </c>
      <c r="I22" s="3">
        <v>3000</v>
      </c>
      <c r="O22" s="3">
        <v>3000</v>
      </c>
      <c r="S22" s="3">
        <v>3000</v>
      </c>
      <c r="W22" s="3">
        <v>3000</v>
      </c>
      <c r="AC22" s="3">
        <v>3000</v>
      </c>
    </row>
    <row r="23" s="3" customFormat="1" spans="1:28">
      <c r="A23" s="3">
        <v>21</v>
      </c>
      <c r="C23" s="3" t="s">
        <v>23</v>
      </c>
      <c r="D23" s="4" t="s">
        <v>31</v>
      </c>
      <c r="E23" s="8">
        <f t="shared" si="2"/>
        <v>17000</v>
      </c>
      <c r="S23" s="9">
        <v>2000</v>
      </c>
      <c r="T23" s="9">
        <v>5000</v>
      </c>
      <c r="W23" s="9">
        <v>5000</v>
      </c>
      <c r="AB23" s="9">
        <v>5000</v>
      </c>
    </row>
    <row r="24" s="3" customFormat="1" spans="1:30">
      <c r="A24" s="3">
        <v>22</v>
      </c>
      <c r="C24" s="3" t="s">
        <v>23</v>
      </c>
      <c r="D24" s="4" t="s">
        <v>32</v>
      </c>
      <c r="E24" s="8">
        <f t="shared" si="2"/>
        <v>21000</v>
      </c>
      <c r="N24" s="3">
        <v>6000</v>
      </c>
      <c r="Q24" s="3">
        <v>3000</v>
      </c>
      <c r="T24" s="3">
        <v>3000</v>
      </c>
      <c r="V24" s="3">
        <v>2500</v>
      </c>
      <c r="W24" s="3">
        <v>500</v>
      </c>
      <c r="Z24" s="3">
        <v>3000</v>
      </c>
      <c r="AB24" s="3">
        <v>500</v>
      </c>
      <c r="AD24" s="3">
        <v>2500</v>
      </c>
    </row>
    <row r="25" s="3" customFormat="1" spans="1:29">
      <c r="A25" s="3">
        <v>23</v>
      </c>
      <c r="C25" s="3" t="s">
        <v>23</v>
      </c>
      <c r="D25" s="4" t="s">
        <v>33</v>
      </c>
      <c r="E25" s="8">
        <f t="shared" si="2"/>
        <v>10500</v>
      </c>
      <c r="M25" s="3">
        <v>3000</v>
      </c>
      <c r="S25" s="3">
        <v>1500</v>
      </c>
      <c r="T25" s="3">
        <v>2000</v>
      </c>
      <c r="V25" s="3">
        <v>1000</v>
      </c>
      <c r="X25" s="3">
        <v>1000</v>
      </c>
      <c r="AA25" s="3">
        <v>1000</v>
      </c>
      <c r="AC25" s="3">
        <v>1000</v>
      </c>
    </row>
    <row r="26" s="3" customFormat="1" spans="1:29">
      <c r="A26" s="3">
        <v>24</v>
      </c>
      <c r="C26" s="3" t="s">
        <v>23</v>
      </c>
      <c r="D26" s="4" t="s">
        <v>34</v>
      </c>
      <c r="E26" s="8">
        <f t="shared" si="2"/>
        <v>5000</v>
      </c>
      <c r="V26" s="3">
        <v>3000</v>
      </c>
      <c r="AC26" s="3">
        <v>2000</v>
      </c>
    </row>
    <row r="27" s="3" customFormat="1" spans="1:23">
      <c r="A27" s="3">
        <v>25</v>
      </c>
      <c r="C27" s="3" t="s">
        <v>23</v>
      </c>
      <c r="D27" s="4" t="s">
        <v>35</v>
      </c>
      <c r="E27" s="8">
        <f t="shared" si="2"/>
        <v>8000</v>
      </c>
      <c r="I27" s="3">
        <v>1000</v>
      </c>
      <c r="M27" s="3">
        <v>2000</v>
      </c>
      <c r="Q27" s="3">
        <v>1000</v>
      </c>
      <c r="S27" s="3">
        <v>2000</v>
      </c>
      <c r="V27" s="3">
        <v>1000</v>
      </c>
      <c r="W27" s="3">
        <v>1000</v>
      </c>
    </row>
    <row r="28" s="3" customFormat="1" spans="1:21">
      <c r="A28" s="3">
        <v>26</v>
      </c>
      <c r="C28" s="3" t="s">
        <v>23</v>
      </c>
      <c r="D28" s="4" t="s">
        <v>36</v>
      </c>
      <c r="E28" s="8">
        <f t="shared" si="2"/>
        <v>17000</v>
      </c>
      <c r="H28" s="9">
        <v>2000</v>
      </c>
      <c r="I28" s="9">
        <v>1000</v>
      </c>
      <c r="K28" s="9">
        <v>3000</v>
      </c>
      <c r="M28" s="9">
        <v>1000</v>
      </c>
      <c r="O28" s="9">
        <v>5000</v>
      </c>
      <c r="U28" s="9">
        <v>5000</v>
      </c>
    </row>
    <row r="29" s="3" customFormat="1" spans="1:28">
      <c r="A29" s="3">
        <v>27</v>
      </c>
      <c r="C29" s="3" t="s">
        <v>23</v>
      </c>
      <c r="D29" s="4" t="s">
        <v>37</v>
      </c>
      <c r="E29" s="8">
        <f t="shared" si="2"/>
        <v>49000</v>
      </c>
      <c r="I29" s="3">
        <v>2000</v>
      </c>
      <c r="K29" s="9">
        <v>12000</v>
      </c>
      <c r="N29" s="3">
        <v>5000</v>
      </c>
      <c r="P29" s="9">
        <v>5000</v>
      </c>
      <c r="U29" s="9">
        <v>10000</v>
      </c>
      <c r="W29" s="3">
        <v>5000</v>
      </c>
      <c r="AA29" s="9">
        <v>5000</v>
      </c>
      <c r="AB29" s="9">
        <v>5000</v>
      </c>
    </row>
    <row r="30" s="3" customFormat="1" spans="1:30">
      <c r="A30" s="3">
        <v>28</v>
      </c>
      <c r="C30" s="3" t="s">
        <v>23</v>
      </c>
      <c r="D30" s="4" t="s">
        <v>38</v>
      </c>
      <c r="E30" s="8">
        <f t="shared" si="2"/>
        <v>12000</v>
      </c>
      <c r="I30" s="3">
        <v>1000</v>
      </c>
      <c r="K30" s="3">
        <v>1000</v>
      </c>
      <c r="M30" s="3">
        <v>1000</v>
      </c>
      <c r="N30" s="3">
        <v>1000</v>
      </c>
      <c r="S30" s="3">
        <v>1000</v>
      </c>
      <c r="T30" s="3">
        <v>1000</v>
      </c>
      <c r="U30" s="3">
        <v>1000</v>
      </c>
      <c r="V30" s="3">
        <v>500</v>
      </c>
      <c r="W30" s="3">
        <v>1500</v>
      </c>
      <c r="X30" s="3">
        <v>500</v>
      </c>
      <c r="Z30" s="3">
        <v>500</v>
      </c>
      <c r="AC30" s="3">
        <v>1000</v>
      </c>
      <c r="AD30" s="3">
        <v>1000</v>
      </c>
    </row>
    <row r="31" s="3" customFormat="1" spans="1:26">
      <c r="A31" s="3">
        <v>29</v>
      </c>
      <c r="C31" s="3" t="s">
        <v>39</v>
      </c>
      <c r="D31" s="4" t="s">
        <v>40</v>
      </c>
      <c r="E31" s="8">
        <f t="shared" si="2"/>
        <v>9000</v>
      </c>
      <c r="H31" s="3">
        <v>2000</v>
      </c>
      <c r="L31" s="3">
        <v>1000</v>
      </c>
      <c r="O31" s="3">
        <v>3000</v>
      </c>
      <c r="W31" s="3">
        <v>2000</v>
      </c>
      <c r="Z31" s="3">
        <v>1000</v>
      </c>
    </row>
    <row r="32" s="3" customFormat="1" spans="1:22">
      <c r="A32" s="3">
        <v>30</v>
      </c>
      <c r="C32" s="3" t="s">
        <v>39</v>
      </c>
      <c r="D32" s="4" t="s">
        <v>41</v>
      </c>
      <c r="E32" s="8">
        <f t="shared" si="2"/>
        <v>5000</v>
      </c>
      <c r="H32" s="3">
        <v>1000</v>
      </c>
      <c r="L32" s="3">
        <v>1000</v>
      </c>
      <c r="O32" s="3">
        <v>1000</v>
      </c>
      <c r="U32" s="3">
        <v>1000</v>
      </c>
      <c r="V32" s="3">
        <v>1000</v>
      </c>
    </row>
    <row r="33" s="3" customFormat="1" spans="1:17">
      <c r="A33" s="3">
        <v>31</v>
      </c>
      <c r="C33" s="3" t="s">
        <v>39</v>
      </c>
      <c r="D33" s="4" t="s">
        <v>42</v>
      </c>
      <c r="E33" s="8">
        <f t="shared" si="2"/>
        <v>3000</v>
      </c>
      <c r="H33" s="3">
        <v>1000</v>
      </c>
      <c r="L33" s="3">
        <v>1000</v>
      </c>
      <c r="N33" s="3">
        <v>900</v>
      </c>
      <c r="Q33" s="3">
        <v>100</v>
      </c>
    </row>
    <row r="34" s="3" customFormat="1" spans="1:30">
      <c r="A34" s="3">
        <v>32</v>
      </c>
      <c r="C34" s="3" t="s">
        <v>39</v>
      </c>
      <c r="D34" s="4" t="s">
        <v>43</v>
      </c>
      <c r="E34" s="8">
        <f t="shared" si="2"/>
        <v>24000</v>
      </c>
      <c r="H34" s="3">
        <v>2000</v>
      </c>
      <c r="L34" s="3">
        <v>4000</v>
      </c>
      <c r="P34" s="9">
        <v>6000</v>
      </c>
      <c r="U34" s="9">
        <v>3000</v>
      </c>
      <c r="W34" s="9">
        <v>3000</v>
      </c>
      <c r="AB34" s="9">
        <v>3000</v>
      </c>
      <c r="AD34" s="3">
        <v>3000</v>
      </c>
    </row>
    <row r="35" s="3" customFormat="1" spans="1:30">
      <c r="A35" s="3">
        <v>33</v>
      </c>
      <c r="C35" s="3" t="s">
        <v>39</v>
      </c>
      <c r="D35" s="4" t="s">
        <v>44</v>
      </c>
      <c r="E35" s="8">
        <f t="shared" ref="E35:E66" si="3">SUM(F35:AJ35)</f>
        <v>4000</v>
      </c>
      <c r="V35" s="3">
        <v>2000</v>
      </c>
      <c r="AD35" s="3">
        <v>2000</v>
      </c>
    </row>
    <row r="36" s="3" customFormat="1" spans="1:27">
      <c r="A36" s="3">
        <v>34</v>
      </c>
      <c r="C36" s="3" t="s">
        <v>39</v>
      </c>
      <c r="D36" s="4" t="s">
        <v>45</v>
      </c>
      <c r="E36" s="8">
        <f t="shared" si="3"/>
        <v>18000</v>
      </c>
      <c r="H36" s="9">
        <v>3000</v>
      </c>
      <c r="L36" s="9">
        <v>3000</v>
      </c>
      <c r="Q36" s="9">
        <v>3000</v>
      </c>
      <c r="S36" s="9">
        <v>3000</v>
      </c>
      <c r="W36" s="3">
        <v>3000</v>
      </c>
      <c r="AA36" s="9">
        <v>3000</v>
      </c>
    </row>
    <row r="37" s="3" customFormat="1" spans="1:26">
      <c r="A37" s="3">
        <v>35</v>
      </c>
      <c r="C37" s="3" t="s">
        <v>39</v>
      </c>
      <c r="D37" s="4" t="s">
        <v>46</v>
      </c>
      <c r="E37" s="8">
        <f t="shared" si="3"/>
        <v>6000</v>
      </c>
      <c r="J37" s="3">
        <v>2000</v>
      </c>
      <c r="T37" s="9">
        <v>2000</v>
      </c>
      <c r="Z37" s="9">
        <v>2000</v>
      </c>
    </row>
    <row r="38" s="3" customFormat="1" spans="1:21">
      <c r="A38" s="3">
        <v>36</v>
      </c>
      <c r="C38" s="3" t="s">
        <v>39</v>
      </c>
      <c r="D38" s="4" t="s">
        <v>47</v>
      </c>
      <c r="E38" s="8">
        <f t="shared" si="3"/>
        <v>8000</v>
      </c>
      <c r="L38" s="3">
        <v>1000</v>
      </c>
      <c r="O38" s="3">
        <v>3000</v>
      </c>
      <c r="S38" s="3">
        <v>2000</v>
      </c>
      <c r="U38" s="3">
        <v>2000</v>
      </c>
    </row>
    <row r="39" s="3" customFormat="1" spans="1:29">
      <c r="A39" s="3">
        <v>37</v>
      </c>
      <c r="C39" s="3" t="s">
        <v>39</v>
      </c>
      <c r="D39" s="4" t="s">
        <v>48</v>
      </c>
      <c r="E39" s="8">
        <f t="shared" si="3"/>
        <v>9000</v>
      </c>
      <c r="H39" s="3">
        <v>2000</v>
      </c>
      <c r="L39" s="3">
        <v>1000</v>
      </c>
      <c r="N39" s="3">
        <v>2000</v>
      </c>
      <c r="S39" s="3">
        <v>2000</v>
      </c>
      <c r="AA39" s="3">
        <v>1000</v>
      </c>
      <c r="AC39" s="3">
        <v>1000</v>
      </c>
    </row>
    <row r="40" s="3" customFormat="1" spans="1:30">
      <c r="A40" s="3">
        <v>38</v>
      </c>
      <c r="C40" s="3" t="s">
        <v>39</v>
      </c>
      <c r="D40" s="4" t="s">
        <v>49</v>
      </c>
      <c r="E40" s="8">
        <f t="shared" si="3"/>
        <v>30000</v>
      </c>
      <c r="H40" s="3">
        <v>2000</v>
      </c>
      <c r="L40" s="3">
        <v>4000</v>
      </c>
      <c r="N40" s="3">
        <v>6000</v>
      </c>
      <c r="S40" s="3">
        <v>3000</v>
      </c>
      <c r="U40" s="3">
        <v>3000</v>
      </c>
      <c r="W40" s="3">
        <v>3000</v>
      </c>
      <c r="Z40" s="3">
        <v>3000</v>
      </c>
      <c r="AA40" s="3">
        <v>2000</v>
      </c>
      <c r="AD40" s="3">
        <v>4000</v>
      </c>
    </row>
    <row r="41" s="3" customFormat="1" spans="1:29">
      <c r="A41" s="3">
        <v>39</v>
      </c>
      <c r="C41" s="3" t="s">
        <v>39</v>
      </c>
      <c r="D41" s="4" t="s">
        <v>50</v>
      </c>
      <c r="E41" s="8">
        <f t="shared" si="3"/>
        <v>5000</v>
      </c>
      <c r="K41" s="3">
        <v>2000</v>
      </c>
      <c r="P41" s="3">
        <v>1000</v>
      </c>
      <c r="AC41" s="3">
        <v>2000</v>
      </c>
    </row>
    <row r="42" s="3" customFormat="1" spans="1:5">
      <c r="A42" s="3">
        <v>40</v>
      </c>
      <c r="C42" s="3" t="s">
        <v>39</v>
      </c>
      <c r="D42" s="4" t="s">
        <v>51</v>
      </c>
      <c r="E42" s="8">
        <f t="shared" si="3"/>
        <v>0</v>
      </c>
    </row>
    <row r="43" s="3" customFormat="1" spans="1:29">
      <c r="A43" s="3">
        <v>41</v>
      </c>
      <c r="C43" s="3" t="s">
        <v>39</v>
      </c>
      <c r="D43" s="4" t="s">
        <v>52</v>
      </c>
      <c r="E43" s="8">
        <f t="shared" si="3"/>
        <v>18000</v>
      </c>
      <c r="H43" s="9">
        <v>5000</v>
      </c>
      <c r="M43" s="9">
        <v>3000</v>
      </c>
      <c r="S43" s="9">
        <v>1000</v>
      </c>
      <c r="T43" s="3">
        <v>3000</v>
      </c>
      <c r="W43" s="3">
        <v>3000</v>
      </c>
      <c r="AC43" s="3">
        <v>3000</v>
      </c>
    </row>
    <row r="44" s="3" customFormat="1" spans="1:27">
      <c r="A44" s="3">
        <v>42</v>
      </c>
      <c r="C44" s="3" t="s">
        <v>53</v>
      </c>
      <c r="D44" s="4" t="s">
        <v>54</v>
      </c>
      <c r="E44" s="8">
        <f t="shared" si="3"/>
        <v>17000</v>
      </c>
      <c r="I44" s="3">
        <v>5000</v>
      </c>
      <c r="Q44" s="3">
        <v>3000</v>
      </c>
      <c r="T44" s="3">
        <v>3000</v>
      </c>
      <c r="X44" s="9">
        <v>3000</v>
      </c>
      <c r="AA44" s="3">
        <v>3000</v>
      </c>
    </row>
    <row r="45" s="3" customFormat="1" spans="1:28">
      <c r="A45" s="3">
        <v>43</v>
      </c>
      <c r="C45" s="3" t="s">
        <v>53</v>
      </c>
      <c r="D45" s="4" t="s">
        <v>55</v>
      </c>
      <c r="E45" s="8">
        <f t="shared" si="3"/>
        <v>19000</v>
      </c>
      <c r="I45" s="3">
        <v>2000</v>
      </c>
      <c r="M45" s="3">
        <v>2000</v>
      </c>
      <c r="O45" s="3">
        <v>3000</v>
      </c>
      <c r="S45" s="3">
        <v>3000</v>
      </c>
      <c r="V45" s="3">
        <v>3000</v>
      </c>
      <c r="X45" s="3">
        <v>3000</v>
      </c>
      <c r="AB45" s="3">
        <v>3000</v>
      </c>
    </row>
    <row r="46" s="3" customFormat="1" spans="1:27">
      <c r="A46" s="3">
        <v>44</v>
      </c>
      <c r="B46" s="3" t="s">
        <v>56</v>
      </c>
      <c r="C46" s="3" t="s">
        <v>53</v>
      </c>
      <c r="D46" s="4" t="s">
        <v>57</v>
      </c>
      <c r="E46" s="8">
        <f t="shared" si="3"/>
        <v>6000</v>
      </c>
      <c r="I46" s="9">
        <v>2000</v>
      </c>
      <c r="S46" s="9">
        <v>2000</v>
      </c>
      <c r="AA46" s="9">
        <v>2000</v>
      </c>
    </row>
    <row r="47" s="3" customFormat="1" spans="1:29">
      <c r="A47" s="3">
        <v>45</v>
      </c>
      <c r="C47" s="3" t="s">
        <v>53</v>
      </c>
      <c r="D47" s="4" t="s">
        <v>58</v>
      </c>
      <c r="E47" s="8">
        <f t="shared" si="3"/>
        <v>14000</v>
      </c>
      <c r="O47" s="3">
        <v>2000</v>
      </c>
      <c r="S47" s="9">
        <v>3000</v>
      </c>
      <c r="T47" s="9">
        <v>3000</v>
      </c>
      <c r="X47" s="9">
        <v>3000</v>
      </c>
      <c r="AC47" s="3">
        <v>3000</v>
      </c>
    </row>
    <row r="48" s="3" customFormat="1" spans="1:29">
      <c r="A48" s="3">
        <v>46</v>
      </c>
      <c r="B48" s="3" t="s">
        <v>59</v>
      </c>
      <c r="C48" s="3" t="s">
        <v>53</v>
      </c>
      <c r="D48" s="4" t="s">
        <v>60</v>
      </c>
      <c r="E48" s="8">
        <f t="shared" si="3"/>
        <v>21000</v>
      </c>
      <c r="I48" s="9">
        <v>2000</v>
      </c>
      <c r="M48" s="3">
        <v>4000</v>
      </c>
      <c r="O48" s="3">
        <v>3000</v>
      </c>
      <c r="T48" s="9">
        <v>3000</v>
      </c>
      <c r="V48" s="9">
        <v>2500</v>
      </c>
      <c r="X48" s="9">
        <v>500</v>
      </c>
      <c r="AC48" s="9">
        <v>6000</v>
      </c>
    </row>
    <row r="49" s="3" customFormat="1" spans="1:27">
      <c r="A49" s="3">
        <v>47</v>
      </c>
      <c r="B49" s="3" t="s">
        <v>61</v>
      </c>
      <c r="C49" s="3" t="s">
        <v>53</v>
      </c>
      <c r="D49" s="4" t="s">
        <v>62</v>
      </c>
      <c r="E49" s="8">
        <f t="shared" si="3"/>
        <v>9000</v>
      </c>
      <c r="I49" s="3">
        <v>1000</v>
      </c>
      <c r="O49" s="3">
        <v>2000</v>
      </c>
      <c r="S49" s="9">
        <v>2000</v>
      </c>
      <c r="X49" s="3">
        <v>2000</v>
      </c>
      <c r="AA49" s="9">
        <v>2000</v>
      </c>
    </row>
    <row r="50" s="3" customFormat="1" spans="1:21">
      <c r="A50" s="3">
        <v>48</v>
      </c>
      <c r="C50" s="3" t="s">
        <v>53</v>
      </c>
      <c r="D50" s="4" t="s">
        <v>63</v>
      </c>
      <c r="E50" s="8">
        <f t="shared" si="3"/>
        <v>6000</v>
      </c>
      <c r="I50" s="3">
        <v>1000</v>
      </c>
      <c r="M50" s="9">
        <v>3000</v>
      </c>
      <c r="U50" s="9">
        <v>2000</v>
      </c>
    </row>
    <row r="51" s="3" customFormat="1" spans="1:30">
      <c r="A51" s="3">
        <v>49</v>
      </c>
      <c r="B51" s="3" t="s">
        <v>64</v>
      </c>
      <c r="C51" s="3" t="s">
        <v>53</v>
      </c>
      <c r="D51" s="4" t="s">
        <v>65</v>
      </c>
      <c r="E51" s="8">
        <f t="shared" si="3"/>
        <v>19000</v>
      </c>
      <c r="I51" s="9">
        <v>4000</v>
      </c>
      <c r="M51" s="9">
        <v>3000</v>
      </c>
      <c r="Q51" s="3">
        <v>3000</v>
      </c>
      <c r="U51" s="9">
        <v>3000</v>
      </c>
      <c r="W51" s="9">
        <v>2000</v>
      </c>
      <c r="X51" s="3">
        <v>1000</v>
      </c>
      <c r="AD51" s="9">
        <v>3000</v>
      </c>
    </row>
    <row r="52" s="3" customFormat="1" spans="1:28">
      <c r="A52" s="3">
        <v>50</v>
      </c>
      <c r="C52" s="3" t="s">
        <v>53</v>
      </c>
      <c r="D52" s="4" t="s">
        <v>66</v>
      </c>
      <c r="E52" s="8">
        <f>SUM(F52:AJ52)</f>
        <v>2000</v>
      </c>
      <c r="AB52" s="3">
        <v>2000</v>
      </c>
    </row>
    <row r="53" s="3" customFormat="1" spans="1:24">
      <c r="A53" s="3">
        <v>51</v>
      </c>
      <c r="C53" s="3" t="s">
        <v>67</v>
      </c>
      <c r="D53" s="4" t="s">
        <v>68</v>
      </c>
      <c r="E53" s="8">
        <f>SUM(F53:AJ53)</f>
        <v>7000</v>
      </c>
      <c r="Q53" s="3">
        <v>1000</v>
      </c>
      <c r="T53" s="3">
        <v>4000</v>
      </c>
      <c r="X53" s="3">
        <v>2000</v>
      </c>
    </row>
    <row r="54" s="3" customFormat="1" spans="1:29">
      <c r="A54" s="3">
        <v>52</v>
      </c>
      <c r="C54" s="3" t="s">
        <v>67</v>
      </c>
      <c r="D54" s="4" t="s">
        <v>69</v>
      </c>
      <c r="E54" s="8">
        <f>SUM(F54:AJ54)</f>
        <v>28000</v>
      </c>
      <c r="N54" s="3">
        <v>8000</v>
      </c>
      <c r="T54" s="3">
        <v>5000</v>
      </c>
      <c r="V54" s="3">
        <v>5000</v>
      </c>
      <c r="Z54" s="3">
        <v>4000</v>
      </c>
      <c r="AB54" s="3">
        <v>1000</v>
      </c>
      <c r="AC54" s="3">
        <v>5000</v>
      </c>
    </row>
    <row r="55" s="3" customFormat="1" spans="1:26">
      <c r="A55" s="3">
        <v>53</v>
      </c>
      <c r="C55" s="3" t="s">
        <v>67</v>
      </c>
      <c r="D55" s="4" t="s">
        <v>70</v>
      </c>
      <c r="E55" s="8">
        <f>SUM(F55:AJ55)</f>
        <v>5500</v>
      </c>
      <c r="L55" s="3">
        <v>1500</v>
      </c>
      <c r="Q55" s="3">
        <v>500</v>
      </c>
      <c r="T55" s="3">
        <v>1500</v>
      </c>
      <c r="Z55" s="9">
        <v>2000</v>
      </c>
    </row>
    <row r="56" s="3" customFormat="1" spans="1:28">
      <c r="A56" s="3">
        <v>54</v>
      </c>
      <c r="B56" s="3" t="s">
        <v>71</v>
      </c>
      <c r="C56" s="3" t="s">
        <v>72</v>
      </c>
      <c r="D56" s="4" t="s">
        <v>73</v>
      </c>
      <c r="E56" s="8">
        <f>SUM(F56:AJ56)</f>
        <v>9000</v>
      </c>
      <c r="O56" s="9">
        <v>4000</v>
      </c>
      <c r="AB56" s="9">
        <v>5000</v>
      </c>
    </row>
    <row r="57" s="3" customFormat="1" spans="1:29">
      <c r="A57" s="3">
        <v>55</v>
      </c>
      <c r="B57" s="3" t="s">
        <v>74</v>
      </c>
      <c r="C57" s="3" t="s">
        <v>75</v>
      </c>
      <c r="D57" s="4" t="s">
        <v>76</v>
      </c>
      <c r="E57" s="8">
        <f>SUM(F57:AJ57)</f>
        <v>10000</v>
      </c>
      <c r="J57" s="3">
        <v>1000</v>
      </c>
      <c r="Q57" s="9">
        <v>2000</v>
      </c>
      <c r="S57" s="9">
        <v>1000</v>
      </c>
      <c r="V57" s="9">
        <v>2000</v>
      </c>
      <c r="AC57" s="9">
        <v>4000</v>
      </c>
    </row>
    <row r="58" s="3" customFormat="1" spans="1:29">
      <c r="A58" s="3">
        <v>56</v>
      </c>
      <c r="C58" s="3" t="s">
        <v>77</v>
      </c>
      <c r="D58" s="4" t="s">
        <v>78</v>
      </c>
      <c r="E58" s="8">
        <f>SUM(F58:AJ58)</f>
        <v>4000</v>
      </c>
      <c r="V58" s="3">
        <v>2000</v>
      </c>
      <c r="AC58" s="3">
        <v>2000</v>
      </c>
    </row>
    <row r="59" s="3" customFormat="1" spans="1:27">
      <c r="A59" s="3">
        <v>57</v>
      </c>
      <c r="C59" s="3" t="s">
        <v>79</v>
      </c>
      <c r="D59" s="4" t="s">
        <v>80</v>
      </c>
      <c r="E59" s="8">
        <f>SUM(F59:AJ59)</f>
        <v>9000</v>
      </c>
      <c r="P59" s="3">
        <v>5000</v>
      </c>
      <c r="V59" s="3">
        <v>2000</v>
      </c>
      <c r="AA59" s="3">
        <v>2000</v>
      </c>
    </row>
    <row r="60" s="3" customFormat="1" spans="1:30">
      <c r="A60" s="3">
        <v>58</v>
      </c>
      <c r="C60" s="3" t="s">
        <v>79</v>
      </c>
      <c r="D60" s="4" t="s">
        <v>81</v>
      </c>
      <c r="E60" s="8">
        <f>SUM(F60:AJ60)</f>
        <v>9000</v>
      </c>
      <c r="J60" s="3">
        <v>3000</v>
      </c>
      <c r="O60" s="3">
        <v>2000</v>
      </c>
      <c r="V60" s="3">
        <v>2000</v>
      </c>
      <c r="AD60" s="3">
        <v>2000</v>
      </c>
    </row>
    <row r="61" s="3" customFormat="1" spans="1:25">
      <c r="A61" s="3">
        <v>59</v>
      </c>
      <c r="C61" s="3" t="s">
        <v>79</v>
      </c>
      <c r="D61" s="4" t="s">
        <v>82</v>
      </c>
      <c r="E61" s="8">
        <f>SUM(F61:AJ61)</f>
        <v>5000</v>
      </c>
      <c r="J61" s="3">
        <v>1000</v>
      </c>
      <c r="V61" s="3">
        <v>2000</v>
      </c>
      <c r="Y61" s="3">
        <v>2000</v>
      </c>
    </row>
    <row r="62" s="3" customFormat="1" spans="1:30">
      <c r="A62" s="3">
        <v>60</v>
      </c>
      <c r="C62" s="3" t="s">
        <v>79</v>
      </c>
      <c r="D62" s="4" t="s">
        <v>83</v>
      </c>
      <c r="E62" s="8">
        <f>SUM(F62:AJ62)</f>
        <v>4000</v>
      </c>
      <c r="J62" s="3">
        <v>2000</v>
      </c>
      <c r="X62" s="3">
        <v>1000</v>
      </c>
      <c r="AD62" s="3">
        <v>1000</v>
      </c>
    </row>
    <row r="63" s="3" customFormat="1" spans="1:26">
      <c r="A63" s="3">
        <v>61</v>
      </c>
      <c r="C63" s="3" t="s">
        <v>79</v>
      </c>
      <c r="D63" s="4" t="s">
        <v>84</v>
      </c>
      <c r="E63" s="8">
        <f>SUM(F63:AJ63)</f>
        <v>42000</v>
      </c>
      <c r="J63" s="3">
        <v>2000</v>
      </c>
      <c r="K63" s="3">
        <v>15000</v>
      </c>
      <c r="O63" s="3">
        <v>5000</v>
      </c>
      <c r="S63" s="3">
        <v>5000</v>
      </c>
      <c r="V63" s="3">
        <v>5000</v>
      </c>
      <c r="Y63" s="3">
        <v>5000</v>
      </c>
      <c r="Z63" s="3">
        <v>5000</v>
      </c>
    </row>
    <row r="64" s="3" customFormat="1" spans="1:27">
      <c r="A64" s="3">
        <v>62</v>
      </c>
      <c r="C64" s="3" t="s">
        <v>79</v>
      </c>
      <c r="D64" s="4" t="s">
        <v>85</v>
      </c>
      <c r="E64" s="8">
        <f>SUM(F64:AJ64)</f>
        <v>18000</v>
      </c>
      <c r="K64" s="9">
        <v>4000</v>
      </c>
      <c r="L64" s="3">
        <v>2000</v>
      </c>
      <c r="O64" s="3">
        <v>3000</v>
      </c>
      <c r="S64" s="3">
        <v>3000</v>
      </c>
      <c r="W64" s="3">
        <v>3000</v>
      </c>
      <c r="AA64" s="3">
        <v>3000</v>
      </c>
    </row>
    <row r="65" s="3" customFormat="1" spans="1:30">
      <c r="A65" s="3">
        <v>63</v>
      </c>
      <c r="C65" s="3" t="s">
        <v>79</v>
      </c>
      <c r="D65" s="4" t="s">
        <v>86</v>
      </c>
      <c r="E65" s="8">
        <f>SUM(F65:AJ65)</f>
        <v>3000</v>
      </c>
      <c r="X65" s="3">
        <v>1500</v>
      </c>
      <c r="Z65" s="3">
        <v>500</v>
      </c>
      <c r="AD65" s="3">
        <v>1000</v>
      </c>
    </row>
    <row r="66" s="3" customFormat="1" spans="1:30">
      <c r="A66" s="3">
        <v>64</v>
      </c>
      <c r="C66" s="3" t="s">
        <v>87</v>
      </c>
      <c r="D66" s="4" t="s">
        <v>88</v>
      </c>
      <c r="E66" s="8">
        <f>SUM(F66:AJ66)</f>
        <v>15000</v>
      </c>
      <c r="I66" s="9">
        <v>1000</v>
      </c>
      <c r="L66" s="9">
        <v>2000</v>
      </c>
      <c r="S66" s="3">
        <v>2000</v>
      </c>
      <c r="U66" s="3">
        <v>2500</v>
      </c>
      <c r="V66" s="3">
        <v>1000</v>
      </c>
      <c r="W66" s="3">
        <v>1800</v>
      </c>
      <c r="X66" s="3">
        <v>600</v>
      </c>
      <c r="AA66" s="3">
        <v>1900</v>
      </c>
      <c r="AD66" s="9">
        <v>2200</v>
      </c>
    </row>
    <row r="67" s="3" customFormat="1" spans="1:30">
      <c r="A67" s="3">
        <v>65</v>
      </c>
      <c r="C67" s="3" t="s">
        <v>87</v>
      </c>
      <c r="D67" s="4" t="s">
        <v>89</v>
      </c>
      <c r="E67" s="8">
        <f>SUM(F67:AJ67)</f>
        <v>24000</v>
      </c>
      <c r="J67" s="9">
        <v>3000</v>
      </c>
      <c r="L67" s="9">
        <v>3000</v>
      </c>
      <c r="O67" s="3">
        <v>3000</v>
      </c>
      <c r="S67" s="3">
        <v>3000</v>
      </c>
      <c r="T67" s="3">
        <v>3000</v>
      </c>
      <c r="X67" s="3">
        <v>3000</v>
      </c>
      <c r="Z67" s="3">
        <v>3000</v>
      </c>
      <c r="AD67" s="3">
        <v>3000</v>
      </c>
    </row>
    <row r="68" s="3" customFormat="1" spans="1:30">
      <c r="A68" s="3">
        <v>66</v>
      </c>
      <c r="C68" s="3" t="s">
        <v>87</v>
      </c>
      <c r="D68" s="4" t="s">
        <v>90</v>
      </c>
      <c r="E68" s="8">
        <f t="shared" ref="E68:E84" si="4">SUM(F68:AJ68)</f>
        <v>17000</v>
      </c>
      <c r="I68" s="3">
        <v>2000</v>
      </c>
      <c r="K68" s="3">
        <v>1000</v>
      </c>
      <c r="N68" s="3">
        <v>2000</v>
      </c>
      <c r="Q68" s="3">
        <v>1000</v>
      </c>
      <c r="S68" s="9">
        <v>3000</v>
      </c>
      <c r="U68" s="3">
        <v>2000</v>
      </c>
      <c r="X68" s="9">
        <v>4000</v>
      </c>
      <c r="AD68" s="9">
        <v>2000</v>
      </c>
    </row>
    <row r="69" s="3" customFormat="1" spans="1:5">
      <c r="A69" s="3">
        <v>67</v>
      </c>
      <c r="D69" s="4" t="s">
        <v>91</v>
      </c>
      <c r="E69" s="8">
        <f t="shared" si="4"/>
        <v>0</v>
      </c>
    </row>
    <row r="70" s="3" customFormat="1" spans="1:23">
      <c r="A70" s="3">
        <v>68</v>
      </c>
      <c r="D70" s="4" t="s">
        <v>92</v>
      </c>
      <c r="E70" s="8">
        <f t="shared" si="4"/>
        <v>4000</v>
      </c>
      <c r="W70" s="3">
        <v>4000</v>
      </c>
    </row>
    <row r="71" s="3" customFormat="1" spans="1:27">
      <c r="A71" s="3">
        <v>69</v>
      </c>
      <c r="B71" s="3" t="s">
        <v>93</v>
      </c>
      <c r="C71" s="3" t="s">
        <v>94</v>
      </c>
      <c r="D71" s="4" t="s">
        <v>95</v>
      </c>
      <c r="E71" s="8">
        <f t="shared" si="4"/>
        <v>4000</v>
      </c>
      <c r="P71" s="9">
        <v>2000</v>
      </c>
      <c r="AA71" s="9">
        <v>2000</v>
      </c>
    </row>
    <row r="72" s="3" customFormat="1" spans="1:5">
      <c r="A72" s="3">
        <v>70</v>
      </c>
      <c r="D72" s="4" t="s">
        <v>96</v>
      </c>
      <c r="E72" s="8">
        <f t="shared" si="4"/>
        <v>0</v>
      </c>
    </row>
    <row r="73" s="3" customFormat="1" spans="1:5">
      <c r="A73" s="3">
        <v>71</v>
      </c>
      <c r="D73" s="4" t="s">
        <v>97</v>
      </c>
      <c r="E73" s="8">
        <f t="shared" si="4"/>
        <v>0</v>
      </c>
    </row>
    <row r="74" s="3" customFormat="1" spans="1:5">
      <c r="A74" s="3">
        <v>72</v>
      </c>
      <c r="D74" s="4" t="s">
        <v>98</v>
      </c>
      <c r="E74" s="8">
        <f t="shared" si="4"/>
        <v>0</v>
      </c>
    </row>
    <row r="75" s="3" customFormat="1" spans="1:5">
      <c r="A75" s="3">
        <v>73</v>
      </c>
      <c r="D75" s="4" t="s">
        <v>99</v>
      </c>
      <c r="E75" s="8">
        <f t="shared" si="4"/>
        <v>0</v>
      </c>
    </row>
    <row r="76" s="3" customFormat="1" spans="1:30">
      <c r="A76" s="3">
        <v>74</v>
      </c>
      <c r="B76" s="3" t="s">
        <v>25</v>
      </c>
      <c r="D76" s="4" t="s">
        <v>100</v>
      </c>
      <c r="E76" s="8">
        <f t="shared" si="4"/>
        <v>3000</v>
      </c>
      <c r="AD76" s="9">
        <v>3000</v>
      </c>
    </row>
    <row r="77" s="3" customFormat="1" spans="1:5">
      <c r="A77" s="3">
        <v>75</v>
      </c>
      <c r="D77" s="4" t="s">
        <v>101</v>
      </c>
      <c r="E77" s="8">
        <f t="shared" si="4"/>
        <v>0</v>
      </c>
    </row>
    <row r="78" s="3" customFormat="1" spans="1:5">
      <c r="A78" s="3">
        <v>76</v>
      </c>
      <c r="D78" s="4" t="s">
        <v>102</v>
      </c>
      <c r="E78" s="8">
        <f t="shared" si="4"/>
        <v>0</v>
      </c>
    </row>
    <row r="79" s="3" customFormat="1" spans="1:5">
      <c r="A79" s="3">
        <v>77</v>
      </c>
      <c r="D79" s="4" t="s">
        <v>103</v>
      </c>
      <c r="E79" s="8">
        <f t="shared" si="4"/>
        <v>0</v>
      </c>
    </row>
    <row r="80" s="3" customFormat="1" spans="1:5">
      <c r="A80" s="3">
        <v>78</v>
      </c>
      <c r="D80" s="4" t="s">
        <v>104</v>
      </c>
      <c r="E80" s="8">
        <f t="shared" si="4"/>
        <v>0</v>
      </c>
    </row>
    <row r="81" s="3" customFormat="1" spans="1:30">
      <c r="A81" s="3">
        <v>79</v>
      </c>
      <c r="C81" s="3" t="s">
        <v>105</v>
      </c>
      <c r="D81" s="4" t="s">
        <v>106</v>
      </c>
      <c r="E81" s="8">
        <f t="shared" si="4"/>
        <v>8000</v>
      </c>
      <c r="AA81" s="9">
        <v>2000</v>
      </c>
      <c r="AB81" s="9">
        <v>3000</v>
      </c>
      <c r="AD81" s="9">
        <v>3000</v>
      </c>
    </row>
    <row r="82" s="3" customFormat="1" spans="1:5">
      <c r="A82" s="3">
        <v>80</v>
      </c>
      <c r="D82" s="4" t="s">
        <v>107</v>
      </c>
      <c r="E82" s="8">
        <f t="shared" si="4"/>
        <v>0</v>
      </c>
    </row>
    <row r="83" s="3" customFormat="1" spans="1:5">
      <c r="A83" s="3">
        <v>81</v>
      </c>
      <c r="D83" s="4" t="s">
        <v>108</v>
      </c>
      <c r="E83" s="8">
        <f t="shared" si="4"/>
        <v>0</v>
      </c>
    </row>
    <row r="84" s="3" customFormat="1" spans="1:27">
      <c r="A84" s="3">
        <v>82</v>
      </c>
      <c r="B84" s="3" t="s">
        <v>109</v>
      </c>
      <c r="C84" s="3" t="s">
        <v>105</v>
      </c>
      <c r="D84" s="4" t="s">
        <v>110</v>
      </c>
      <c r="E84" s="8">
        <f t="shared" si="4"/>
        <v>2000</v>
      </c>
      <c r="AA84" s="9">
        <v>2000</v>
      </c>
    </row>
    <row r="85" s="3" customFormat="1" spans="1:5">
      <c r="A85" s="3">
        <v>83</v>
      </c>
      <c r="D85" s="4" t="s">
        <v>111</v>
      </c>
      <c r="E85" s="8">
        <f>SUM(F85:AJ85)</f>
        <v>0</v>
      </c>
    </row>
    <row r="86" s="3" customFormat="1" spans="1:5">
      <c r="A86" s="3">
        <v>84</v>
      </c>
      <c r="D86" s="4" t="s">
        <v>112</v>
      </c>
      <c r="E86" s="8">
        <f>SUM(F86:AJ86)</f>
        <v>0</v>
      </c>
    </row>
    <row r="87" s="3" customFormat="1" spans="1:5">
      <c r="A87" s="3">
        <v>85</v>
      </c>
      <c r="D87" s="4" t="s">
        <v>113</v>
      </c>
      <c r="E87" s="8">
        <f>SUM(F87:AJ87)</f>
        <v>0</v>
      </c>
    </row>
    <row r="88" s="3" customFormat="1" spans="1:5">
      <c r="A88" s="3">
        <v>86</v>
      </c>
      <c r="D88" s="4" t="s">
        <v>114</v>
      </c>
      <c r="E88" s="8">
        <f>SUM(F88:AJ88)</f>
        <v>0</v>
      </c>
    </row>
    <row r="89" s="3" customFormat="1" spans="1:5">
      <c r="A89" s="3">
        <v>87</v>
      </c>
      <c r="D89" s="4" t="s">
        <v>115</v>
      </c>
      <c r="E89" s="8">
        <f>SUM(F89:AJ89)</f>
        <v>0</v>
      </c>
    </row>
    <row r="90" s="3" customFormat="1" spans="1:5">
      <c r="A90" s="3">
        <v>88</v>
      </c>
      <c r="D90" s="4" t="s">
        <v>116</v>
      </c>
      <c r="E90" s="8">
        <f>SUM(F90:AJ90)</f>
        <v>0</v>
      </c>
    </row>
    <row r="91" s="3" customFormat="1" spans="1:5">
      <c r="A91" s="3">
        <v>89</v>
      </c>
      <c r="D91" s="4" t="s">
        <v>117</v>
      </c>
      <c r="E91" s="8">
        <f>SUM(F91:AJ91)</f>
        <v>0</v>
      </c>
    </row>
    <row r="92" s="3" customFormat="1" spans="1:5">
      <c r="A92" s="3">
        <v>90</v>
      </c>
      <c r="D92" s="4" t="s">
        <v>118</v>
      </c>
      <c r="E92" s="8">
        <f>SUM(F92:AJ92)</f>
        <v>0</v>
      </c>
    </row>
    <row r="93" spans="1:5">
      <c r="A93" s="3">
        <v>91</v>
      </c>
      <c r="D93" s="3" t="s">
        <v>119</v>
      </c>
      <c r="E93" s="8">
        <f>SUM(F93:AJ93)</f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2020-12-26T01:39:38Z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