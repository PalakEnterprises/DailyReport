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T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I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 mobile sold to FOS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 Mobile sold to FOS</t>
        </r>
      </text>
    </comment>
    <comment ref="T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 mobile sold to FOS</t>
        </r>
      </text>
    </comment>
    <comment ref="U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customer for Rs 1650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<sst xmlns="http://schemas.openxmlformats.org/spreadsheetml/2006/main" count="651" uniqueCount="177">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</sst>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27" borderId="3" applyNumberFormat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8" fillId="15" borderId="8" applyNumberFormat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15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R78" activePane="bottomRight" state="frozen"/>
      <selection/>
      <selection pane="topRight"/>
      <selection pane="bottomLeft"/>
      <selection pane="bottomRight" activeCell="V80" sqref="V80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1" customWidth="1"/>
    <col min="10" max="16384" width="9.14285714285714" style="11"/>
  </cols>
  <sheetData>
    <row r="1" s="10" customFormat="1" spans="1:4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7">
        <v>44287</v>
      </c>
      <c r="K1" s="27">
        <v>44288</v>
      </c>
      <c r="L1" s="27">
        <v>44289</v>
      </c>
      <c r="M1" s="27">
        <v>44290</v>
      </c>
      <c r="N1" s="27">
        <v>44291</v>
      </c>
      <c r="O1" s="27">
        <v>44292</v>
      </c>
      <c r="P1" s="27">
        <v>44293</v>
      </c>
      <c r="Q1" s="27">
        <v>44294</v>
      </c>
      <c r="R1" s="27">
        <v>44295</v>
      </c>
      <c r="S1" s="27">
        <v>44296</v>
      </c>
      <c r="T1" s="27">
        <v>44297</v>
      </c>
      <c r="U1" s="27">
        <v>44298</v>
      </c>
      <c r="V1" s="27">
        <v>44299</v>
      </c>
      <c r="W1" s="27">
        <v>44300</v>
      </c>
      <c r="X1" s="27">
        <v>44301</v>
      </c>
      <c r="Y1" s="27">
        <v>44302</v>
      </c>
      <c r="Z1" s="27">
        <v>44303</v>
      </c>
      <c r="AA1" s="27">
        <v>44304</v>
      </c>
      <c r="AB1" s="27">
        <v>44305</v>
      </c>
      <c r="AC1" s="27">
        <v>44306</v>
      </c>
      <c r="AD1" s="27">
        <v>44307</v>
      </c>
      <c r="AE1" s="27">
        <v>44308</v>
      </c>
      <c r="AF1" s="27">
        <v>44309</v>
      </c>
      <c r="AG1" s="27">
        <v>44310</v>
      </c>
      <c r="AH1" s="27">
        <v>44311</v>
      </c>
      <c r="AI1" s="27">
        <v>44312</v>
      </c>
      <c r="AJ1" s="27">
        <v>44313</v>
      </c>
      <c r="AK1" s="27">
        <v>44314</v>
      </c>
      <c r="AL1" s="27">
        <v>44315</v>
      </c>
      <c r="AM1" s="27">
        <v>44316</v>
      </c>
      <c r="AN1" s="1"/>
      <c r="AO1" s="1"/>
      <c r="AP1" s="1"/>
      <c r="AQ1" s="1"/>
      <c r="AR1" s="1"/>
      <c r="AS1" s="30"/>
      <c r="AT1" s="30"/>
    </row>
    <row r="2" s="10" customFormat="1" spans="1:39">
      <c r="A2" s="13"/>
      <c r="B2" s="23">
        <f>SUM(F3:F121)</f>
        <v>92500</v>
      </c>
      <c r="D2" s="14">
        <f>SUM(H3:H121)</f>
        <v>82500</v>
      </c>
      <c r="E2" s="15" t="s">
        <v>9</v>
      </c>
      <c r="F2" s="24">
        <f>H2+I2</f>
        <v>92500</v>
      </c>
      <c r="G2" s="24">
        <f>H2/1500</f>
        <v>55</v>
      </c>
      <c r="H2" s="14">
        <f>SUM(J2:AN2)</f>
        <v>82500</v>
      </c>
      <c r="I2" s="28">
        <f>SUM(I3:I121)</f>
        <v>10000</v>
      </c>
      <c r="J2" s="10">
        <f>SUM(J3:J121)</f>
        <v>10500</v>
      </c>
      <c r="K2" s="10">
        <f t="shared" ref="K2:AN2" si="0">SUM(K3:K121)</f>
        <v>3000</v>
      </c>
      <c r="L2" s="10">
        <f t="shared" si="0"/>
        <v>0</v>
      </c>
      <c r="M2" s="10">
        <f t="shared" si="0"/>
        <v>0</v>
      </c>
      <c r="N2" s="10">
        <f t="shared" si="0"/>
        <v>7500</v>
      </c>
      <c r="O2" s="10">
        <f t="shared" si="0"/>
        <v>4500</v>
      </c>
      <c r="P2" s="10">
        <f t="shared" si="0"/>
        <v>0</v>
      </c>
      <c r="Q2" s="10">
        <f t="shared" si="0"/>
        <v>6000</v>
      </c>
      <c r="R2" s="10">
        <f t="shared" si="0"/>
        <v>9000</v>
      </c>
      <c r="S2" s="10">
        <f t="shared" si="0"/>
        <v>0</v>
      </c>
      <c r="T2" s="10">
        <f t="shared" si="0"/>
        <v>0</v>
      </c>
      <c r="U2" s="10">
        <f t="shared" si="0"/>
        <v>37500</v>
      </c>
      <c r="V2" s="10">
        <f t="shared" si="0"/>
        <v>4500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40">
      <c r="A3" s="11">
        <v>1</v>
      </c>
      <c r="D3" s="11" t="s">
        <v>10</v>
      </c>
      <c r="E3" s="17" t="s">
        <v>11</v>
      </c>
      <c r="F3" s="10">
        <f t="shared" ref="F3:F34" si="1">H3+I3</f>
        <v>0</v>
      </c>
      <c r="G3" s="10">
        <f t="shared" ref="G3:G34" si="2">H3/1500</f>
        <v>0</v>
      </c>
      <c r="H3" s="10">
        <f>SUM(J3:AN3)</f>
        <v>0</v>
      </c>
      <c r="I3" s="29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1" customFormat="1" spans="1:40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29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1" customFormat="1" spans="1:40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29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1" customFormat="1" spans="1:40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0</v>
      </c>
      <c r="G6" s="10">
        <f t="shared" si="2"/>
        <v>0</v>
      </c>
      <c r="H6" s="10">
        <f t="shared" si="3"/>
        <v>0</v>
      </c>
      <c r="I6" s="29"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1" customFormat="1" spans="1:40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29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1" customFormat="1" spans="1:40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0</v>
      </c>
      <c r="G8" s="10">
        <f t="shared" si="2"/>
        <v>0</v>
      </c>
      <c r="H8" s="10">
        <f t="shared" si="3"/>
        <v>0</v>
      </c>
      <c r="I8" s="29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1" customFormat="1" spans="1:40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29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1" customFormat="1" spans="1:40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9000</v>
      </c>
      <c r="G10" s="10">
        <f t="shared" si="2"/>
        <v>6</v>
      </c>
      <c r="H10" s="10">
        <f t="shared" si="3"/>
        <v>9000</v>
      </c>
      <c r="I10" s="29">
        <v>0</v>
      </c>
      <c r="J10" s="1"/>
      <c r="K10" s="1"/>
      <c r="L10" s="1"/>
      <c r="M10" s="1"/>
      <c r="N10" s="1"/>
      <c r="O10" s="1"/>
      <c r="P10" s="1"/>
      <c r="Q10" s="1"/>
      <c r="R10" s="1">
        <f>6*1500</f>
        <v>9000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1" customFormat="1" spans="1:40">
      <c r="A11" s="11">
        <v>9</v>
      </c>
      <c r="D11" s="11" t="s">
        <v>24</v>
      </c>
      <c r="E11" s="17" t="s">
        <v>25</v>
      </c>
      <c r="F11" s="10">
        <f t="shared" si="1"/>
        <v>0</v>
      </c>
      <c r="G11" s="10">
        <f t="shared" si="2"/>
        <v>0</v>
      </c>
      <c r="H11" s="10">
        <f t="shared" si="3"/>
        <v>0</v>
      </c>
      <c r="I11" s="29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1" customFormat="1" spans="1:40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29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1" customFormat="1" spans="1:40">
      <c r="A13" s="11">
        <v>11</v>
      </c>
      <c r="D13" s="11" t="s">
        <v>24</v>
      </c>
      <c r="E13" s="17" t="s">
        <v>27</v>
      </c>
      <c r="F13" s="10">
        <f t="shared" si="1"/>
        <v>0</v>
      </c>
      <c r="G13" s="10">
        <f t="shared" si="2"/>
        <v>0</v>
      </c>
      <c r="H13" s="10">
        <f t="shared" si="3"/>
        <v>0</v>
      </c>
      <c r="I13" s="29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1" customFormat="1" spans="1:40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29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1" customFormat="1" spans="1:40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29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1" customFormat="1" spans="1:40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29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1" customFormat="1" spans="1:40">
      <c r="A17" s="11">
        <v>15</v>
      </c>
      <c r="B17" s="11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29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1" customFormat="1" spans="1:40">
      <c r="A18" s="11">
        <v>16</v>
      </c>
      <c r="B18" s="25" t="s">
        <v>34</v>
      </c>
      <c r="C18" s="11">
        <v>683909556</v>
      </c>
      <c r="D18" s="11" t="s">
        <v>24</v>
      </c>
      <c r="E18" s="26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29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1" customFormat="1" spans="1:40">
      <c r="A19" s="11">
        <v>17</v>
      </c>
      <c r="D19" s="11" t="s">
        <v>24</v>
      </c>
      <c r="E19" s="17" t="s">
        <v>36</v>
      </c>
      <c r="F19" s="10">
        <f t="shared" si="1"/>
        <v>5000</v>
      </c>
      <c r="G19" s="10">
        <f t="shared" si="2"/>
        <v>0</v>
      </c>
      <c r="H19" s="10">
        <f t="shared" si="3"/>
        <v>0</v>
      </c>
      <c r="I19" s="29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1" customFormat="1" spans="1:40">
      <c r="A20" s="11">
        <v>18</v>
      </c>
      <c r="D20" s="11" t="s">
        <v>37</v>
      </c>
      <c r="E20" s="17" t="s">
        <v>38</v>
      </c>
      <c r="F20" s="10">
        <f t="shared" si="1"/>
        <v>0</v>
      </c>
      <c r="G20" s="10">
        <f t="shared" si="2"/>
        <v>0</v>
      </c>
      <c r="H20" s="10">
        <f t="shared" si="3"/>
        <v>0</v>
      </c>
      <c r="I20" s="29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1" customFormat="1" spans="1:40">
      <c r="A21" s="11">
        <v>19</v>
      </c>
      <c r="D21" s="11" t="s">
        <v>37</v>
      </c>
      <c r="E21" s="17" t="s">
        <v>39</v>
      </c>
      <c r="F21" s="10">
        <f t="shared" si="1"/>
        <v>3000</v>
      </c>
      <c r="G21" s="10">
        <f t="shared" si="2"/>
        <v>2</v>
      </c>
      <c r="H21" s="10">
        <f t="shared" si="3"/>
        <v>3000</v>
      </c>
      <c r="I21" s="29"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>
        <f>2*1500</f>
        <v>3000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1" customFormat="1" spans="1:40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29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1" customFormat="1" spans="1:40">
      <c r="A23" s="11">
        <v>21</v>
      </c>
      <c r="D23" s="11" t="s">
        <v>37</v>
      </c>
      <c r="E23" s="17" t="s">
        <v>41</v>
      </c>
      <c r="F23" s="10">
        <f t="shared" si="1"/>
        <v>0</v>
      </c>
      <c r="G23" s="10">
        <f t="shared" si="2"/>
        <v>0</v>
      </c>
      <c r="H23" s="10">
        <f t="shared" si="3"/>
        <v>0</v>
      </c>
      <c r="I23" s="29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1" customFormat="1" spans="1:40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29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1" customFormat="1" spans="1:40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29">
        <v>0</v>
      </c>
      <c r="J25" s="1"/>
      <c r="K25" s="1"/>
      <c r="L25" s="1"/>
      <c r="M25" s="1"/>
      <c r="N25" s="1"/>
      <c r="O25" s="1">
        <f>2*1500</f>
        <v>3000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1" customFormat="1" spans="1:40">
      <c r="A26" s="11">
        <v>24</v>
      </c>
      <c r="D26" s="11" t="s">
        <v>37</v>
      </c>
      <c r="E26" s="17" t="s">
        <v>44</v>
      </c>
      <c r="F26" s="10">
        <f t="shared" si="1"/>
        <v>0</v>
      </c>
      <c r="G26" s="10">
        <f t="shared" si="2"/>
        <v>0</v>
      </c>
      <c r="H26" s="10">
        <f t="shared" si="3"/>
        <v>0</v>
      </c>
      <c r="I26" s="29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1" customFormat="1" spans="1:40">
      <c r="A27" s="11">
        <v>25</v>
      </c>
      <c r="D27" s="11" t="s">
        <v>37</v>
      </c>
      <c r="E27" s="17" t="s">
        <v>45</v>
      </c>
      <c r="F27" s="10">
        <f t="shared" si="1"/>
        <v>3000</v>
      </c>
      <c r="G27" s="10">
        <f t="shared" si="2"/>
        <v>2</v>
      </c>
      <c r="H27" s="10">
        <f t="shared" si="3"/>
        <v>3000</v>
      </c>
      <c r="I27" s="29"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>
        <f>2*1500</f>
        <v>3000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1" customFormat="1" spans="1:40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29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1" customFormat="1" spans="1:40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29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1" customFormat="1" spans="1:40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29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1" customFormat="1" spans="1:40">
      <c r="A31" s="11">
        <v>29</v>
      </c>
      <c r="D31" s="11" t="s">
        <v>37</v>
      </c>
      <c r="E31" s="17" t="s">
        <v>49</v>
      </c>
      <c r="F31" s="10">
        <f t="shared" si="1"/>
        <v>0</v>
      </c>
      <c r="G31" s="10">
        <f t="shared" si="2"/>
        <v>0</v>
      </c>
      <c r="H31" s="10">
        <f t="shared" si="3"/>
        <v>0</v>
      </c>
      <c r="I31" s="29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1" customFormat="1" spans="1:40">
      <c r="A32" s="11">
        <v>30</v>
      </c>
      <c r="D32" s="11" t="s">
        <v>37</v>
      </c>
      <c r="E32" s="17" t="s">
        <v>50</v>
      </c>
      <c r="F32" s="10">
        <f t="shared" si="1"/>
        <v>0</v>
      </c>
      <c r="G32" s="10">
        <f t="shared" si="2"/>
        <v>0</v>
      </c>
      <c r="H32" s="10">
        <f t="shared" si="3"/>
        <v>0</v>
      </c>
      <c r="I32" s="29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1" customFormat="1" spans="1:40">
      <c r="A33" s="11">
        <v>31</v>
      </c>
      <c r="D33" s="11" t="s">
        <v>37</v>
      </c>
      <c r="E33" s="17" t="s">
        <v>51</v>
      </c>
      <c r="F33" s="10">
        <f t="shared" si="1"/>
        <v>0</v>
      </c>
      <c r="G33" s="10">
        <f t="shared" si="2"/>
        <v>0</v>
      </c>
      <c r="H33" s="10">
        <f t="shared" si="3"/>
        <v>0</v>
      </c>
      <c r="I33" s="29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1" customFormat="1" spans="1:40">
      <c r="A34" s="11">
        <v>32</v>
      </c>
      <c r="D34" s="11" t="s">
        <v>52</v>
      </c>
      <c r="E34" s="17" t="s">
        <v>53</v>
      </c>
      <c r="F34" s="10">
        <f t="shared" si="1"/>
        <v>1500</v>
      </c>
      <c r="G34" s="10">
        <f t="shared" si="2"/>
        <v>1</v>
      </c>
      <c r="H34" s="10">
        <f t="shared" si="3"/>
        <v>1500</v>
      </c>
      <c r="I34" s="29"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>
        <f>1*1500</f>
        <v>1500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1" customFormat="1" spans="1:40">
      <c r="A35" s="11">
        <v>33</v>
      </c>
      <c r="D35" s="11" t="s">
        <v>52</v>
      </c>
      <c r="E35" s="17" t="s">
        <v>54</v>
      </c>
      <c r="F35" s="10">
        <f t="shared" ref="F35:F66" si="4">H35+I35</f>
        <v>0</v>
      </c>
      <c r="G35" s="10">
        <f t="shared" ref="G35:G66" si="5">H35/1500</f>
        <v>0</v>
      </c>
      <c r="H35" s="10">
        <f t="shared" si="3"/>
        <v>0</v>
      </c>
      <c r="I35" s="29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1" customFormat="1" spans="1:40">
      <c r="A36" s="11">
        <v>34</v>
      </c>
      <c r="D36" s="11" t="s">
        <v>52</v>
      </c>
      <c r="E36" s="17" t="s">
        <v>55</v>
      </c>
      <c r="F36" s="10">
        <f t="shared" si="4"/>
        <v>7500</v>
      </c>
      <c r="G36" s="10">
        <f t="shared" si="5"/>
        <v>5</v>
      </c>
      <c r="H36" s="10">
        <f t="shared" ref="H36:H67" si="6">SUM(J36:AN36)</f>
        <v>7500</v>
      </c>
      <c r="I36" s="29"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>
        <f>5*1500</f>
        <v>7500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1" customFormat="1" spans="1:40">
      <c r="A37" s="11">
        <v>35</v>
      </c>
      <c r="D37" s="11" t="s">
        <v>52</v>
      </c>
      <c r="E37" s="17" t="s">
        <v>56</v>
      </c>
      <c r="F37" s="10">
        <f t="shared" si="4"/>
        <v>3000</v>
      </c>
      <c r="G37" s="10">
        <f t="shared" si="5"/>
        <v>2</v>
      </c>
      <c r="H37" s="10">
        <f t="shared" si="6"/>
        <v>3000</v>
      </c>
      <c r="I37" s="29">
        <v>0</v>
      </c>
      <c r="J37" s="1"/>
      <c r="K37" s="1">
        <f>2*1500</f>
        <v>3000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="11" customFormat="1" spans="1:40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29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1" customFormat="1" spans="1:40">
      <c r="A39" s="11">
        <v>37</v>
      </c>
      <c r="D39" s="11" t="s">
        <v>52</v>
      </c>
      <c r="E39" s="17" t="s">
        <v>58</v>
      </c>
      <c r="F39" s="10">
        <f t="shared" si="4"/>
        <v>4500</v>
      </c>
      <c r="G39" s="10">
        <f t="shared" si="5"/>
        <v>3</v>
      </c>
      <c r="H39" s="10">
        <f t="shared" si="6"/>
        <v>4500</v>
      </c>
      <c r="I39" s="29"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>
        <f>3*1500</f>
        <v>4500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1" customFormat="1" spans="1:40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29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1" customFormat="1" spans="1:40">
      <c r="A41" s="11">
        <v>39</v>
      </c>
      <c r="D41" s="11" t="s">
        <v>52</v>
      </c>
      <c r="E41" s="17" t="s">
        <v>60</v>
      </c>
      <c r="F41" s="10">
        <f t="shared" si="4"/>
        <v>3000</v>
      </c>
      <c r="G41" s="10">
        <f t="shared" si="5"/>
        <v>2</v>
      </c>
      <c r="H41" s="10">
        <f t="shared" si="6"/>
        <v>3000</v>
      </c>
      <c r="I41" s="29"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>
        <f>2*1500</f>
        <v>3000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1" customFormat="1" spans="1:40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29"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>
        <f>2*1500</f>
        <v>3000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1" customFormat="1" spans="1:40">
      <c r="A43" s="11">
        <v>41</v>
      </c>
      <c r="D43" s="11" t="s">
        <v>52</v>
      </c>
      <c r="E43" s="17" t="s">
        <v>62</v>
      </c>
      <c r="F43" s="10">
        <f t="shared" si="4"/>
        <v>6000</v>
      </c>
      <c r="G43" s="10">
        <f t="shared" si="5"/>
        <v>4</v>
      </c>
      <c r="H43" s="10">
        <f t="shared" si="6"/>
        <v>6000</v>
      </c>
      <c r="I43" s="29">
        <v>0</v>
      </c>
      <c r="J43" s="1"/>
      <c r="K43" s="1"/>
      <c r="L43" s="1"/>
      <c r="M43" s="1"/>
      <c r="N43" s="1"/>
      <c r="O43" s="1"/>
      <c r="P43" s="1"/>
      <c r="Q43" s="1">
        <f>1*1500</f>
        <v>1500</v>
      </c>
      <c r="R43" s="1"/>
      <c r="S43" s="1"/>
      <c r="T43" s="1"/>
      <c r="U43" s="1">
        <f>3*1500</f>
        <v>4500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1" customFormat="1" spans="1:40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29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1" customFormat="1" spans="1:40">
      <c r="A45" s="11">
        <v>43</v>
      </c>
      <c r="D45" s="11" t="s">
        <v>52</v>
      </c>
      <c r="E45" s="17" t="s">
        <v>64</v>
      </c>
      <c r="F45" s="10">
        <f t="shared" si="4"/>
        <v>7500</v>
      </c>
      <c r="G45" s="10">
        <f t="shared" si="5"/>
        <v>5</v>
      </c>
      <c r="H45" s="10">
        <f t="shared" si="6"/>
        <v>7500</v>
      </c>
      <c r="I45" s="29">
        <v>0</v>
      </c>
      <c r="J45" s="1">
        <f>1*1500</f>
        <v>1500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>
        <f>4*1500</f>
        <v>6000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1" customFormat="1" spans="1:40">
      <c r="A46" s="11">
        <v>44</v>
      </c>
      <c r="D46" s="11" t="s">
        <v>65</v>
      </c>
      <c r="E46" s="17" t="s">
        <v>66</v>
      </c>
      <c r="F46" s="10">
        <f t="shared" si="4"/>
        <v>0</v>
      </c>
      <c r="G46" s="10">
        <f t="shared" si="5"/>
        <v>0</v>
      </c>
      <c r="H46" s="10">
        <f t="shared" si="6"/>
        <v>0</v>
      </c>
      <c r="I46" s="29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1" customFormat="1" spans="1:40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29">
        <v>0</v>
      </c>
      <c r="J47" s="1"/>
      <c r="K47" s="1"/>
      <c r="L47" s="1"/>
      <c r="M47" s="1"/>
      <c r="N47" s="1">
        <f>2*1500</f>
        <v>3000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1" customFormat="1" spans="1:40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29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1" customFormat="1" spans="1:40">
      <c r="A49" s="11">
        <v>47</v>
      </c>
      <c r="D49" s="11" t="s">
        <v>65</v>
      </c>
      <c r="E49" s="17" t="s">
        <v>69</v>
      </c>
      <c r="F49" s="10">
        <f t="shared" si="4"/>
        <v>4500</v>
      </c>
      <c r="G49" s="10">
        <f t="shared" si="5"/>
        <v>3</v>
      </c>
      <c r="H49" s="10">
        <f t="shared" si="6"/>
        <v>4500</v>
      </c>
      <c r="I49" s="29">
        <v>0</v>
      </c>
      <c r="J49" s="1"/>
      <c r="K49" s="1"/>
      <c r="L49" s="1"/>
      <c r="M49" s="1"/>
      <c r="N49" s="1">
        <f>3*1500</f>
        <v>4500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="11" customFormat="1" spans="1:40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10">
        <f t="shared" si="5"/>
        <v>0</v>
      </c>
      <c r="H50" s="10">
        <f t="shared" si="6"/>
        <v>0</v>
      </c>
      <c r="I50" s="29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1" customFormat="1" spans="1:40">
      <c r="A51" s="11">
        <v>49</v>
      </c>
      <c r="D51" s="11" t="s">
        <v>65</v>
      </c>
      <c r="E51" s="17" t="s">
        <v>71</v>
      </c>
      <c r="F51" s="10">
        <f t="shared" si="4"/>
        <v>0</v>
      </c>
      <c r="G51" s="10">
        <f t="shared" si="5"/>
        <v>0</v>
      </c>
      <c r="H51" s="10">
        <f t="shared" si="6"/>
        <v>0</v>
      </c>
      <c r="I51" s="29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1" customFormat="1" spans="1:40">
      <c r="A52" s="11">
        <v>50</v>
      </c>
      <c r="D52" s="11" t="s">
        <v>65</v>
      </c>
      <c r="E52" s="17" t="s">
        <v>72</v>
      </c>
      <c r="F52" s="10">
        <f t="shared" si="4"/>
        <v>0</v>
      </c>
      <c r="G52" s="10">
        <f t="shared" si="5"/>
        <v>0</v>
      </c>
      <c r="H52" s="10">
        <f t="shared" si="6"/>
        <v>0</v>
      </c>
      <c r="I52" s="29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1" customFormat="1" spans="1:40">
      <c r="A53" s="11">
        <v>51</v>
      </c>
      <c r="D53" s="11" t="s">
        <v>65</v>
      </c>
      <c r="E53" s="17" t="s">
        <v>73</v>
      </c>
      <c r="F53" s="10">
        <f t="shared" si="4"/>
        <v>0</v>
      </c>
      <c r="G53" s="10">
        <f t="shared" si="5"/>
        <v>0</v>
      </c>
      <c r="H53" s="10">
        <f t="shared" si="6"/>
        <v>0</v>
      </c>
      <c r="I53" s="29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1" customFormat="1" spans="1:40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29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1" customFormat="1" spans="1:40">
      <c r="A55" s="11">
        <v>53</v>
      </c>
      <c r="B55" s="25"/>
      <c r="D55" s="11" t="s">
        <v>65</v>
      </c>
      <c r="E55" s="26" t="s">
        <v>75</v>
      </c>
      <c r="F55" s="10">
        <f t="shared" si="4"/>
        <v>0</v>
      </c>
      <c r="G55" s="10">
        <f t="shared" si="5"/>
        <v>0</v>
      </c>
      <c r="H55" s="10">
        <f t="shared" si="6"/>
        <v>0</v>
      </c>
      <c r="I55" s="29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1" customFormat="1" spans="1:40">
      <c r="A56" s="11">
        <v>54</v>
      </c>
      <c r="B56" s="25"/>
      <c r="D56" s="11" t="s">
        <v>65</v>
      </c>
      <c r="E56" s="26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29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1" customFormat="1" spans="1:40">
      <c r="A57" s="11">
        <v>55</v>
      </c>
      <c r="B57" s="25"/>
      <c r="D57" s="11" t="s">
        <v>65</v>
      </c>
      <c r="E57" s="26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29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1" customFormat="1" spans="1:40">
      <c r="A58" s="11">
        <v>56</v>
      </c>
      <c r="D58" s="11" t="s">
        <v>78</v>
      </c>
      <c r="E58" s="17" t="s">
        <v>79</v>
      </c>
      <c r="F58" s="10">
        <f t="shared" si="4"/>
        <v>2000</v>
      </c>
      <c r="G58" s="10">
        <f t="shared" si="5"/>
        <v>0</v>
      </c>
      <c r="H58" s="10">
        <f t="shared" si="6"/>
        <v>0</v>
      </c>
      <c r="I58" s="29">
        <v>2000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1" customFormat="1" spans="1:40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0</v>
      </c>
      <c r="H59" s="10">
        <f t="shared" si="6"/>
        <v>0</v>
      </c>
      <c r="I59" s="29">
        <v>3000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1" customFormat="1" spans="1:40">
      <c r="A60" s="11">
        <v>58</v>
      </c>
      <c r="D60" s="11" t="s">
        <v>78</v>
      </c>
      <c r="E60" s="17" t="s">
        <v>81</v>
      </c>
      <c r="F60" s="10">
        <f t="shared" si="4"/>
        <v>0</v>
      </c>
      <c r="G60" s="10">
        <f t="shared" si="5"/>
        <v>0</v>
      </c>
      <c r="H60" s="10">
        <f t="shared" si="6"/>
        <v>0</v>
      </c>
      <c r="I60" s="29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1" customFormat="1" spans="1:40">
      <c r="A61" s="11">
        <v>59</v>
      </c>
      <c r="D61" s="11" t="s">
        <v>78</v>
      </c>
      <c r="E61" s="17" t="s">
        <v>82</v>
      </c>
      <c r="F61" s="10">
        <f t="shared" si="4"/>
        <v>0</v>
      </c>
      <c r="G61" s="10">
        <f t="shared" si="5"/>
        <v>0</v>
      </c>
      <c r="H61" s="10">
        <f t="shared" si="6"/>
        <v>0</v>
      </c>
      <c r="I61" s="29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1" customFormat="1" spans="1:40">
      <c r="A62" s="11">
        <v>60</v>
      </c>
      <c r="B62" s="25"/>
      <c r="D62" s="11" t="s">
        <v>83</v>
      </c>
      <c r="E62" s="26" t="s">
        <v>84</v>
      </c>
      <c r="F62" s="10">
        <f t="shared" si="4"/>
        <v>3000</v>
      </c>
      <c r="G62" s="10">
        <f t="shared" si="5"/>
        <v>2</v>
      </c>
      <c r="H62" s="10">
        <f t="shared" si="6"/>
        <v>3000</v>
      </c>
      <c r="I62" s="29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>
        <f>2*1500</f>
        <v>3000</v>
      </c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="11" customFormat="1" spans="1:40">
      <c r="A63" s="11">
        <v>61</v>
      </c>
      <c r="B63" s="25"/>
      <c r="D63" s="11" t="s">
        <v>83</v>
      </c>
      <c r="E63" s="26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29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1" customFormat="1" spans="1:40">
      <c r="A64" s="11">
        <v>62</v>
      </c>
      <c r="C64" s="11" t="s">
        <v>86</v>
      </c>
      <c r="D64" s="11" t="s">
        <v>83</v>
      </c>
      <c r="E64" s="17" t="s">
        <v>87</v>
      </c>
      <c r="F64" s="10">
        <f t="shared" si="4"/>
        <v>0</v>
      </c>
      <c r="G64" s="10">
        <f t="shared" si="5"/>
        <v>0</v>
      </c>
      <c r="H64" s="10">
        <f t="shared" si="6"/>
        <v>0</v>
      </c>
      <c r="I64" s="29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1" customFormat="1" spans="1:40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1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1" customFormat="1" spans="1:40">
      <c r="A66" s="11">
        <v>64</v>
      </c>
      <c r="B66" s="25"/>
      <c r="D66" s="11" t="s">
        <v>88</v>
      </c>
      <c r="E66" s="26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29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1" customFormat="1" spans="1:40">
      <c r="A67" s="11">
        <v>65</v>
      </c>
      <c r="B67" s="25"/>
      <c r="D67" s="11" t="s">
        <v>91</v>
      </c>
      <c r="E67" s="26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29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1" customFormat="1" spans="1:40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29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1" customFormat="1" spans="1:40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29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1" customFormat="1" spans="1:40">
      <c r="A70" s="11">
        <v>68</v>
      </c>
      <c r="D70" s="11" t="s">
        <v>93</v>
      </c>
      <c r="E70" s="17" t="s">
        <v>96</v>
      </c>
      <c r="F70" s="10">
        <f t="shared" si="7"/>
        <v>0</v>
      </c>
      <c r="G70" s="10">
        <f t="shared" si="8"/>
        <v>0</v>
      </c>
      <c r="H70" s="10">
        <f t="shared" si="9"/>
        <v>0</v>
      </c>
      <c r="I70" s="29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1" customFormat="1" spans="1:40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29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1" customFormat="1" spans="1:40">
      <c r="A72" s="11">
        <v>70</v>
      </c>
      <c r="D72" s="11" t="s">
        <v>93</v>
      </c>
      <c r="E72" s="17" t="s">
        <v>98</v>
      </c>
      <c r="F72" s="10">
        <f t="shared" si="7"/>
        <v>4500</v>
      </c>
      <c r="G72" s="10">
        <f t="shared" si="8"/>
        <v>3</v>
      </c>
      <c r="H72" s="10">
        <f t="shared" si="9"/>
        <v>4500</v>
      </c>
      <c r="I72" s="29">
        <v>0</v>
      </c>
      <c r="J72" s="1">
        <f>3*1500</f>
        <v>4500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1" customFormat="1" spans="1:40">
      <c r="A73" s="11">
        <v>71</v>
      </c>
      <c r="D73" s="11" t="s">
        <v>93</v>
      </c>
      <c r="E73" s="17" t="s">
        <v>99</v>
      </c>
      <c r="F73" s="10">
        <f t="shared" si="7"/>
        <v>0</v>
      </c>
      <c r="G73" s="10">
        <f t="shared" si="8"/>
        <v>0</v>
      </c>
      <c r="H73" s="10">
        <f t="shared" si="9"/>
        <v>0</v>
      </c>
      <c r="I73" s="29">
        <v>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1" customFormat="1" spans="1:40">
      <c r="A74" s="11">
        <v>72</v>
      </c>
      <c r="B74" s="25"/>
      <c r="D74" s="11" t="s">
        <v>93</v>
      </c>
      <c r="E74" s="26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29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1" customFormat="1" spans="1:40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29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1" customFormat="1" spans="1:40">
      <c r="A76" s="11">
        <v>74</v>
      </c>
      <c r="B76" s="25"/>
      <c r="D76" s="11" t="s">
        <v>93</v>
      </c>
      <c r="E76" s="26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29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1" customFormat="1" spans="1:40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29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1" customFormat="1" spans="1:40">
      <c r="A78" s="11">
        <v>76</v>
      </c>
      <c r="D78" s="11" t="s">
        <v>103</v>
      </c>
      <c r="E78" s="17" t="s">
        <v>105</v>
      </c>
      <c r="F78" s="10">
        <f t="shared" si="7"/>
        <v>0</v>
      </c>
      <c r="G78" s="10">
        <f t="shared" si="8"/>
        <v>0</v>
      </c>
      <c r="H78" s="10">
        <f t="shared" si="9"/>
        <v>0</v>
      </c>
      <c r="I78" s="29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1" customFormat="1" spans="1:40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29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1" customFormat="1" spans="1:40">
      <c r="A80" s="11">
        <v>78</v>
      </c>
      <c r="B80" s="25"/>
      <c r="E80" s="26" t="s">
        <v>107</v>
      </c>
      <c r="F80" s="10">
        <f t="shared" si="7"/>
        <v>10500</v>
      </c>
      <c r="G80" s="10">
        <f t="shared" si="8"/>
        <v>7</v>
      </c>
      <c r="H80" s="10">
        <f t="shared" si="9"/>
        <v>10500</v>
      </c>
      <c r="I80" s="29">
        <v>0</v>
      </c>
      <c r="J80" s="1">
        <f>3*1500</f>
        <v>4500</v>
      </c>
      <c r="K80" s="1"/>
      <c r="L80" s="1"/>
      <c r="M80" s="1"/>
      <c r="N80" s="1"/>
      <c r="O80" s="1"/>
      <c r="P80" s="1"/>
      <c r="Q80" s="1">
        <f>2*1500</f>
        <v>3000</v>
      </c>
      <c r="R80" s="1"/>
      <c r="S80" s="1"/>
      <c r="T80" s="1"/>
      <c r="U80" s="1">
        <f>1*1500</f>
        <v>1500</v>
      </c>
      <c r="V80" s="1">
        <f>1*1500</f>
        <v>1500</v>
      </c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1" customFormat="1" spans="1:40">
      <c r="A81" s="11">
        <v>79</v>
      </c>
      <c r="B81" s="25"/>
      <c r="D81" s="11" t="s">
        <v>108</v>
      </c>
      <c r="E81" s="26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29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1" customFormat="1" spans="1:40">
      <c r="A82" s="11">
        <v>80</v>
      </c>
      <c r="B82" s="25"/>
      <c r="E82" s="26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29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1" customFormat="1" spans="1:40">
      <c r="A83" s="11">
        <v>81</v>
      </c>
      <c r="B83" s="25"/>
      <c r="D83" s="11" t="s">
        <v>111</v>
      </c>
      <c r="E83" s="26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29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1" customFormat="1" spans="1:40">
      <c r="A84" s="11">
        <v>82</v>
      </c>
      <c r="B84" s="25"/>
      <c r="E84" s="26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29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1" customFormat="1" spans="1:40">
      <c r="A85" s="11">
        <v>83</v>
      </c>
      <c r="B85" s="25"/>
      <c r="D85" s="11" t="s">
        <v>114</v>
      </c>
      <c r="E85" s="26" t="s">
        <v>115</v>
      </c>
      <c r="F85" s="10">
        <f t="shared" si="7"/>
        <v>1500</v>
      </c>
      <c r="G85" s="10">
        <f t="shared" si="8"/>
        <v>1</v>
      </c>
      <c r="H85" s="10">
        <f t="shared" si="9"/>
        <v>1500</v>
      </c>
      <c r="I85" s="29">
        <v>0</v>
      </c>
      <c r="J85" s="1"/>
      <c r="K85" s="1"/>
      <c r="L85" s="1"/>
      <c r="M85" s="1"/>
      <c r="N85" s="1"/>
      <c r="O85" s="1"/>
      <c r="P85" s="1"/>
      <c r="Q85" s="1">
        <f>1*1500</f>
        <v>1500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1" customFormat="1" spans="1:40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29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1" customFormat="1" spans="1:40">
      <c r="A87" s="11">
        <v>85</v>
      </c>
      <c r="B87" s="25"/>
      <c r="C87" s="11">
        <v>683879115</v>
      </c>
      <c r="D87" s="11" t="s">
        <v>114</v>
      </c>
      <c r="E87" s="26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29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1" customFormat="1" spans="1:40">
      <c r="A88" s="11">
        <v>86</v>
      </c>
      <c r="B88" s="25"/>
      <c r="D88" s="11" t="s">
        <v>118</v>
      </c>
      <c r="E88" s="26" t="s">
        <v>119</v>
      </c>
      <c r="F88" s="10">
        <f t="shared" si="7"/>
        <v>0</v>
      </c>
      <c r="G88" s="10">
        <f t="shared" si="8"/>
        <v>0</v>
      </c>
      <c r="H88" s="10">
        <f t="shared" si="9"/>
        <v>0</v>
      </c>
      <c r="I88" s="29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1" customFormat="1" spans="1:40">
      <c r="A89" s="11">
        <v>87</v>
      </c>
      <c r="B89" s="25"/>
      <c r="E89" s="26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29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1" customFormat="1" spans="1:40">
      <c r="A90" s="11">
        <v>88</v>
      </c>
      <c r="B90" s="25"/>
      <c r="E90" s="26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29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1" customFormat="1" spans="1:40">
      <c r="A91" s="11">
        <v>89</v>
      </c>
      <c r="B91" s="25"/>
      <c r="E91" s="26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29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1" customFormat="1" spans="1:40">
      <c r="A92" s="11">
        <v>90</v>
      </c>
      <c r="E92" s="17" t="s">
        <v>123</v>
      </c>
      <c r="F92" s="10">
        <f t="shared" si="7"/>
        <v>1500</v>
      </c>
      <c r="G92" s="10">
        <f t="shared" si="8"/>
        <v>1</v>
      </c>
      <c r="H92" s="10">
        <f t="shared" si="9"/>
        <v>1500</v>
      </c>
      <c r="I92" s="29">
        <v>0</v>
      </c>
      <c r="J92" s="1"/>
      <c r="K92" s="1"/>
      <c r="L92" s="1"/>
      <c r="M92" s="1"/>
      <c r="N92" s="1"/>
      <c r="O92" s="1">
        <f>1*1500</f>
        <v>1500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1" customFormat="1" spans="1:40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29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1" customFormat="1" spans="1:40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29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1" customFormat="1" spans="1:40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29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1" customFormat="1" spans="1:40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29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1" customFormat="1" spans="9:9">
      <c r="I97" s="21"/>
    </row>
    <row r="98" s="11" customFormat="1" spans="9:9">
      <c r="I98" s="21"/>
    </row>
    <row r="99" s="11" customFormat="1" spans="9:9">
      <c r="I99" s="21"/>
    </row>
    <row r="100" s="11" customFormat="1" spans="9:9">
      <c r="I100" s="21"/>
    </row>
    <row r="101" s="11" customFormat="1" spans="9:9">
      <c r="I101" s="21"/>
    </row>
    <row r="102" s="11" customFormat="1" spans="9:9">
      <c r="I102" s="21"/>
    </row>
    <row r="103" s="11" customFormat="1" spans="9:9">
      <c r="I103" s="21"/>
    </row>
    <row r="104" s="11" customFormat="1" spans="9:9">
      <c r="I104" s="21"/>
    </row>
    <row r="105" s="11" customFormat="1" spans="9:9">
      <c r="I105" s="21"/>
    </row>
    <row r="106" s="11" customFormat="1" spans="9:9">
      <c r="I106" s="21"/>
    </row>
    <row r="107" s="11" customFormat="1" spans="9:9">
      <c r="I107" s="21"/>
    </row>
    <row r="108" s="11" customFormat="1" spans="9:9">
      <c r="I108" s="21"/>
    </row>
    <row r="109" s="11" customFormat="1" spans="9:9">
      <c r="I109" s="21"/>
    </row>
    <row r="110" s="11" customFormat="1" spans="9:9">
      <c r="I110" s="21"/>
    </row>
    <row r="111" s="11" customFormat="1" spans="9:9">
      <c r="I111" s="21"/>
    </row>
    <row r="112" s="11" customFormat="1" spans="9:9">
      <c r="I112" s="21"/>
    </row>
    <row r="113" s="11" customFormat="1" spans="9:9">
      <c r="I113" s="21"/>
    </row>
    <row r="114" s="11" customFormat="1" spans="9:9">
      <c r="I114" s="2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P75" activePane="bottomRight" state="frozen"/>
      <selection/>
      <selection pane="topRight"/>
      <selection pane="bottomLeft"/>
      <selection pane="bottomRight" activeCell="T85" sqref="T85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44287</v>
      </c>
      <c r="J1" s="18">
        <v>44288</v>
      </c>
      <c r="K1" s="18">
        <v>44289</v>
      </c>
      <c r="L1" s="18">
        <v>44290</v>
      </c>
      <c r="M1" s="18">
        <v>44291</v>
      </c>
      <c r="N1" s="18">
        <v>44292</v>
      </c>
      <c r="O1" s="18">
        <v>44293</v>
      </c>
      <c r="P1" s="18">
        <v>44294</v>
      </c>
      <c r="Q1" s="18">
        <v>44295</v>
      </c>
      <c r="R1" s="18">
        <v>44296</v>
      </c>
      <c r="S1" s="18">
        <v>44297</v>
      </c>
      <c r="T1" s="18">
        <v>44298</v>
      </c>
      <c r="U1" s="18">
        <v>44299</v>
      </c>
      <c r="V1" s="18">
        <v>44300</v>
      </c>
      <c r="W1" s="18">
        <v>44301</v>
      </c>
      <c r="X1" s="18">
        <v>44302</v>
      </c>
      <c r="Y1" s="18">
        <v>44303</v>
      </c>
      <c r="Z1" s="18">
        <v>44304</v>
      </c>
      <c r="AA1" s="18">
        <v>44305</v>
      </c>
      <c r="AB1" s="18">
        <v>44306</v>
      </c>
      <c r="AC1" s="18">
        <v>44307</v>
      </c>
      <c r="AD1" s="18">
        <v>44308</v>
      </c>
      <c r="AE1" s="18">
        <v>44309</v>
      </c>
      <c r="AF1" s="18">
        <v>44310</v>
      </c>
      <c r="AG1" s="18">
        <v>44311</v>
      </c>
      <c r="AH1" s="18">
        <v>44312</v>
      </c>
      <c r="AI1" s="18">
        <v>44313</v>
      </c>
      <c r="AJ1" s="18">
        <v>44314</v>
      </c>
      <c r="AK1" s="18">
        <v>44315</v>
      </c>
      <c r="AL1" s="18">
        <v>44316</v>
      </c>
      <c r="AM1" s="18"/>
    </row>
    <row r="2" s="10" customFormat="1" spans="1:38">
      <c r="A2" s="13"/>
      <c r="B2" s="13"/>
      <c r="C2" s="13"/>
      <c r="D2" s="13"/>
      <c r="E2" s="13"/>
      <c r="F2" s="14">
        <f>SUM(H3:H121)</f>
        <v>52500</v>
      </c>
      <c r="G2" s="15" t="s">
        <v>9</v>
      </c>
      <c r="H2" s="16">
        <f>SUM(I2:AM2)</f>
        <v>52500</v>
      </c>
      <c r="I2" s="10">
        <f t="shared" ref="I2:AB2" si="0">SUM(I3:I121)</f>
        <v>10500</v>
      </c>
      <c r="J2" s="10">
        <f t="shared" si="0"/>
        <v>3000</v>
      </c>
      <c r="K2" s="10">
        <f t="shared" si="0"/>
        <v>0</v>
      </c>
      <c r="L2" s="10">
        <f t="shared" si="0"/>
        <v>0</v>
      </c>
      <c r="M2" s="10">
        <f t="shared" si="0"/>
        <v>7500</v>
      </c>
      <c r="N2" s="10">
        <f t="shared" si="0"/>
        <v>4500</v>
      </c>
      <c r="O2" s="10">
        <f t="shared" si="0"/>
        <v>0</v>
      </c>
      <c r="P2" s="10">
        <f t="shared" si="0"/>
        <v>6000</v>
      </c>
      <c r="Q2" s="10">
        <f t="shared" si="0"/>
        <v>9000</v>
      </c>
      <c r="R2" s="10">
        <f t="shared" si="0"/>
        <v>2000</v>
      </c>
      <c r="S2" s="10">
        <f t="shared" si="0"/>
        <v>0</v>
      </c>
      <c r="T2" s="10">
        <f t="shared" si="0"/>
        <v>5500</v>
      </c>
      <c r="U2" s="10">
        <f t="shared" si="0"/>
        <v>4500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9000</v>
      </c>
      <c r="I10" s="1"/>
      <c r="J10" s="1"/>
      <c r="K10" s="1"/>
      <c r="L10" s="1"/>
      <c r="M10" s="1"/>
      <c r="N10" s="1"/>
      <c r="O10" s="1"/>
      <c r="P10" s="1"/>
      <c r="Q10" s="1">
        <v>9000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I25" s="1"/>
      <c r="J25" s="1"/>
      <c r="K25" s="1"/>
      <c r="L25" s="1"/>
      <c r="M25" s="1"/>
      <c r="N25" s="1">
        <v>3000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4000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9">
        <v>4000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3000</v>
      </c>
      <c r="I37" s="1"/>
      <c r="J37" s="19">
        <v>3000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1500</v>
      </c>
      <c r="I43" s="1"/>
      <c r="J43" s="1"/>
      <c r="K43" s="1"/>
      <c r="L43" s="1"/>
      <c r="N43" s="1"/>
      <c r="O43" s="1"/>
      <c r="P43" s="1">
        <v>1500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1500</v>
      </c>
      <c r="I45" s="1">
        <v>1500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I47" s="1"/>
      <c r="J47" s="1"/>
      <c r="K47" s="1"/>
      <c r="L47" s="1"/>
      <c r="M47" s="19">
        <v>3000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4500</v>
      </c>
      <c r="I49" s="1"/>
      <c r="J49" s="1"/>
      <c r="K49" s="1"/>
      <c r="L49" s="1"/>
      <c r="M49" s="19">
        <v>4500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2000</v>
      </c>
      <c r="I58" s="1"/>
      <c r="J58" s="1"/>
      <c r="K58" s="1"/>
      <c r="L58" s="1"/>
      <c r="M58" s="1"/>
      <c r="N58" s="1"/>
      <c r="O58" s="1"/>
      <c r="P58" s="1"/>
      <c r="Q58" s="1"/>
      <c r="R58" s="1">
        <v>2000</v>
      </c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3000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>
        <v>3000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4500</v>
      </c>
      <c r="I72" s="1">
        <v>4500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7" t="s">
        <v>107</v>
      </c>
      <c r="H80" s="10">
        <f t="shared" si="4"/>
        <v>10500</v>
      </c>
      <c r="I80" s="1">
        <v>4500</v>
      </c>
      <c r="J80" s="1"/>
      <c r="K80" s="1"/>
      <c r="L80" s="1"/>
      <c r="M80" s="1"/>
      <c r="N80" s="1"/>
      <c r="O80" s="1"/>
      <c r="P80" s="1">
        <v>3000</v>
      </c>
      <c r="Q80" s="1"/>
      <c r="R80" s="1"/>
      <c r="S80" s="1"/>
      <c r="T80" s="1">
        <v>1500</v>
      </c>
      <c r="U80" s="1">
        <v>1500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7" t="s">
        <v>110</v>
      </c>
      <c r="H82" s="10">
        <f t="shared" si="4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7" t="s">
        <v>113</v>
      </c>
      <c r="H84" s="10">
        <f t="shared" si="4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1500</v>
      </c>
      <c r="I85" s="1"/>
      <c r="J85" s="1"/>
      <c r="K85" s="1"/>
      <c r="L85" s="1"/>
      <c r="N85" s="1"/>
      <c r="O85" s="1"/>
      <c r="P85" s="1">
        <v>1500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7" t="s">
        <v>120</v>
      </c>
      <c r="H89" s="10">
        <f t="shared" si="4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7" t="s">
        <v>122</v>
      </c>
      <c r="H91" s="10">
        <f t="shared" si="4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1500</v>
      </c>
      <c r="I92" s="1"/>
      <c r="J92" s="1"/>
      <c r="K92" s="1"/>
      <c r="L92" s="1"/>
      <c r="M92" s="1"/>
      <c r="N92" s="1">
        <v>1500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7" t="s">
        <v>124</v>
      </c>
      <c r="H93" s="10">
        <f t="shared" si="4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7" t="s">
        <v>127</v>
      </c>
      <c r="H95" s="10">
        <f t="shared" si="4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7" t="s">
        <v>128</v>
      </c>
      <c r="H96" s="10">
        <f t="shared" si="4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D96"/>
  <sheetViews>
    <sheetView tabSelected="1" workbookViewId="0">
      <selection activeCell="D59" sqref="A1:D59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40000</v>
      </c>
    </row>
    <row r="3" hidden="1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hidden="1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hidden="1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hidden="1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hidden="1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hidden="1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hidden="1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hidden="1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hidden="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hidden="1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hidden="1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hidden="1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hidden="1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hidden="1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hidden="1" spans="1:4">
      <c r="A17" s="7" t="s">
        <v>24</v>
      </c>
      <c r="B17" s="7"/>
      <c r="C17" s="8" t="s">
        <v>33</v>
      </c>
      <c r="D17" s="9">
        <f>Orders!F17-Collection!H17</f>
        <v>0</v>
      </c>
    </row>
    <row r="18" hidden="1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5000</v>
      </c>
    </row>
    <row r="20" hidden="1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3000</v>
      </c>
    </row>
    <row r="22" hidden="1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hidden="1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hidden="1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hidden="1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hidden="1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3000</v>
      </c>
    </row>
    <row r="28" hidden="1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hidden="1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hidden="1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hidden="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hidden="1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hidden="1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1500</v>
      </c>
    </row>
    <row r="35" hidden="1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3500</v>
      </c>
    </row>
    <row r="37" hidden="1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hidden="1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4500</v>
      </c>
    </row>
    <row r="40" hidden="1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3000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3000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4500</v>
      </c>
    </row>
    <row r="44" hidden="1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6000</v>
      </c>
    </row>
    <row r="46" hidden="1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hidden="1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hidden="1" spans="1:4">
      <c r="A48" s="7" t="s">
        <v>65</v>
      </c>
      <c r="B48" s="7"/>
      <c r="C48" s="8" t="s">
        <v>68</v>
      </c>
      <c r="D48" s="9">
        <f>Orders!F48-Collection!H48</f>
        <v>0</v>
      </c>
    </row>
    <row r="49" hidden="1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hidden="1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hidden="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hidden="1" spans="1:4">
      <c r="A52" s="7" t="s">
        <v>65</v>
      </c>
      <c r="B52" s="7"/>
      <c r="C52" s="8" t="s">
        <v>72</v>
      </c>
      <c r="D52" s="9">
        <f>Orders!F52-Collection!H52</f>
        <v>0</v>
      </c>
    </row>
    <row r="53" hidden="1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hidden="1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hidden="1" spans="1:4">
      <c r="A55" s="7" t="s">
        <v>65</v>
      </c>
      <c r="B55" s="7"/>
      <c r="C55" s="8" t="s">
        <v>75</v>
      </c>
      <c r="D55" s="9">
        <f>Orders!F55-Collection!H55</f>
        <v>0</v>
      </c>
    </row>
    <row r="56" hidden="1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hidden="1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hidden="1" spans="1:4">
      <c r="A58" s="7" t="s">
        <v>78</v>
      </c>
      <c r="B58" s="7">
        <v>7004211364</v>
      </c>
      <c r="C58" s="8" t="s">
        <v>79</v>
      </c>
      <c r="D58" s="9">
        <f>Orders!F58-Collection!H58</f>
        <v>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hidden="1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hidden="1" spans="1:4">
      <c r="A61" s="7" t="s">
        <v>78</v>
      </c>
      <c r="B61" s="7"/>
      <c r="C61" s="8" t="s">
        <v>82</v>
      </c>
      <c r="D61" s="9">
        <f>Orders!F61-Collection!H61</f>
        <v>0</v>
      </c>
    </row>
    <row r="62" hidden="1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hidden="1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hidden="1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hidden="1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hidden="1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hidden="1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hidden="1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hidden="1" spans="1:4">
      <c r="A69" s="7" t="s">
        <v>93</v>
      </c>
      <c r="B69" s="7"/>
      <c r="C69" s="8" t="s">
        <v>95</v>
      </c>
      <c r="D69" s="9">
        <f>Orders!F69-Collection!H69</f>
        <v>0</v>
      </c>
    </row>
    <row r="70" hidden="1" spans="1:4">
      <c r="A70" s="7" t="s">
        <v>93</v>
      </c>
      <c r="B70" s="7"/>
      <c r="C70" s="8" t="s">
        <v>96</v>
      </c>
      <c r="D70" s="9">
        <f>Orders!F70-Collection!H70</f>
        <v>0</v>
      </c>
    </row>
    <row r="71" hidden="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hidden="1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hidden="1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hidden="1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hidden="1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hidden="1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hidden="1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hidden="1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hidden="1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hidden="1" spans="1:4">
      <c r="A80" s="7"/>
      <c r="B80" s="7"/>
      <c r="C80" s="8" t="s">
        <v>107</v>
      </c>
      <c r="D80" s="9">
        <f>Orders!F80-Collection!H80</f>
        <v>0</v>
      </c>
    </row>
    <row r="81" hidden="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hidden="1" spans="1:4">
      <c r="A82" s="7"/>
      <c r="B82" s="7"/>
      <c r="C82" s="8" t="s">
        <v>110</v>
      </c>
      <c r="D82" s="9">
        <f>Orders!F82-Collection!H82</f>
        <v>0</v>
      </c>
    </row>
    <row r="83" hidden="1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hidden="1" spans="1:4">
      <c r="A84" s="7"/>
      <c r="B84" s="7"/>
      <c r="C84" s="8" t="s">
        <v>113</v>
      </c>
      <c r="D84" s="9">
        <f>Orders!F84-Collection!H84</f>
        <v>0</v>
      </c>
    </row>
    <row r="85" hidden="1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hidden="1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hidden="1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hidden="1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hidden="1" spans="1:4">
      <c r="A89" s="7"/>
      <c r="B89" s="7"/>
      <c r="C89" s="8" t="s">
        <v>120</v>
      </c>
      <c r="D89" s="9">
        <f>Orders!F89-Collection!H89</f>
        <v>0</v>
      </c>
    </row>
    <row r="90" hidden="1" spans="1:4">
      <c r="A90" s="7"/>
      <c r="B90" s="7"/>
      <c r="C90" s="8" t="s">
        <v>121</v>
      </c>
      <c r="D90" s="9">
        <f>Orders!F90-Collection!H90</f>
        <v>0</v>
      </c>
    </row>
    <row r="91" hidden="1" spans="1:4">
      <c r="A91" s="7"/>
      <c r="B91" s="7"/>
      <c r="C91" s="8" t="s">
        <v>122</v>
      </c>
      <c r="D91" s="9">
        <f>Orders!F91-Collection!H91</f>
        <v>0</v>
      </c>
    </row>
    <row r="92" hidden="1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hidden="1" spans="1:4">
      <c r="A93" s="7"/>
      <c r="B93" s="7"/>
      <c r="C93" s="8" t="s">
        <v>124</v>
      </c>
      <c r="D93" s="9">
        <f>Orders!F93-Collection!H93</f>
        <v>0</v>
      </c>
    </row>
    <row r="94" hidden="1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hidden="1" spans="1:4">
      <c r="A95" s="7"/>
      <c r="B95" s="7"/>
      <c r="C95" s="8" t="s">
        <v>127</v>
      </c>
      <c r="D95" s="9">
        <f>Orders!F95-Collection!H95</f>
        <v>0</v>
      </c>
    </row>
    <row r="96" hidden="1" spans="1:4">
      <c r="A96" s="7"/>
      <c r="B96" s="7"/>
      <c r="C96" s="8" t="s">
        <v>128</v>
      </c>
      <c r="D96" s="9">
        <f>Orders!F96-Collection!H96</f>
        <v>0</v>
      </c>
    </row>
  </sheetData>
  <autoFilter ref="A1:D96">
    <filterColumn colId="3">
      <filters>
        <filter val="1500"/>
        <filter val="3000"/>
        <filter val="3500"/>
        <filter val="4500"/>
        <filter val="5000"/>
        <filter val="6000"/>
        <filter val="400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2021-04-14T02:44:16Z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