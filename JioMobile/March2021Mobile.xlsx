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E2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 Mobile Return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  <comment ref="K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5000-Cash</t>
        </r>
      </text>
    </comment>
    <comment ref="AD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1500-Digital</t>
        </r>
      </text>
    </comment>
    <comment ref="M4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4300-Digital
200-Cash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Guddu sold 1 phone</t>
        </r>
      </text>
    </comment>
    <comment ref="R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3300- Sold 2 mobile by Guddu 2*1650</t>
        </r>
      </text>
    </comment>
    <comment ref="S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Sold 1 mobile by guddu
3000- Sold 2 mobile by vijay to FOS</t>
        </r>
      </text>
    </comment>
    <comment ref="X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 Sold 1 mobile to FOS from s shop
1500-Sold 1 mobile to FOS by Guddu</t>
        </r>
      </text>
    </comment>
    <comment ref="Y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Dhaba beside School by Vijay</t>
        </r>
      </text>
    </comment>
    <comment ref="Z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1 mobile to FOS from s shop </t>
        </r>
      </text>
    </comment>
    <comment ref="U8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2200-Digital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<sst xmlns="http://schemas.openxmlformats.org/spreadsheetml/2006/main" count="651" uniqueCount="177">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</sst>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178" formatCode="[$-409]d\-mmm;@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1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3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0" fillId="20" borderId="7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6" fillId="0" borderId="8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9" borderId="5" applyNumberFormat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3" fillId="12" borderId="3" applyNumberForma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AD53" activePane="bottomRight" state="frozen"/>
      <selection/>
      <selection pane="topRight"/>
      <selection pane="bottomLeft"/>
      <selection pane="bottomRight" activeCell="AF72" sqref="AF72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0" t="s">
        <v>8</v>
      </c>
      <c r="J1" s="31">
        <v>44256</v>
      </c>
      <c r="K1" s="31">
        <v>44257</v>
      </c>
      <c r="L1" s="31">
        <v>44258</v>
      </c>
      <c r="M1" s="31">
        <v>44259</v>
      </c>
      <c r="N1" s="31">
        <v>44260</v>
      </c>
      <c r="O1" s="31">
        <v>44261</v>
      </c>
      <c r="P1" s="31">
        <v>44262</v>
      </c>
      <c r="Q1" s="31">
        <v>44263</v>
      </c>
      <c r="R1" s="31">
        <v>44264</v>
      </c>
      <c r="S1" s="31">
        <v>44265</v>
      </c>
      <c r="T1" s="31">
        <v>44266</v>
      </c>
      <c r="U1" s="31">
        <v>44267</v>
      </c>
      <c r="V1" s="31">
        <v>44268</v>
      </c>
      <c r="W1" s="31">
        <v>44269</v>
      </c>
      <c r="X1" s="31">
        <v>44270</v>
      </c>
      <c r="Y1" s="31">
        <v>44271</v>
      </c>
      <c r="Z1" s="31">
        <v>44272</v>
      </c>
      <c r="AA1" s="31">
        <v>44273</v>
      </c>
      <c r="AB1" s="31">
        <v>44274</v>
      </c>
      <c r="AC1" s="31">
        <v>44275</v>
      </c>
      <c r="AD1" s="31">
        <v>44276</v>
      </c>
      <c r="AE1" s="31">
        <v>44277</v>
      </c>
      <c r="AF1" s="31">
        <v>44278</v>
      </c>
      <c r="AG1" s="31">
        <v>44279</v>
      </c>
      <c r="AH1" s="31">
        <v>44280</v>
      </c>
      <c r="AI1" s="31">
        <v>44281</v>
      </c>
      <c r="AJ1" s="31">
        <v>44282</v>
      </c>
      <c r="AK1" s="31">
        <v>44283</v>
      </c>
      <c r="AL1" s="31">
        <v>44284</v>
      </c>
      <c r="AM1" s="31">
        <v>44285</v>
      </c>
      <c r="AN1" s="31">
        <v>44286</v>
      </c>
      <c r="AO1" s="35"/>
      <c r="AP1" s="35"/>
      <c r="AQ1" s="35"/>
      <c r="AR1" s="35"/>
      <c r="AS1" s="35"/>
      <c r="AT1" s="35"/>
    </row>
    <row r="2" s="10" customFormat="1" spans="1:40">
      <c r="A2" s="13"/>
      <c r="B2" s="24">
        <f>SUM(F3:F121)</f>
        <v>321000</v>
      </c>
      <c r="D2" s="14">
        <f>SUM(H3:H121)</f>
        <v>321000</v>
      </c>
      <c r="E2" s="15" t="s">
        <v>9</v>
      </c>
      <c r="F2" s="25">
        <f>H2+I2</f>
        <v>321000</v>
      </c>
      <c r="G2" s="25">
        <f>H2/1500</f>
        <v>214</v>
      </c>
      <c r="H2" s="14">
        <f>SUM(J2:AN2)</f>
        <v>321000</v>
      </c>
      <c r="I2" s="32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105000</v>
      </c>
      <c r="M2" s="10">
        <f t="shared" si="0"/>
        <v>6000</v>
      </c>
      <c r="N2" s="10">
        <f t="shared" si="0"/>
        <v>19500</v>
      </c>
      <c r="O2" s="10">
        <f t="shared" si="0"/>
        <v>6000</v>
      </c>
      <c r="P2" s="10">
        <f t="shared" si="0"/>
        <v>0</v>
      </c>
      <c r="Q2" s="10">
        <f t="shared" si="0"/>
        <v>6000</v>
      </c>
      <c r="R2" s="10">
        <f t="shared" si="0"/>
        <v>9000</v>
      </c>
      <c r="S2" s="10">
        <f t="shared" si="0"/>
        <v>3000</v>
      </c>
      <c r="T2" s="10">
        <f t="shared" si="0"/>
        <v>4500</v>
      </c>
      <c r="U2" s="10">
        <f t="shared" si="0"/>
        <v>0</v>
      </c>
      <c r="V2" s="10">
        <f t="shared" si="0"/>
        <v>3000</v>
      </c>
      <c r="W2" s="10">
        <f t="shared" si="0"/>
        <v>0</v>
      </c>
      <c r="X2" s="10">
        <f t="shared" si="0"/>
        <v>0</v>
      </c>
      <c r="Y2" s="10">
        <f t="shared" si="0"/>
        <v>3000</v>
      </c>
      <c r="Z2" s="10">
        <f t="shared" si="0"/>
        <v>7500</v>
      </c>
      <c r="AA2" s="10">
        <f t="shared" si="0"/>
        <v>4500</v>
      </c>
      <c r="AB2" s="10">
        <f t="shared" si="0"/>
        <v>12000</v>
      </c>
      <c r="AC2" s="10">
        <f t="shared" si="0"/>
        <v>0</v>
      </c>
      <c r="AD2" s="10">
        <f t="shared" si="0"/>
        <v>0</v>
      </c>
      <c r="AE2" s="10">
        <f t="shared" si="0"/>
        <v>-3000</v>
      </c>
      <c r="AF2" s="10">
        <f t="shared" si="0"/>
        <v>15000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  <c r="AN2" s="10">
        <f t="shared" si="0"/>
        <v>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10">
        <f t="shared" ref="G3:G34" si="2">H3/1500</f>
        <v>10</v>
      </c>
      <c r="H3" s="10">
        <f>SUM(J3:AN3)</f>
        <v>15000</v>
      </c>
      <c r="I3" s="33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33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33"/>
    </row>
    <row r="6" s="11" customFormat="1" spans="1:13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13500</v>
      </c>
      <c r="G6" s="10">
        <f t="shared" si="2"/>
        <v>9</v>
      </c>
      <c r="H6" s="10">
        <f t="shared" si="3"/>
        <v>13500</v>
      </c>
      <c r="I6" s="33"/>
      <c r="K6" s="11">
        <f>5*1500</f>
        <v>7500</v>
      </c>
      <c r="M6" s="11">
        <f>4*1500</f>
        <v>6000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33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10">
        <f t="shared" si="2"/>
        <v>5</v>
      </c>
      <c r="H8" s="10">
        <f t="shared" si="3"/>
        <v>7500</v>
      </c>
      <c r="I8" s="33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33"/>
    </row>
    <row r="10" s="11" customFormat="1" spans="1:28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22500</v>
      </c>
      <c r="G10" s="10">
        <f t="shared" si="2"/>
        <v>15</v>
      </c>
      <c r="H10" s="10">
        <f t="shared" si="3"/>
        <v>22500</v>
      </c>
      <c r="I10" s="33"/>
      <c r="K10" s="11">
        <f>10*1500</f>
        <v>15000</v>
      </c>
      <c r="AB10" s="11">
        <f>5*1500</f>
        <v>7500</v>
      </c>
    </row>
    <row r="11" s="11" customFormat="1" spans="1:15">
      <c r="A11" s="11">
        <v>9</v>
      </c>
      <c r="D11" s="11" t="s">
        <v>24</v>
      </c>
      <c r="E11" s="17" t="s">
        <v>25</v>
      </c>
      <c r="F11" s="10">
        <f t="shared" si="1"/>
        <v>6000</v>
      </c>
      <c r="G11" s="10">
        <f t="shared" si="2"/>
        <v>4</v>
      </c>
      <c r="H11" s="10">
        <f t="shared" si="3"/>
        <v>6000</v>
      </c>
      <c r="I11" s="33"/>
      <c r="O11" s="11">
        <f>4*1500</f>
        <v>6000</v>
      </c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33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10">
        <f t="shared" si="2"/>
        <v>10</v>
      </c>
      <c r="H13" s="10">
        <f t="shared" si="3"/>
        <v>15000</v>
      </c>
      <c r="I13" s="33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33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33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33"/>
    </row>
    <row r="17" s="11" customFormat="1" spans="1:9">
      <c r="A17" s="11">
        <v>15</v>
      </c>
      <c r="B17" s="26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33"/>
    </row>
    <row r="18" s="11" customFormat="1" spans="1:28">
      <c r="A18" s="11">
        <v>16</v>
      </c>
      <c r="B18" s="27" t="s">
        <v>34</v>
      </c>
      <c r="C18" s="11">
        <v>683909556</v>
      </c>
      <c r="D18" s="11" t="s">
        <v>24</v>
      </c>
      <c r="E18" s="28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33"/>
      <c r="J18" s="34"/>
      <c r="K18" s="34"/>
      <c r="L18" s="34"/>
      <c r="M18" s="34"/>
      <c r="N18" s="29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29"/>
      <c r="Z18" s="34"/>
      <c r="AA18" s="34"/>
      <c r="AB18" s="34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10">
        <f t="shared" si="2"/>
        <v>10</v>
      </c>
      <c r="H19" s="10">
        <f t="shared" si="3"/>
        <v>15000</v>
      </c>
      <c r="I19" s="33"/>
      <c r="K19" s="11">
        <f>10*1500</f>
        <v>15000</v>
      </c>
    </row>
    <row r="20" s="11" customFormat="1" spans="1:14">
      <c r="A20" s="11">
        <v>18</v>
      </c>
      <c r="D20" s="11" t="s">
        <v>37</v>
      </c>
      <c r="E20" s="17" t="s">
        <v>38</v>
      </c>
      <c r="F20" s="10">
        <f t="shared" si="1"/>
        <v>3000</v>
      </c>
      <c r="G20" s="10">
        <f t="shared" si="2"/>
        <v>2</v>
      </c>
      <c r="H20" s="10">
        <f t="shared" si="3"/>
        <v>3000</v>
      </c>
      <c r="I20" s="33"/>
      <c r="N20" s="11">
        <f>2*1500</f>
        <v>3000</v>
      </c>
    </row>
    <row r="21" s="11" customFormat="1" spans="1:12">
      <c r="A21" s="11">
        <v>19</v>
      </c>
      <c r="D21" s="11" t="s">
        <v>37</v>
      </c>
      <c r="E21" s="17" t="s">
        <v>39</v>
      </c>
      <c r="F21" s="10">
        <f t="shared" si="1"/>
        <v>1500</v>
      </c>
      <c r="G21" s="10">
        <f t="shared" si="2"/>
        <v>1</v>
      </c>
      <c r="H21" s="10">
        <f t="shared" si="3"/>
        <v>1500</v>
      </c>
      <c r="I21" s="33"/>
      <c r="L21" s="11">
        <f>1*1500</f>
        <v>1500</v>
      </c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33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10">
        <f t="shared" si="2"/>
        <v>15</v>
      </c>
      <c r="H23" s="10">
        <f t="shared" si="3"/>
        <v>22500</v>
      </c>
      <c r="I23" s="33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33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33"/>
      <c r="K25" s="11">
        <f>2*1500</f>
        <v>3000</v>
      </c>
    </row>
    <row r="26" s="11" customFormat="1" spans="1:12">
      <c r="A26" s="11">
        <v>24</v>
      </c>
      <c r="D26" s="11" t="s">
        <v>37</v>
      </c>
      <c r="E26" s="17" t="s">
        <v>44</v>
      </c>
      <c r="F26" s="10">
        <f t="shared" si="1"/>
        <v>6000</v>
      </c>
      <c r="G26" s="10">
        <f t="shared" si="2"/>
        <v>4</v>
      </c>
      <c r="H26" s="10">
        <f t="shared" si="3"/>
        <v>6000</v>
      </c>
      <c r="I26" s="33"/>
      <c r="L26" s="11">
        <f>4*1500</f>
        <v>6000</v>
      </c>
    </row>
    <row r="27" s="11" customFormat="1" spans="1:31">
      <c r="A27" s="11">
        <v>25</v>
      </c>
      <c r="D27" s="11" t="s">
        <v>37</v>
      </c>
      <c r="E27" s="17" t="s">
        <v>45</v>
      </c>
      <c r="F27" s="10">
        <f t="shared" si="1"/>
        <v>1500</v>
      </c>
      <c r="G27" s="10">
        <f t="shared" si="2"/>
        <v>1</v>
      </c>
      <c r="H27" s="10">
        <f t="shared" si="3"/>
        <v>1500</v>
      </c>
      <c r="I27" s="33"/>
      <c r="L27" s="11">
        <f>5*1500</f>
        <v>7500</v>
      </c>
      <c r="AE27" s="11">
        <f>-4*1500</f>
        <v>-6000</v>
      </c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33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33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33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10">
        <f t="shared" si="2"/>
        <v>3</v>
      </c>
      <c r="H31" s="10">
        <f t="shared" si="3"/>
        <v>4500</v>
      </c>
      <c r="I31" s="33"/>
      <c r="K31" s="11">
        <f>3*1500</f>
        <v>4500</v>
      </c>
    </row>
    <row r="32" s="11" customFormat="1" spans="1:12">
      <c r="A32" s="11">
        <v>30</v>
      </c>
      <c r="D32" s="11" t="s">
        <v>37</v>
      </c>
      <c r="E32" s="17" t="s">
        <v>50</v>
      </c>
      <c r="F32" s="10">
        <f t="shared" si="1"/>
        <v>15000</v>
      </c>
      <c r="G32" s="10">
        <f t="shared" si="2"/>
        <v>10</v>
      </c>
      <c r="H32" s="10">
        <f t="shared" si="3"/>
        <v>15000</v>
      </c>
      <c r="I32" s="33"/>
      <c r="L32" s="11">
        <f>10*1500</f>
        <v>15000</v>
      </c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10">
        <f t="shared" si="2"/>
        <v>10</v>
      </c>
      <c r="H33" s="10">
        <f t="shared" si="3"/>
        <v>15000</v>
      </c>
      <c r="I33" s="33"/>
      <c r="K33" s="11">
        <f>10*1500</f>
        <v>15000</v>
      </c>
    </row>
    <row r="34" s="11" customFormat="1" spans="1:18">
      <c r="A34" s="11">
        <v>32</v>
      </c>
      <c r="D34" s="11" t="s">
        <v>52</v>
      </c>
      <c r="E34" s="17" t="s">
        <v>53</v>
      </c>
      <c r="F34" s="10">
        <f t="shared" si="1"/>
        <v>3000</v>
      </c>
      <c r="G34" s="10">
        <f t="shared" si="2"/>
        <v>2</v>
      </c>
      <c r="H34" s="10">
        <f t="shared" si="3"/>
        <v>3000</v>
      </c>
      <c r="I34" s="33"/>
      <c r="R34" s="11">
        <f>2*1500</f>
        <v>3000</v>
      </c>
    </row>
    <row r="35" s="11" customFormat="1" spans="1:12">
      <c r="A35" s="11">
        <v>33</v>
      </c>
      <c r="D35" s="11" t="s">
        <v>52</v>
      </c>
      <c r="E35" s="17" t="s">
        <v>54</v>
      </c>
      <c r="F35" s="10">
        <f t="shared" ref="F35:F66" si="4">H35+I35</f>
        <v>7500</v>
      </c>
      <c r="G35" s="10">
        <f t="shared" ref="G35:G66" si="5">H35/1500</f>
        <v>5</v>
      </c>
      <c r="H35" s="10">
        <f t="shared" si="3"/>
        <v>7500</v>
      </c>
      <c r="I35" s="33"/>
      <c r="L35" s="11">
        <f>5*1500</f>
        <v>7500</v>
      </c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33"/>
    </row>
    <row r="37" s="11" customFormat="1" spans="1:31">
      <c r="A37" s="11">
        <v>35</v>
      </c>
      <c r="D37" s="11" t="s">
        <v>52</v>
      </c>
      <c r="E37" s="17" t="s">
        <v>56</v>
      </c>
      <c r="F37" s="10">
        <f t="shared" si="4"/>
        <v>3000</v>
      </c>
      <c r="G37" s="10">
        <f t="shared" si="5"/>
        <v>2</v>
      </c>
      <c r="H37" s="10">
        <f t="shared" si="6"/>
        <v>3000</v>
      </c>
      <c r="I37" s="33"/>
      <c r="AE37" s="11">
        <f>2*1500</f>
        <v>3000</v>
      </c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33"/>
    </row>
    <row r="39" s="11" customFormat="1" spans="1:12">
      <c r="A39" s="11">
        <v>37</v>
      </c>
      <c r="D39" s="11" t="s">
        <v>52</v>
      </c>
      <c r="E39" s="17" t="s">
        <v>58</v>
      </c>
      <c r="F39" s="10">
        <f t="shared" si="4"/>
        <v>7500</v>
      </c>
      <c r="G39" s="10">
        <f t="shared" si="5"/>
        <v>5</v>
      </c>
      <c r="H39" s="10">
        <f t="shared" si="6"/>
        <v>7500</v>
      </c>
      <c r="I39" s="33"/>
      <c r="L39" s="11">
        <f>5*1500</f>
        <v>7500</v>
      </c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33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33"/>
    </row>
    <row r="42" s="11" customFormat="1" spans="1:12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33"/>
      <c r="L42" s="11">
        <f>2*1500</f>
        <v>3000</v>
      </c>
    </row>
    <row r="43" s="11" customFormat="1" spans="1:17">
      <c r="A43" s="11">
        <v>41</v>
      </c>
      <c r="D43" s="11" t="s">
        <v>52</v>
      </c>
      <c r="E43" s="17" t="s">
        <v>62</v>
      </c>
      <c r="F43" s="10">
        <f t="shared" si="4"/>
        <v>1500</v>
      </c>
      <c r="G43" s="10">
        <f t="shared" si="5"/>
        <v>1</v>
      </c>
      <c r="H43" s="10">
        <f t="shared" si="6"/>
        <v>1500</v>
      </c>
      <c r="I43" s="33"/>
      <c r="Q43" s="11">
        <f>1*1500</f>
        <v>1500</v>
      </c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33"/>
    </row>
    <row r="45" s="11" customFormat="1" spans="1:12">
      <c r="A45" s="11">
        <v>43</v>
      </c>
      <c r="D45" s="11" t="s">
        <v>52</v>
      </c>
      <c r="E45" s="17" t="s">
        <v>64</v>
      </c>
      <c r="F45" s="10">
        <f t="shared" si="4"/>
        <v>3000</v>
      </c>
      <c r="G45" s="10">
        <f t="shared" si="5"/>
        <v>2</v>
      </c>
      <c r="H45" s="10">
        <f t="shared" si="6"/>
        <v>3000</v>
      </c>
      <c r="I45" s="33"/>
      <c r="L45" s="11">
        <f>2*1500</f>
        <v>3000</v>
      </c>
    </row>
    <row r="46" s="11" customFormat="1" spans="1:12">
      <c r="A46" s="11">
        <v>44</v>
      </c>
      <c r="D46" s="11" t="s">
        <v>65</v>
      </c>
      <c r="E46" s="17" t="s">
        <v>66</v>
      </c>
      <c r="F46" s="10">
        <f t="shared" si="4"/>
        <v>15000</v>
      </c>
      <c r="G46" s="10">
        <f t="shared" si="5"/>
        <v>10</v>
      </c>
      <c r="H46" s="10">
        <f t="shared" si="6"/>
        <v>15000</v>
      </c>
      <c r="I46" s="33"/>
      <c r="L46" s="11">
        <f>10*1500</f>
        <v>15000</v>
      </c>
    </row>
    <row r="47" s="11" customFormat="1" spans="1:12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33"/>
      <c r="L47" s="11">
        <f>2*1500</f>
        <v>3000</v>
      </c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33"/>
    </row>
    <row r="49" s="11" customFormat="1" spans="1:14">
      <c r="A49" s="11">
        <v>47</v>
      </c>
      <c r="D49" s="11" t="s">
        <v>65</v>
      </c>
      <c r="E49" s="17" t="s">
        <v>69</v>
      </c>
      <c r="F49" s="10">
        <f t="shared" si="4"/>
        <v>7500</v>
      </c>
      <c r="G49" s="10">
        <f t="shared" si="5"/>
        <v>5</v>
      </c>
      <c r="H49" s="10">
        <f t="shared" si="6"/>
        <v>7500</v>
      </c>
      <c r="I49" s="33"/>
      <c r="L49" s="11">
        <f>2*1500</f>
        <v>3000</v>
      </c>
      <c r="N49" s="11">
        <f>3*1500</f>
        <v>4500</v>
      </c>
    </row>
    <row r="50" s="11" customFormat="1" spans="1:28">
      <c r="A50" s="11">
        <v>48</v>
      </c>
      <c r="D50" s="11" t="s">
        <v>65</v>
      </c>
      <c r="E50" s="17" t="s">
        <v>70</v>
      </c>
      <c r="F50" s="10">
        <f t="shared" si="4"/>
        <v>4500</v>
      </c>
      <c r="G50" s="10">
        <f t="shared" si="5"/>
        <v>3</v>
      </c>
      <c r="H50" s="10">
        <f t="shared" si="6"/>
        <v>4500</v>
      </c>
      <c r="I50" s="33"/>
      <c r="AB50" s="11">
        <f>3*1500</f>
        <v>4500</v>
      </c>
    </row>
    <row r="51" s="11" customFormat="1" spans="1:12">
      <c r="A51" s="11">
        <v>49</v>
      </c>
      <c r="D51" s="11" t="s">
        <v>65</v>
      </c>
      <c r="E51" s="17" t="s">
        <v>71</v>
      </c>
      <c r="F51" s="10">
        <f t="shared" si="4"/>
        <v>7500</v>
      </c>
      <c r="G51" s="10">
        <f t="shared" si="5"/>
        <v>5</v>
      </c>
      <c r="H51" s="10">
        <f t="shared" si="6"/>
        <v>7500</v>
      </c>
      <c r="I51" s="33"/>
      <c r="L51" s="11">
        <f>5*1500</f>
        <v>7500</v>
      </c>
    </row>
    <row r="52" s="11" customFormat="1" spans="1:14">
      <c r="A52" s="11">
        <v>50</v>
      </c>
      <c r="D52" s="11" t="s">
        <v>65</v>
      </c>
      <c r="E52" s="17" t="s">
        <v>72</v>
      </c>
      <c r="F52" s="10">
        <f t="shared" si="4"/>
        <v>4500</v>
      </c>
      <c r="G52" s="10">
        <f t="shared" si="5"/>
        <v>3</v>
      </c>
      <c r="H52" s="10">
        <f t="shared" si="6"/>
        <v>4500</v>
      </c>
      <c r="I52" s="33"/>
      <c r="N52" s="11">
        <f>3*1500</f>
        <v>4500</v>
      </c>
    </row>
    <row r="53" s="11" customFormat="1" spans="1:12">
      <c r="A53" s="11">
        <v>51</v>
      </c>
      <c r="D53" s="11" t="s">
        <v>65</v>
      </c>
      <c r="E53" s="17" t="s">
        <v>73</v>
      </c>
      <c r="F53" s="10">
        <f t="shared" si="4"/>
        <v>3000</v>
      </c>
      <c r="G53" s="10">
        <f t="shared" si="5"/>
        <v>2</v>
      </c>
      <c r="H53" s="10">
        <f t="shared" si="6"/>
        <v>3000</v>
      </c>
      <c r="I53" s="33"/>
      <c r="L53" s="11">
        <f>2*1500</f>
        <v>3000</v>
      </c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33"/>
    </row>
    <row r="55" s="11" customFormat="1" spans="1:12">
      <c r="A55" s="11">
        <v>53</v>
      </c>
      <c r="B55" s="29"/>
      <c r="D55" s="11" t="s">
        <v>65</v>
      </c>
      <c r="E55" s="28" t="s">
        <v>75</v>
      </c>
      <c r="F55" s="10">
        <f t="shared" si="4"/>
        <v>4500</v>
      </c>
      <c r="G55" s="10">
        <f t="shared" si="5"/>
        <v>3</v>
      </c>
      <c r="H55" s="10">
        <f t="shared" si="6"/>
        <v>4500</v>
      </c>
      <c r="I55" s="33"/>
      <c r="L55" s="11">
        <f>3*1500</f>
        <v>4500</v>
      </c>
    </row>
    <row r="56" s="11" customFormat="1" spans="1:9">
      <c r="A56" s="11">
        <v>54</v>
      </c>
      <c r="B56" s="29"/>
      <c r="D56" s="11" t="s">
        <v>65</v>
      </c>
      <c r="E56" s="28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33"/>
    </row>
    <row r="57" s="11" customFormat="1" spans="1:9">
      <c r="A57" s="11">
        <v>55</v>
      </c>
      <c r="B57" s="29"/>
      <c r="D57" s="11" t="s">
        <v>65</v>
      </c>
      <c r="E57" s="28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33"/>
    </row>
    <row r="58" s="11" customFormat="1" spans="1:32">
      <c r="A58" s="11">
        <v>56</v>
      </c>
      <c r="D58" s="11" t="s">
        <v>78</v>
      </c>
      <c r="E58" s="17" t="s">
        <v>79</v>
      </c>
      <c r="F58" s="10">
        <f t="shared" si="4"/>
        <v>15000</v>
      </c>
      <c r="G58" s="10">
        <f t="shared" si="5"/>
        <v>10</v>
      </c>
      <c r="H58" s="10">
        <f t="shared" si="6"/>
        <v>15000</v>
      </c>
      <c r="I58" s="33"/>
      <c r="L58" s="11">
        <f>2*1500</f>
        <v>3000</v>
      </c>
      <c r="AF58" s="11">
        <f>8*1500</f>
        <v>12000</v>
      </c>
    </row>
    <row r="59" s="11" customFormat="1" spans="1:12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2</v>
      </c>
      <c r="H59" s="10">
        <f t="shared" si="6"/>
        <v>3000</v>
      </c>
      <c r="I59" s="33"/>
      <c r="L59" s="11">
        <f>2*1500</f>
        <v>3000</v>
      </c>
    </row>
    <row r="60" s="11" customFormat="1" spans="1:12">
      <c r="A60" s="11">
        <v>58</v>
      </c>
      <c r="D60" s="11" t="s">
        <v>78</v>
      </c>
      <c r="E60" s="17" t="s">
        <v>81</v>
      </c>
      <c r="F60" s="10">
        <f t="shared" si="4"/>
        <v>3000</v>
      </c>
      <c r="G60" s="10">
        <f t="shared" si="5"/>
        <v>2</v>
      </c>
      <c r="H60" s="10">
        <f t="shared" si="6"/>
        <v>3000</v>
      </c>
      <c r="I60" s="33"/>
      <c r="L60" s="11">
        <f>2*1500</f>
        <v>3000</v>
      </c>
    </row>
    <row r="61" s="11" customFormat="1" spans="1:17">
      <c r="A61" s="11">
        <v>59</v>
      </c>
      <c r="D61" s="11" t="s">
        <v>78</v>
      </c>
      <c r="E61" s="17" t="s">
        <v>82</v>
      </c>
      <c r="F61" s="10">
        <f t="shared" si="4"/>
        <v>3000</v>
      </c>
      <c r="G61" s="10">
        <f t="shared" si="5"/>
        <v>2</v>
      </c>
      <c r="H61" s="10">
        <f t="shared" si="6"/>
        <v>3000</v>
      </c>
      <c r="I61" s="33"/>
      <c r="Q61" s="11">
        <f>2*1500</f>
        <v>3000</v>
      </c>
    </row>
    <row r="62" s="11" customFormat="1" spans="1:26">
      <c r="A62" s="11">
        <v>60</v>
      </c>
      <c r="B62" s="29"/>
      <c r="D62" s="11" t="s">
        <v>83</v>
      </c>
      <c r="E62" s="28" t="s">
        <v>84</v>
      </c>
      <c r="F62" s="10">
        <f t="shared" si="4"/>
        <v>3000</v>
      </c>
      <c r="G62" s="10">
        <f t="shared" si="5"/>
        <v>2</v>
      </c>
      <c r="H62" s="10">
        <f t="shared" si="6"/>
        <v>3000</v>
      </c>
      <c r="I62" s="33"/>
      <c r="Z62" s="11">
        <f>2*1500</f>
        <v>3000</v>
      </c>
    </row>
    <row r="63" s="11" customFormat="1" spans="1:9">
      <c r="A63" s="11">
        <v>61</v>
      </c>
      <c r="B63" s="29"/>
      <c r="D63" s="11" t="s">
        <v>83</v>
      </c>
      <c r="E63" s="28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33"/>
    </row>
    <row r="64" s="11" customFormat="1" spans="1:26">
      <c r="A64" s="11">
        <v>62</v>
      </c>
      <c r="C64" s="26" t="s">
        <v>86</v>
      </c>
      <c r="D64" s="11" t="s">
        <v>83</v>
      </c>
      <c r="E64" s="17" t="s">
        <v>87</v>
      </c>
      <c r="F64" s="10">
        <f t="shared" si="4"/>
        <v>3000</v>
      </c>
      <c r="G64" s="10">
        <f t="shared" si="5"/>
        <v>2</v>
      </c>
      <c r="H64" s="10">
        <f t="shared" si="6"/>
        <v>3000</v>
      </c>
      <c r="I64" s="33"/>
      <c r="Z64" s="11">
        <f>2*1500</f>
        <v>3000</v>
      </c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29"/>
      <c r="D66" s="11" t="s">
        <v>88</v>
      </c>
      <c r="E66" s="28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33"/>
    </row>
    <row r="67" s="11" customFormat="1" spans="1:9">
      <c r="A67" s="11">
        <v>65</v>
      </c>
      <c r="B67" s="29"/>
      <c r="D67" s="11" t="s">
        <v>91</v>
      </c>
      <c r="E67" s="28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33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33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33"/>
    </row>
    <row r="70" s="11" customFormat="1" spans="1:18">
      <c r="A70" s="11">
        <v>68</v>
      </c>
      <c r="D70" s="11" t="s">
        <v>93</v>
      </c>
      <c r="E70" s="17" t="s">
        <v>96</v>
      </c>
      <c r="F70" s="10">
        <f t="shared" si="7"/>
        <v>1500</v>
      </c>
      <c r="G70" s="10">
        <f t="shared" si="8"/>
        <v>1</v>
      </c>
      <c r="H70" s="10">
        <f t="shared" si="9"/>
        <v>1500</v>
      </c>
      <c r="I70" s="33"/>
      <c r="R70" s="11">
        <f>1*1500</f>
        <v>1500</v>
      </c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33"/>
    </row>
    <row r="72" s="11" customFormat="1" spans="1:32">
      <c r="A72" s="11">
        <v>70</v>
      </c>
      <c r="D72" s="11" t="s">
        <v>93</v>
      </c>
      <c r="E72" s="17" t="s">
        <v>98</v>
      </c>
      <c r="F72" s="10">
        <f t="shared" si="7"/>
        <v>10500</v>
      </c>
      <c r="G72" s="10">
        <f t="shared" si="8"/>
        <v>7</v>
      </c>
      <c r="H72" s="10">
        <f t="shared" si="9"/>
        <v>10500</v>
      </c>
      <c r="I72" s="33"/>
      <c r="N72" s="11">
        <f>5*1500</f>
        <v>7500</v>
      </c>
      <c r="AF72" s="11">
        <f>2*1500</f>
        <v>3000</v>
      </c>
    </row>
    <row r="73" s="11" customFormat="1" spans="1:18">
      <c r="A73" s="11">
        <v>71</v>
      </c>
      <c r="D73" s="11" t="s">
        <v>93</v>
      </c>
      <c r="E73" s="17" t="s">
        <v>99</v>
      </c>
      <c r="F73" s="10">
        <f t="shared" si="7"/>
        <v>6000</v>
      </c>
      <c r="G73" s="10">
        <f t="shared" si="8"/>
        <v>4</v>
      </c>
      <c r="H73" s="10">
        <f t="shared" si="9"/>
        <v>6000</v>
      </c>
      <c r="I73" s="33"/>
      <c r="L73" s="11">
        <f>1*1500</f>
        <v>1500</v>
      </c>
      <c r="R73" s="11">
        <f>3*1500</f>
        <v>4500</v>
      </c>
    </row>
    <row r="74" s="11" customFormat="1" spans="1:9">
      <c r="A74" s="11">
        <v>72</v>
      </c>
      <c r="B74" s="29"/>
      <c r="D74" s="11" t="s">
        <v>93</v>
      </c>
      <c r="E74" s="28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33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33"/>
    </row>
    <row r="76" s="11" customFormat="1" spans="1:9">
      <c r="A76" s="11">
        <v>74</v>
      </c>
      <c r="B76" s="29"/>
      <c r="D76" s="11" t="s">
        <v>93</v>
      </c>
      <c r="E76" s="28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33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33"/>
    </row>
    <row r="78" s="11" customFormat="1" spans="1:12">
      <c r="A78" s="11">
        <v>76</v>
      </c>
      <c r="D78" s="11" t="s">
        <v>103</v>
      </c>
      <c r="E78" s="17" t="s">
        <v>105</v>
      </c>
      <c r="F78" s="10">
        <f t="shared" si="7"/>
        <v>7500</v>
      </c>
      <c r="G78" s="10">
        <f t="shared" si="8"/>
        <v>5</v>
      </c>
      <c r="H78" s="10">
        <f t="shared" si="9"/>
        <v>7500</v>
      </c>
      <c r="I78" s="33"/>
      <c r="L78" s="11">
        <f>5*1500</f>
        <v>7500</v>
      </c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33"/>
    </row>
    <row r="80" s="11" customFormat="1" spans="1:27">
      <c r="A80" s="11">
        <v>78</v>
      </c>
      <c r="B80" s="29"/>
      <c r="E80" s="28" t="s">
        <v>107</v>
      </c>
      <c r="F80" s="10">
        <f t="shared" si="7"/>
        <v>15000</v>
      </c>
      <c r="G80" s="10">
        <f t="shared" si="8"/>
        <v>10</v>
      </c>
      <c r="H80" s="10">
        <f t="shared" si="9"/>
        <v>15000</v>
      </c>
      <c r="I80" s="33"/>
      <c r="J80" s="29"/>
      <c r="K80" s="29"/>
      <c r="L80" s="29"/>
      <c r="M80" s="29"/>
      <c r="N80" s="29"/>
      <c r="O80" s="29"/>
      <c r="P80" s="29"/>
      <c r="Q80" s="29">
        <f>1*1500</f>
        <v>1500</v>
      </c>
      <c r="R80" s="29"/>
      <c r="S80" s="29">
        <f>2*1500</f>
        <v>3000</v>
      </c>
      <c r="T80" s="29">
        <f>3*1500</f>
        <v>4500</v>
      </c>
      <c r="U80" s="29"/>
      <c r="W80" s="34"/>
      <c r="X80" s="29"/>
      <c r="Y80" s="29">
        <f>2*1500</f>
        <v>3000</v>
      </c>
      <c r="Z80" s="29">
        <f>1*1500</f>
        <v>1500</v>
      </c>
      <c r="AA80" s="11">
        <f>1*1500</f>
        <v>1500</v>
      </c>
    </row>
    <row r="81" s="11" customFormat="1" spans="1:9">
      <c r="A81" s="11">
        <v>79</v>
      </c>
      <c r="B81" s="29"/>
      <c r="D81" s="11" t="s">
        <v>108</v>
      </c>
      <c r="E81" s="28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33"/>
    </row>
    <row r="82" s="11" customFormat="1" spans="1:9">
      <c r="A82" s="11">
        <v>80</v>
      </c>
      <c r="B82" s="29"/>
      <c r="E82" s="28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33"/>
    </row>
    <row r="83" s="11" customFormat="1" spans="1:9">
      <c r="A83" s="11">
        <v>81</v>
      </c>
      <c r="B83" s="29"/>
      <c r="D83" s="11" t="s">
        <v>111</v>
      </c>
      <c r="E83" s="28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33"/>
    </row>
    <row r="84" s="11" customFormat="1" spans="1:21">
      <c r="A84" s="11">
        <v>82</v>
      </c>
      <c r="B84" s="29"/>
      <c r="E84" s="28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="11" customFormat="1" spans="1:9">
      <c r="A85" s="11">
        <v>83</v>
      </c>
      <c r="B85" s="29"/>
      <c r="D85" s="11" t="s">
        <v>114</v>
      </c>
      <c r="E85" s="28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33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33"/>
    </row>
    <row r="87" s="11" customFormat="1" spans="1:9">
      <c r="A87" s="11">
        <v>85</v>
      </c>
      <c r="B87" s="29"/>
      <c r="C87" s="11">
        <v>683879115</v>
      </c>
      <c r="D87" s="11" t="s">
        <v>114</v>
      </c>
      <c r="E87" s="28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33"/>
    </row>
    <row r="88" s="11" customFormat="1" spans="1:27">
      <c r="A88" s="11">
        <v>86</v>
      </c>
      <c r="B88" s="29"/>
      <c r="D88" s="11" t="s">
        <v>118</v>
      </c>
      <c r="E88" s="28" t="s">
        <v>119</v>
      </c>
      <c r="F88" s="10">
        <f t="shared" si="7"/>
        <v>3000</v>
      </c>
      <c r="G88" s="10">
        <f t="shared" si="8"/>
        <v>2</v>
      </c>
      <c r="H88" s="10">
        <f t="shared" si="9"/>
        <v>3000</v>
      </c>
      <c r="I88" s="33"/>
      <c r="J88" s="34"/>
      <c r="K88" s="34"/>
      <c r="L88" s="34"/>
      <c r="M88" s="34"/>
      <c r="N88" s="34"/>
      <c r="O88" s="34"/>
      <c r="P88" s="29"/>
      <c r="Q88" s="34"/>
      <c r="R88" s="34"/>
      <c r="S88" s="34"/>
      <c r="T88" s="34"/>
      <c r="U88" s="34"/>
      <c r="V88" s="29">
        <f>2*1500</f>
        <v>3000</v>
      </c>
      <c r="W88" s="34"/>
      <c r="X88" s="29"/>
      <c r="Y88" s="34"/>
      <c r="Z88" s="34"/>
      <c r="AA88" s="34"/>
    </row>
    <row r="89" s="11" customFormat="1" spans="1:9">
      <c r="A89" s="11">
        <v>87</v>
      </c>
      <c r="B89" s="29"/>
      <c r="E89" s="28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33"/>
    </row>
    <row r="90" s="11" customFormat="1" spans="1:20">
      <c r="A90" s="11">
        <v>88</v>
      </c>
      <c r="B90" s="29"/>
      <c r="E90" s="28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29"/>
      <c r="T90" s="34"/>
    </row>
    <row r="91" s="11" customFormat="1" spans="1:25">
      <c r="A91" s="11">
        <v>89</v>
      </c>
      <c r="B91" s="29"/>
      <c r="E91" s="28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33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s="11" customFormat="1" spans="1:27">
      <c r="A92" s="11">
        <v>90</v>
      </c>
      <c r="E92" s="17" t="s">
        <v>123</v>
      </c>
      <c r="F92" s="10">
        <f t="shared" si="7"/>
        <v>3000</v>
      </c>
      <c r="G92" s="10">
        <f t="shared" si="8"/>
        <v>2</v>
      </c>
      <c r="H92" s="10">
        <f t="shared" si="9"/>
        <v>3000</v>
      </c>
      <c r="I92" s="33"/>
      <c r="AA92" s="11">
        <f>2*1500</f>
        <v>3000</v>
      </c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33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33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33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33"/>
    </row>
    <row r="97" s="11" customFormat="1" spans="9:9">
      <c r="I97" s="22"/>
    </row>
    <row r="98" s="11" customFormat="1" spans="9:9">
      <c r="I98" s="22"/>
    </row>
    <row r="99" s="11" customFormat="1" spans="9:9">
      <c r="I99" s="22"/>
    </row>
    <row r="100" s="11" customFormat="1" spans="9:9">
      <c r="I100" s="22"/>
    </row>
    <row r="101" s="11" customFormat="1" spans="9:9">
      <c r="I101" s="22"/>
    </row>
    <row r="102" s="11" customFormat="1" spans="9:9">
      <c r="I102" s="22"/>
    </row>
    <row r="103" s="11" customFormat="1" spans="9:9">
      <c r="I103" s="22"/>
    </row>
    <row r="104" s="11" customFormat="1" spans="9:9">
      <c r="I104" s="22"/>
    </row>
    <row r="105" s="11" customFormat="1" spans="9:9">
      <c r="I105" s="22"/>
    </row>
    <row r="106" s="11" customFormat="1" spans="9:9">
      <c r="I106" s="22"/>
    </row>
    <row r="107" s="11" customFormat="1" spans="9:9"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Y3" activePane="bottomRight" state="frozen"/>
      <selection/>
      <selection pane="topRight"/>
      <selection pane="bottomLeft"/>
      <selection pane="bottomRight" activeCell="AE1" sqref="AE1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308500</v>
      </c>
      <c r="G2" s="15" t="s">
        <v>9</v>
      </c>
      <c r="H2" s="16">
        <f>SUM(I2:AM2)</f>
        <v>308500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104500</v>
      </c>
      <c r="L2" s="10">
        <f t="shared" si="0"/>
        <v>6000</v>
      </c>
      <c r="M2" s="10">
        <f t="shared" si="0"/>
        <v>21500</v>
      </c>
      <c r="N2" s="10">
        <f t="shared" si="0"/>
        <v>4000</v>
      </c>
      <c r="O2" s="10">
        <f t="shared" si="0"/>
        <v>0</v>
      </c>
      <c r="P2" s="10">
        <f t="shared" si="0"/>
        <v>4500</v>
      </c>
      <c r="Q2" s="10">
        <f t="shared" si="0"/>
        <v>10500</v>
      </c>
      <c r="R2" s="10">
        <f t="shared" si="0"/>
        <v>6000</v>
      </c>
      <c r="S2" s="10">
        <f t="shared" si="0"/>
        <v>4500</v>
      </c>
      <c r="T2" s="10">
        <f t="shared" si="0"/>
        <v>0</v>
      </c>
      <c r="U2" s="10">
        <f t="shared" si="0"/>
        <v>3000</v>
      </c>
      <c r="V2" s="10">
        <f t="shared" si="0"/>
        <v>0</v>
      </c>
      <c r="W2" s="10">
        <f t="shared" si="0"/>
        <v>0</v>
      </c>
      <c r="X2" s="10">
        <f t="shared" si="0"/>
        <v>5000</v>
      </c>
      <c r="Y2" s="10">
        <f t="shared" si="0"/>
        <v>7500</v>
      </c>
      <c r="Z2" s="10">
        <f t="shared" si="0"/>
        <v>4500</v>
      </c>
      <c r="AA2" s="10">
        <f t="shared" si="0"/>
        <v>12000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14500</v>
      </c>
      <c r="AE2" s="10">
        <f t="shared" si="1"/>
        <v>10500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13500</v>
      </c>
      <c r="J6" s="11">
        <v>7500</v>
      </c>
      <c r="L6" s="11">
        <v>6000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22500</v>
      </c>
      <c r="J10" s="11">
        <v>15000</v>
      </c>
      <c r="AA10" s="11">
        <v>7500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6000</v>
      </c>
      <c r="N11" s="11">
        <v>4000</v>
      </c>
      <c r="X11" s="19">
        <v>2000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30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10000</v>
      </c>
      <c r="AB19" s="21"/>
      <c r="AD19" s="11">
        <v>10000</v>
      </c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3000</v>
      </c>
      <c r="R20" s="19">
        <v>3000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1500</v>
      </c>
      <c r="K21" s="11">
        <v>1500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6000</v>
      </c>
      <c r="K26" s="19">
        <v>6000</v>
      </c>
      <c r="AB26" s="21"/>
    </row>
    <row r="27" s="11" customFormat="1" spans="1:30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1500</v>
      </c>
      <c r="AB27" s="21"/>
      <c r="AD27" s="11">
        <v>1500</v>
      </c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15000</v>
      </c>
      <c r="K32" s="19">
        <v>15000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15000</v>
      </c>
      <c r="K33" s="11">
        <v>15000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3000</v>
      </c>
      <c r="Q34" s="11">
        <v>3000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7500</v>
      </c>
      <c r="K35" s="11">
        <v>7500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30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3000</v>
      </c>
      <c r="AB37" s="21"/>
      <c r="AD37" s="19">
        <v>3000</v>
      </c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7500</v>
      </c>
      <c r="K39" s="19">
        <v>7500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3000</v>
      </c>
      <c r="K42" s="11">
        <v>3000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1500</v>
      </c>
      <c r="Q43" s="11">
        <v>1500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3000</v>
      </c>
      <c r="K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15000</v>
      </c>
      <c r="K46" s="11">
        <v>10000</v>
      </c>
      <c r="M46" s="19">
        <v>5000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K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7500</v>
      </c>
      <c r="K49" s="11">
        <v>3000</v>
      </c>
      <c r="M49" s="19">
        <v>4500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4500</v>
      </c>
      <c r="AA50" s="11">
        <v>4500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7500</v>
      </c>
      <c r="K51" s="19">
        <v>7500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4500</v>
      </c>
      <c r="M52" s="11">
        <v>4500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4500</v>
      </c>
      <c r="K55" s="11">
        <v>4500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31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10500</v>
      </c>
      <c r="K58" s="11">
        <v>3000</v>
      </c>
      <c r="AB58" s="21"/>
      <c r="AE58" s="11">
        <v>7500</v>
      </c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3000</v>
      </c>
      <c r="K60" s="11">
        <v>3000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3000</v>
      </c>
      <c r="P61" s="19">
        <v>3000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3000</v>
      </c>
      <c r="Y62" s="19">
        <v>3000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3000</v>
      </c>
      <c r="Y64" s="11">
        <v>3000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1500</v>
      </c>
      <c r="Q70" s="11">
        <v>1500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31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10500</v>
      </c>
      <c r="M72" s="11">
        <v>7500</v>
      </c>
      <c r="AB72" s="21"/>
      <c r="AE72" s="11">
        <v>3000</v>
      </c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6000</v>
      </c>
      <c r="K73" s="11">
        <v>1500</v>
      </c>
      <c r="Q73" s="11">
        <v>4500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7500</v>
      </c>
      <c r="K78" s="11">
        <v>7500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107</v>
      </c>
      <c r="H80" s="10">
        <f t="shared" si="4"/>
        <v>15000</v>
      </c>
      <c r="P80" s="11">
        <v>1500</v>
      </c>
      <c r="R80" s="11">
        <v>3000</v>
      </c>
      <c r="S80" s="11">
        <v>4500</v>
      </c>
      <c r="X80" s="11">
        <v>3000</v>
      </c>
      <c r="Y80" s="11">
        <v>1500</v>
      </c>
      <c r="Z80" s="11">
        <v>1500</v>
      </c>
      <c r="AB80" s="21"/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3000</v>
      </c>
      <c r="U88" s="19">
        <v>3000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3000</v>
      </c>
      <c r="Z92" s="11">
        <v>3000</v>
      </c>
      <c r="AB92" s="21"/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D4" sqref="D4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12500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4500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2021-03-25T01:47:50Z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