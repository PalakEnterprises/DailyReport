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1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7000-Digital
8000-Cash</t>
        </r>
      </text>
    </comment>
    <comment ref="K3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10000-Digital
5000-Cash</t>
        </r>
      </text>
    </comment>
    <comment ref="M4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4000-Digital
1000-Cash</t>
        </r>
      </text>
    </comment>
    <comment ref="M4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4300-Digital
200-Cash</t>
        </r>
      </text>
    </comment>
  </commentList>
</comments>
</file>

<file path=xl/sharedStrings.xml><?xml version="1.0" encoding="utf-8"?>
<sst xmlns="http://schemas.openxmlformats.org/spreadsheetml/2006/main" count="651" uniqueCount="177">
  <si>
    <t>S.No.</t>
  </si>
  <si>
    <t>Alias Name</t>
  </si>
  <si>
    <t>Retailer Id</t>
  </si>
  <si>
    <t>Area</t>
  </si>
  <si>
    <t>Retailer Name</t>
  </si>
  <si>
    <t>Amount To be Collect</t>
  </si>
  <si>
    <t>Qty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</si>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</sst>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7" borderId="6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8" borderId="2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4" applyNumberForma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0" fillId="20" borderId="2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8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1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left" vertical="center"/>
    </xf>
    <xf numFmtId="178" fontId="1" fillId="9" borderId="0" xfId="0" applyNumberFormat="1" applyFont="1" applyFill="1" applyAlignment="1" applyProtection="1">
      <alignment horizontal="center" vertical="center"/>
    </xf>
    <xf numFmtId="0" fontId="1" fillId="11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14"/>
  <sheetViews>
    <sheetView workbookViewId="0">
      <pane xSplit="8" ySplit="2" topLeftCell="K3" activePane="bottomRight" state="frozen"/>
      <selection/>
      <selection pane="topRight"/>
      <selection pane="bottomLeft"/>
      <selection pane="bottomRight" activeCell="O16" sqref="O16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4.71428571428571" style="11" customWidth="1"/>
    <col min="8" max="8" width="11" style="11" customWidth="1"/>
    <col min="9" max="9" width="20" style="22" customWidth="1"/>
    <col min="10" max="16384" width="9.14285714285714" style="11"/>
  </cols>
  <sheetData>
    <row r="1" s="10" customFormat="1" spans="1:46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0" t="s">
        <v>8</v>
      </c>
      <c r="J1" s="31">
        <v>44256</v>
      </c>
      <c r="K1" s="31">
        <v>44257</v>
      </c>
      <c r="L1" s="31">
        <v>44258</v>
      </c>
      <c r="M1" s="31">
        <v>44259</v>
      </c>
      <c r="N1" s="31">
        <v>44260</v>
      </c>
      <c r="O1" s="31">
        <v>44261</v>
      </c>
      <c r="P1" s="31">
        <v>44262</v>
      </c>
      <c r="Q1" s="31">
        <v>44263</v>
      </c>
      <c r="R1" s="31">
        <v>44264</v>
      </c>
      <c r="S1" s="31">
        <v>44265</v>
      </c>
      <c r="T1" s="31">
        <v>44266</v>
      </c>
      <c r="U1" s="31">
        <v>44267</v>
      </c>
      <c r="V1" s="31">
        <v>44268</v>
      </c>
      <c r="W1" s="31">
        <v>44269</v>
      </c>
      <c r="X1" s="31">
        <v>44270</v>
      </c>
      <c r="Y1" s="31">
        <v>44271</v>
      </c>
      <c r="Z1" s="31">
        <v>44272</v>
      </c>
      <c r="AA1" s="31">
        <v>44273</v>
      </c>
      <c r="AB1" s="31">
        <v>44274</v>
      </c>
      <c r="AC1" s="31">
        <v>44275</v>
      </c>
      <c r="AD1" s="31">
        <v>44276</v>
      </c>
      <c r="AE1" s="31">
        <v>44277</v>
      </c>
      <c r="AF1" s="31">
        <v>44278</v>
      </c>
      <c r="AG1" s="31">
        <v>44279</v>
      </c>
      <c r="AH1" s="31">
        <v>44280</v>
      </c>
      <c r="AI1" s="31">
        <v>44281</v>
      </c>
      <c r="AJ1" s="31">
        <v>44282</v>
      </c>
      <c r="AK1" s="31">
        <v>44283</v>
      </c>
      <c r="AL1" s="31">
        <v>44284</v>
      </c>
      <c r="AM1" s="31">
        <v>44285</v>
      </c>
      <c r="AN1" s="31">
        <v>44286</v>
      </c>
      <c r="AO1" s="35"/>
      <c r="AP1" s="35"/>
      <c r="AQ1" s="35"/>
      <c r="AR1" s="35"/>
      <c r="AS1" s="35"/>
      <c r="AT1" s="35"/>
    </row>
    <row r="2" s="10" customFormat="1" spans="1:40">
      <c r="A2" s="13"/>
      <c r="B2" s="24">
        <f>SUM(F3:F121)</f>
        <v>256500</v>
      </c>
      <c r="D2" s="14">
        <f>SUM(H3:H121)</f>
        <v>256500</v>
      </c>
      <c r="E2" s="15" t="s">
        <v>9</v>
      </c>
      <c r="F2" s="25">
        <f>H2+I2</f>
        <v>256500</v>
      </c>
      <c r="G2" s="25">
        <f>H2/1500</f>
        <v>171</v>
      </c>
      <c r="H2" s="14">
        <f>SUM(J2:AN2)</f>
        <v>256500</v>
      </c>
      <c r="I2" s="32">
        <f>SUM(I3:I121)</f>
        <v>0</v>
      </c>
      <c r="J2" s="10">
        <f>SUM(J3:J121)</f>
        <v>0</v>
      </c>
      <c r="K2" s="10">
        <f t="shared" ref="K2:AN2" si="0">SUM(K3:K121)</f>
        <v>120000</v>
      </c>
      <c r="L2" s="10">
        <f t="shared" si="0"/>
        <v>105000</v>
      </c>
      <c r="M2" s="10">
        <f t="shared" si="0"/>
        <v>6000</v>
      </c>
      <c r="N2" s="10">
        <f t="shared" si="0"/>
        <v>19500</v>
      </c>
      <c r="O2" s="10">
        <f t="shared" si="0"/>
        <v>6000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0">
        <f t="shared" si="0"/>
        <v>0</v>
      </c>
      <c r="AH2" s="10">
        <f t="shared" si="0"/>
        <v>0</v>
      </c>
      <c r="AI2" s="10">
        <f t="shared" si="0"/>
        <v>0</v>
      </c>
      <c r="AJ2" s="10">
        <f t="shared" si="0"/>
        <v>0</v>
      </c>
      <c r="AK2" s="10">
        <f t="shared" si="0"/>
        <v>0</v>
      </c>
      <c r="AL2" s="10">
        <f t="shared" si="0"/>
        <v>0</v>
      </c>
      <c r="AM2" s="10">
        <f t="shared" si="0"/>
        <v>0</v>
      </c>
      <c r="AN2" s="10">
        <f t="shared" si="0"/>
        <v>0</v>
      </c>
    </row>
    <row r="3" s="11" customFormat="1" spans="1:11">
      <c r="A3" s="11">
        <v>1</v>
      </c>
      <c r="D3" s="11" t="s">
        <v>10</v>
      </c>
      <c r="E3" s="17" t="s">
        <v>11</v>
      </c>
      <c r="F3" s="10">
        <f t="shared" ref="F3:F34" si="1">H3+I3</f>
        <v>15000</v>
      </c>
      <c r="G3" s="10">
        <f t="shared" ref="G3:G34" si="2">H3/1500</f>
        <v>10</v>
      </c>
      <c r="H3" s="10">
        <f>SUM(J3:AN3)</f>
        <v>15000</v>
      </c>
      <c r="I3" s="33"/>
      <c r="K3" s="11">
        <f>10*1500</f>
        <v>15000</v>
      </c>
    </row>
    <row r="4" s="11" customFormat="1" spans="1:9">
      <c r="A4" s="11">
        <v>2</v>
      </c>
      <c r="D4" s="11" t="s">
        <v>10</v>
      </c>
      <c r="E4" s="17" t="s">
        <v>12</v>
      </c>
      <c r="F4" s="10">
        <f t="shared" si="1"/>
        <v>0</v>
      </c>
      <c r="G4" s="10">
        <f t="shared" si="2"/>
        <v>0</v>
      </c>
      <c r="H4" s="10">
        <f t="shared" ref="H4:H35" si="3">SUM(J4:AN4)</f>
        <v>0</v>
      </c>
      <c r="I4" s="33"/>
    </row>
    <row r="5" s="11" customFormat="1" spans="1:9">
      <c r="A5" s="11">
        <v>3</v>
      </c>
      <c r="B5" s="11" t="s">
        <v>13</v>
      </c>
      <c r="D5" s="11" t="s">
        <v>10</v>
      </c>
      <c r="E5" s="17" t="s">
        <v>14</v>
      </c>
      <c r="F5" s="10">
        <f t="shared" si="1"/>
        <v>0</v>
      </c>
      <c r="G5" s="10">
        <f t="shared" si="2"/>
        <v>0</v>
      </c>
      <c r="H5" s="10">
        <f t="shared" si="3"/>
        <v>0</v>
      </c>
      <c r="I5" s="33"/>
    </row>
    <row r="6" s="11" customFormat="1" spans="1:13">
      <c r="A6" s="11">
        <v>4</v>
      </c>
      <c r="B6" s="11" t="s">
        <v>15</v>
      </c>
      <c r="D6" s="11" t="s">
        <v>10</v>
      </c>
      <c r="E6" s="17" t="s">
        <v>16</v>
      </c>
      <c r="F6" s="10">
        <f t="shared" si="1"/>
        <v>13500</v>
      </c>
      <c r="G6" s="10">
        <f t="shared" si="2"/>
        <v>9</v>
      </c>
      <c r="H6" s="10">
        <f t="shared" si="3"/>
        <v>13500</v>
      </c>
      <c r="I6" s="33"/>
      <c r="K6" s="11">
        <f>5*1500</f>
        <v>7500</v>
      </c>
      <c r="M6" s="11">
        <f>4*1500</f>
        <v>6000</v>
      </c>
    </row>
    <row r="7" s="11" customFormat="1" spans="1:9">
      <c r="A7" s="11">
        <v>5</v>
      </c>
      <c r="B7" s="11" t="s">
        <v>17</v>
      </c>
      <c r="D7" s="11" t="s">
        <v>10</v>
      </c>
      <c r="E7" s="17" t="s">
        <v>18</v>
      </c>
      <c r="F7" s="10">
        <f t="shared" si="1"/>
        <v>0</v>
      </c>
      <c r="G7" s="10">
        <f t="shared" si="2"/>
        <v>0</v>
      </c>
      <c r="H7" s="10">
        <f t="shared" si="3"/>
        <v>0</v>
      </c>
      <c r="I7" s="33"/>
    </row>
    <row r="8" s="11" customFormat="1" spans="1:11">
      <c r="A8" s="11">
        <v>6</v>
      </c>
      <c r="B8" s="11" t="s">
        <v>19</v>
      </c>
      <c r="D8" s="11" t="s">
        <v>10</v>
      </c>
      <c r="E8" s="17" t="s">
        <v>20</v>
      </c>
      <c r="F8" s="10">
        <f t="shared" si="1"/>
        <v>7500</v>
      </c>
      <c r="G8" s="10">
        <f t="shared" si="2"/>
        <v>5</v>
      </c>
      <c r="H8" s="10">
        <f t="shared" si="3"/>
        <v>7500</v>
      </c>
      <c r="I8" s="33"/>
      <c r="K8" s="11">
        <f>5*1500</f>
        <v>7500</v>
      </c>
    </row>
    <row r="9" s="11" customFormat="1" spans="1:9">
      <c r="A9" s="11">
        <v>7</v>
      </c>
      <c r="D9" s="11" t="s">
        <v>10</v>
      </c>
      <c r="E9" s="17" t="s">
        <v>21</v>
      </c>
      <c r="F9" s="10">
        <f t="shared" si="1"/>
        <v>0</v>
      </c>
      <c r="G9" s="10">
        <f t="shared" si="2"/>
        <v>0</v>
      </c>
      <c r="H9" s="10">
        <f t="shared" si="3"/>
        <v>0</v>
      </c>
      <c r="I9" s="33"/>
    </row>
    <row r="10" s="11" customFormat="1" spans="1:11">
      <c r="A10" s="11">
        <v>8</v>
      </c>
      <c r="B10" s="11" t="s">
        <v>22</v>
      </c>
      <c r="D10" s="11" t="s">
        <v>10</v>
      </c>
      <c r="E10" s="17" t="s">
        <v>23</v>
      </c>
      <c r="F10" s="10">
        <f t="shared" si="1"/>
        <v>15000</v>
      </c>
      <c r="G10" s="10">
        <f t="shared" si="2"/>
        <v>10</v>
      </c>
      <c r="H10" s="10">
        <f t="shared" si="3"/>
        <v>15000</v>
      </c>
      <c r="I10" s="33"/>
      <c r="K10" s="11">
        <f>10*1500</f>
        <v>15000</v>
      </c>
    </row>
    <row r="11" s="11" customFormat="1" spans="1:15">
      <c r="A11" s="11">
        <v>9</v>
      </c>
      <c r="D11" s="11" t="s">
        <v>24</v>
      </c>
      <c r="E11" s="17" t="s">
        <v>25</v>
      </c>
      <c r="F11" s="10">
        <f t="shared" si="1"/>
        <v>6000</v>
      </c>
      <c r="G11" s="10">
        <f t="shared" si="2"/>
        <v>4</v>
      </c>
      <c r="H11" s="10">
        <f t="shared" si="3"/>
        <v>6000</v>
      </c>
      <c r="I11" s="33"/>
      <c r="O11" s="11">
        <f>4*1500</f>
        <v>6000</v>
      </c>
    </row>
    <row r="12" s="11" customFormat="1" spans="1:9">
      <c r="A12" s="11">
        <v>10</v>
      </c>
      <c r="D12" s="11" t="s">
        <v>24</v>
      </c>
      <c r="E12" s="17" t="s">
        <v>26</v>
      </c>
      <c r="F12" s="10">
        <f t="shared" si="1"/>
        <v>0</v>
      </c>
      <c r="G12" s="10">
        <f t="shared" si="2"/>
        <v>0</v>
      </c>
      <c r="H12" s="10">
        <f t="shared" si="3"/>
        <v>0</v>
      </c>
      <c r="I12" s="33"/>
    </row>
    <row r="13" s="11" customFormat="1" spans="1:11">
      <c r="A13" s="11">
        <v>11</v>
      </c>
      <c r="D13" s="11" t="s">
        <v>24</v>
      </c>
      <c r="E13" s="17" t="s">
        <v>27</v>
      </c>
      <c r="F13" s="10">
        <f t="shared" si="1"/>
        <v>15000</v>
      </c>
      <c r="G13" s="10">
        <f t="shared" si="2"/>
        <v>10</v>
      </c>
      <c r="H13" s="10">
        <f t="shared" si="3"/>
        <v>15000</v>
      </c>
      <c r="I13" s="33"/>
      <c r="K13" s="11">
        <f>10*1500</f>
        <v>15000</v>
      </c>
    </row>
    <row r="14" s="11" customFormat="1" spans="1:9">
      <c r="A14" s="11">
        <v>12</v>
      </c>
      <c r="D14" s="11" t="s">
        <v>24</v>
      </c>
      <c r="E14" s="17" t="s">
        <v>28</v>
      </c>
      <c r="F14" s="10">
        <f t="shared" si="1"/>
        <v>0</v>
      </c>
      <c r="G14" s="10">
        <f t="shared" si="2"/>
        <v>0</v>
      </c>
      <c r="H14" s="10">
        <f t="shared" si="3"/>
        <v>0</v>
      </c>
      <c r="I14" s="33"/>
    </row>
    <row r="15" s="11" customFormat="1" spans="1:9">
      <c r="A15" s="11">
        <v>13</v>
      </c>
      <c r="B15" s="11" t="s">
        <v>29</v>
      </c>
      <c r="D15" s="11" t="s">
        <v>24</v>
      </c>
      <c r="E15" s="17" t="s">
        <v>30</v>
      </c>
      <c r="F15" s="10">
        <f t="shared" si="1"/>
        <v>0</v>
      </c>
      <c r="G15" s="10">
        <f t="shared" si="2"/>
        <v>0</v>
      </c>
      <c r="H15" s="10">
        <f t="shared" si="3"/>
        <v>0</v>
      </c>
      <c r="I15" s="33"/>
    </row>
    <row r="16" s="11" customFormat="1" spans="1:9">
      <c r="A16" s="11">
        <v>14</v>
      </c>
      <c r="D16" s="11" t="s">
        <v>24</v>
      </c>
      <c r="E16" s="17" t="s">
        <v>31</v>
      </c>
      <c r="F16" s="10">
        <f t="shared" si="1"/>
        <v>0</v>
      </c>
      <c r="G16" s="10">
        <f t="shared" si="2"/>
        <v>0</v>
      </c>
      <c r="H16" s="10">
        <f t="shared" si="3"/>
        <v>0</v>
      </c>
      <c r="I16" s="33"/>
    </row>
    <row r="17" s="11" customFormat="1" spans="1:9">
      <c r="A17" s="11">
        <v>15</v>
      </c>
      <c r="B17" s="26" t="s">
        <v>32</v>
      </c>
      <c r="D17" s="11" t="s">
        <v>24</v>
      </c>
      <c r="E17" s="17" t="s">
        <v>33</v>
      </c>
      <c r="F17" s="10">
        <f t="shared" si="1"/>
        <v>0</v>
      </c>
      <c r="G17" s="10">
        <f t="shared" si="2"/>
        <v>0</v>
      </c>
      <c r="H17" s="10">
        <f t="shared" si="3"/>
        <v>0</v>
      </c>
      <c r="I17" s="33"/>
    </row>
    <row r="18" s="11" customFormat="1" spans="1:28">
      <c r="A18" s="11">
        <v>16</v>
      </c>
      <c r="B18" s="27" t="s">
        <v>34</v>
      </c>
      <c r="C18" s="11">
        <v>683909556</v>
      </c>
      <c r="D18" s="11" t="s">
        <v>24</v>
      </c>
      <c r="E18" s="28" t="s">
        <v>35</v>
      </c>
      <c r="F18" s="10">
        <f t="shared" si="1"/>
        <v>0</v>
      </c>
      <c r="G18" s="10">
        <f t="shared" si="2"/>
        <v>0</v>
      </c>
      <c r="H18" s="10">
        <f t="shared" si="3"/>
        <v>0</v>
      </c>
      <c r="I18" s="33"/>
      <c r="J18" s="34"/>
      <c r="K18" s="34"/>
      <c r="L18" s="34"/>
      <c r="M18" s="34"/>
      <c r="N18" s="29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29"/>
      <c r="Z18" s="34"/>
      <c r="AA18" s="34"/>
      <c r="AB18" s="34"/>
    </row>
    <row r="19" s="11" customFormat="1" spans="1:11">
      <c r="A19" s="11">
        <v>17</v>
      </c>
      <c r="D19" s="11" t="s">
        <v>24</v>
      </c>
      <c r="E19" s="17" t="s">
        <v>36</v>
      </c>
      <c r="F19" s="10">
        <f t="shared" si="1"/>
        <v>15000</v>
      </c>
      <c r="G19" s="10">
        <f t="shared" si="2"/>
        <v>10</v>
      </c>
      <c r="H19" s="10">
        <f t="shared" si="3"/>
        <v>15000</v>
      </c>
      <c r="I19" s="33"/>
      <c r="K19" s="11">
        <f>10*1500</f>
        <v>15000</v>
      </c>
    </row>
    <row r="20" s="11" customFormat="1" spans="1:14">
      <c r="A20" s="11">
        <v>18</v>
      </c>
      <c r="D20" s="11" t="s">
        <v>37</v>
      </c>
      <c r="E20" s="17" t="s">
        <v>38</v>
      </c>
      <c r="F20" s="10">
        <f t="shared" si="1"/>
        <v>3000</v>
      </c>
      <c r="G20" s="10">
        <f t="shared" si="2"/>
        <v>2</v>
      </c>
      <c r="H20" s="10">
        <f t="shared" si="3"/>
        <v>3000</v>
      </c>
      <c r="I20" s="33"/>
      <c r="N20" s="11">
        <f>2*1500</f>
        <v>3000</v>
      </c>
    </row>
    <row r="21" s="11" customFormat="1" spans="1:12">
      <c r="A21" s="11">
        <v>19</v>
      </c>
      <c r="D21" s="11" t="s">
        <v>37</v>
      </c>
      <c r="E21" s="17" t="s">
        <v>39</v>
      </c>
      <c r="F21" s="10">
        <f t="shared" si="1"/>
        <v>1500</v>
      </c>
      <c r="G21" s="10">
        <f t="shared" si="2"/>
        <v>1</v>
      </c>
      <c r="H21" s="10">
        <f t="shared" si="3"/>
        <v>1500</v>
      </c>
      <c r="I21" s="33"/>
      <c r="L21" s="11">
        <f>1*1500</f>
        <v>1500</v>
      </c>
    </row>
    <row r="22" s="11" customFormat="1" spans="1:9">
      <c r="A22" s="11">
        <v>20</v>
      </c>
      <c r="D22" s="11" t="s">
        <v>37</v>
      </c>
      <c r="E22" s="17" t="s">
        <v>40</v>
      </c>
      <c r="F22" s="10">
        <f t="shared" si="1"/>
        <v>0</v>
      </c>
      <c r="G22" s="10">
        <f t="shared" si="2"/>
        <v>0</v>
      </c>
      <c r="H22" s="10">
        <f t="shared" si="3"/>
        <v>0</v>
      </c>
      <c r="I22" s="33"/>
    </row>
    <row r="23" s="11" customFormat="1" spans="1:11">
      <c r="A23" s="11">
        <v>21</v>
      </c>
      <c r="D23" s="11" t="s">
        <v>37</v>
      </c>
      <c r="E23" s="17" t="s">
        <v>41</v>
      </c>
      <c r="F23" s="10">
        <f t="shared" si="1"/>
        <v>22500</v>
      </c>
      <c r="G23" s="10">
        <f t="shared" si="2"/>
        <v>15</v>
      </c>
      <c r="H23" s="10">
        <f t="shared" si="3"/>
        <v>22500</v>
      </c>
      <c r="I23" s="33"/>
      <c r="K23" s="11">
        <f>15*1500</f>
        <v>22500</v>
      </c>
    </row>
    <row r="24" s="11" customFormat="1" spans="1:9">
      <c r="A24" s="11">
        <v>22</v>
      </c>
      <c r="D24" s="11" t="s">
        <v>37</v>
      </c>
      <c r="E24" s="17" t="s">
        <v>42</v>
      </c>
      <c r="F24" s="10">
        <f t="shared" si="1"/>
        <v>0</v>
      </c>
      <c r="G24" s="10">
        <f t="shared" si="2"/>
        <v>0</v>
      </c>
      <c r="H24" s="10">
        <f t="shared" si="3"/>
        <v>0</v>
      </c>
      <c r="I24" s="33"/>
    </row>
    <row r="25" s="11" customFormat="1" spans="1:11">
      <c r="A25" s="11">
        <v>23</v>
      </c>
      <c r="D25" s="11" t="s">
        <v>37</v>
      </c>
      <c r="E25" s="17" t="s">
        <v>43</v>
      </c>
      <c r="F25" s="10">
        <f t="shared" si="1"/>
        <v>3000</v>
      </c>
      <c r="G25" s="10">
        <f t="shared" si="2"/>
        <v>2</v>
      </c>
      <c r="H25" s="10">
        <f t="shared" si="3"/>
        <v>3000</v>
      </c>
      <c r="I25" s="33"/>
      <c r="K25" s="11">
        <f>2*1500</f>
        <v>3000</v>
      </c>
    </row>
    <row r="26" s="11" customFormat="1" spans="1:12">
      <c r="A26" s="11">
        <v>24</v>
      </c>
      <c r="D26" s="11" t="s">
        <v>37</v>
      </c>
      <c r="E26" s="17" t="s">
        <v>44</v>
      </c>
      <c r="F26" s="10">
        <f t="shared" si="1"/>
        <v>6000</v>
      </c>
      <c r="G26" s="10">
        <f t="shared" si="2"/>
        <v>4</v>
      </c>
      <c r="H26" s="10">
        <f t="shared" si="3"/>
        <v>6000</v>
      </c>
      <c r="I26" s="33"/>
      <c r="L26" s="11">
        <f>4*1500</f>
        <v>6000</v>
      </c>
    </row>
    <row r="27" s="11" customFormat="1" spans="1:12">
      <c r="A27" s="11">
        <v>25</v>
      </c>
      <c r="D27" s="11" t="s">
        <v>37</v>
      </c>
      <c r="E27" s="17" t="s">
        <v>45</v>
      </c>
      <c r="F27" s="10">
        <f t="shared" si="1"/>
        <v>7500</v>
      </c>
      <c r="G27" s="10">
        <f t="shared" si="2"/>
        <v>5</v>
      </c>
      <c r="H27" s="10">
        <f t="shared" si="3"/>
        <v>7500</v>
      </c>
      <c r="I27" s="33"/>
      <c r="L27" s="11">
        <f>5*1500</f>
        <v>7500</v>
      </c>
    </row>
    <row r="28" s="11" customFormat="1" spans="1:9">
      <c r="A28" s="11">
        <v>26</v>
      </c>
      <c r="D28" s="11" t="s">
        <v>37</v>
      </c>
      <c r="E28" s="17" t="s">
        <v>46</v>
      </c>
      <c r="F28" s="10">
        <f t="shared" si="1"/>
        <v>0</v>
      </c>
      <c r="G28" s="10">
        <f t="shared" si="2"/>
        <v>0</v>
      </c>
      <c r="H28" s="10">
        <f t="shared" si="3"/>
        <v>0</v>
      </c>
      <c r="I28" s="33"/>
    </row>
    <row r="29" s="11" customFormat="1" spans="1:9">
      <c r="A29" s="11">
        <v>27</v>
      </c>
      <c r="D29" s="11" t="s">
        <v>37</v>
      </c>
      <c r="E29" s="17" t="s">
        <v>47</v>
      </c>
      <c r="F29" s="10">
        <f t="shared" si="1"/>
        <v>0</v>
      </c>
      <c r="G29" s="10">
        <f t="shared" si="2"/>
        <v>0</v>
      </c>
      <c r="H29" s="10">
        <f t="shared" si="3"/>
        <v>0</v>
      </c>
      <c r="I29" s="33"/>
    </row>
    <row r="30" s="11" customFormat="1" spans="1:9">
      <c r="A30" s="11">
        <v>28</v>
      </c>
      <c r="D30" s="11" t="s">
        <v>37</v>
      </c>
      <c r="E30" s="17" t="s">
        <v>48</v>
      </c>
      <c r="F30" s="10">
        <f t="shared" si="1"/>
        <v>0</v>
      </c>
      <c r="G30" s="10">
        <f t="shared" si="2"/>
        <v>0</v>
      </c>
      <c r="H30" s="10">
        <f t="shared" si="3"/>
        <v>0</v>
      </c>
      <c r="I30" s="33"/>
    </row>
    <row r="31" s="11" customFormat="1" spans="1:11">
      <c r="A31" s="11">
        <v>29</v>
      </c>
      <c r="D31" s="11" t="s">
        <v>37</v>
      </c>
      <c r="E31" s="17" t="s">
        <v>49</v>
      </c>
      <c r="F31" s="10">
        <f t="shared" si="1"/>
        <v>4500</v>
      </c>
      <c r="G31" s="10">
        <f t="shared" si="2"/>
        <v>3</v>
      </c>
      <c r="H31" s="10">
        <f t="shared" si="3"/>
        <v>4500</v>
      </c>
      <c r="I31" s="33"/>
      <c r="K31" s="11">
        <f>3*1500</f>
        <v>4500</v>
      </c>
    </row>
    <row r="32" s="11" customFormat="1" spans="1:12">
      <c r="A32" s="11">
        <v>30</v>
      </c>
      <c r="D32" s="11" t="s">
        <v>37</v>
      </c>
      <c r="E32" s="17" t="s">
        <v>50</v>
      </c>
      <c r="F32" s="10">
        <f t="shared" si="1"/>
        <v>15000</v>
      </c>
      <c r="G32" s="10">
        <f t="shared" si="2"/>
        <v>10</v>
      </c>
      <c r="H32" s="10">
        <f t="shared" si="3"/>
        <v>15000</v>
      </c>
      <c r="I32" s="33"/>
      <c r="L32" s="11">
        <f>10*1500</f>
        <v>15000</v>
      </c>
    </row>
    <row r="33" s="11" customFormat="1" spans="1:11">
      <c r="A33" s="11">
        <v>31</v>
      </c>
      <c r="D33" s="11" t="s">
        <v>37</v>
      </c>
      <c r="E33" s="17" t="s">
        <v>51</v>
      </c>
      <c r="F33" s="10">
        <f t="shared" si="1"/>
        <v>15000</v>
      </c>
      <c r="G33" s="10">
        <f t="shared" si="2"/>
        <v>10</v>
      </c>
      <c r="H33" s="10">
        <f t="shared" si="3"/>
        <v>15000</v>
      </c>
      <c r="I33" s="33"/>
      <c r="K33" s="11">
        <f>10*1500</f>
        <v>15000</v>
      </c>
    </row>
    <row r="34" s="11" customFormat="1" spans="1:9">
      <c r="A34" s="11">
        <v>32</v>
      </c>
      <c r="D34" s="11" t="s">
        <v>52</v>
      </c>
      <c r="E34" s="17" t="s">
        <v>53</v>
      </c>
      <c r="F34" s="10">
        <f t="shared" si="1"/>
        <v>0</v>
      </c>
      <c r="G34" s="10">
        <f t="shared" si="2"/>
        <v>0</v>
      </c>
      <c r="H34" s="10">
        <f t="shared" si="3"/>
        <v>0</v>
      </c>
      <c r="I34" s="33"/>
    </row>
    <row r="35" s="11" customFormat="1" spans="1:12">
      <c r="A35" s="11">
        <v>33</v>
      </c>
      <c r="D35" s="11" t="s">
        <v>52</v>
      </c>
      <c r="E35" s="17" t="s">
        <v>54</v>
      </c>
      <c r="F35" s="10">
        <f t="shared" ref="F35:F66" si="4">H35+I35</f>
        <v>7500</v>
      </c>
      <c r="G35" s="10">
        <f t="shared" ref="G35:G66" si="5">H35/1500</f>
        <v>5</v>
      </c>
      <c r="H35" s="10">
        <f t="shared" si="3"/>
        <v>7500</v>
      </c>
      <c r="I35" s="33"/>
      <c r="L35" s="11">
        <f>5*1500</f>
        <v>7500</v>
      </c>
    </row>
    <row r="36" s="11" customFormat="1" spans="1:9">
      <c r="A36" s="11">
        <v>34</v>
      </c>
      <c r="D36" s="11" t="s">
        <v>52</v>
      </c>
      <c r="E36" s="17" t="s">
        <v>55</v>
      </c>
      <c r="F36" s="10">
        <f t="shared" si="4"/>
        <v>0</v>
      </c>
      <c r="G36" s="10">
        <f t="shared" si="5"/>
        <v>0</v>
      </c>
      <c r="H36" s="10">
        <f t="shared" ref="H36:H67" si="6">SUM(J36:AN36)</f>
        <v>0</v>
      </c>
      <c r="I36" s="33"/>
    </row>
    <row r="37" s="11" customFormat="1" spans="1:9">
      <c r="A37" s="11">
        <v>35</v>
      </c>
      <c r="D37" s="11" t="s">
        <v>52</v>
      </c>
      <c r="E37" s="17" t="s">
        <v>56</v>
      </c>
      <c r="F37" s="10">
        <f t="shared" si="4"/>
        <v>0</v>
      </c>
      <c r="G37" s="10">
        <f t="shared" si="5"/>
        <v>0</v>
      </c>
      <c r="H37" s="10">
        <f t="shared" si="6"/>
        <v>0</v>
      </c>
      <c r="I37" s="33"/>
    </row>
    <row r="38" s="11" customFormat="1" spans="1:9">
      <c r="A38" s="11">
        <v>36</v>
      </c>
      <c r="D38" s="11" t="s">
        <v>52</v>
      </c>
      <c r="E38" s="17" t="s">
        <v>57</v>
      </c>
      <c r="F38" s="10">
        <f t="shared" si="4"/>
        <v>0</v>
      </c>
      <c r="G38" s="10">
        <f t="shared" si="5"/>
        <v>0</v>
      </c>
      <c r="H38" s="10">
        <f t="shared" si="6"/>
        <v>0</v>
      </c>
      <c r="I38" s="33"/>
    </row>
    <row r="39" s="11" customFormat="1" spans="1:12">
      <c r="A39" s="11">
        <v>37</v>
      </c>
      <c r="D39" s="11" t="s">
        <v>52</v>
      </c>
      <c r="E39" s="17" t="s">
        <v>58</v>
      </c>
      <c r="F39" s="10">
        <f t="shared" si="4"/>
        <v>7500</v>
      </c>
      <c r="G39" s="10">
        <f t="shared" si="5"/>
        <v>5</v>
      </c>
      <c r="H39" s="10">
        <f t="shared" si="6"/>
        <v>7500</v>
      </c>
      <c r="I39" s="33"/>
      <c r="L39" s="11">
        <f>5*1500</f>
        <v>7500</v>
      </c>
    </row>
    <row r="40" s="11" customFormat="1" spans="1:9">
      <c r="A40" s="11">
        <v>38</v>
      </c>
      <c r="C40" s="11">
        <v>684087396</v>
      </c>
      <c r="D40" s="11" t="s">
        <v>52</v>
      </c>
      <c r="E40" s="17" t="s">
        <v>59</v>
      </c>
      <c r="F40" s="10">
        <f t="shared" si="4"/>
        <v>0</v>
      </c>
      <c r="G40" s="10">
        <f t="shared" si="5"/>
        <v>0</v>
      </c>
      <c r="H40" s="10">
        <f t="shared" si="6"/>
        <v>0</v>
      </c>
      <c r="I40" s="33"/>
    </row>
    <row r="41" s="11" customFormat="1" spans="1:9">
      <c r="A41" s="11">
        <v>39</v>
      </c>
      <c r="D41" s="11" t="s">
        <v>52</v>
      </c>
      <c r="E41" s="17" t="s">
        <v>60</v>
      </c>
      <c r="F41" s="10">
        <f t="shared" si="4"/>
        <v>0</v>
      </c>
      <c r="G41" s="10">
        <f t="shared" si="5"/>
        <v>0</v>
      </c>
      <c r="H41" s="10">
        <f t="shared" si="6"/>
        <v>0</v>
      </c>
      <c r="I41" s="33"/>
    </row>
    <row r="42" s="11" customFormat="1" spans="1:12">
      <c r="A42" s="11">
        <v>40</v>
      </c>
      <c r="D42" s="11" t="s">
        <v>52</v>
      </c>
      <c r="E42" s="17" t="s">
        <v>61</v>
      </c>
      <c r="F42" s="10">
        <f t="shared" si="4"/>
        <v>3000</v>
      </c>
      <c r="G42" s="10">
        <f t="shared" si="5"/>
        <v>2</v>
      </c>
      <c r="H42" s="10">
        <f t="shared" si="6"/>
        <v>3000</v>
      </c>
      <c r="I42" s="33"/>
      <c r="L42" s="11">
        <f>2*1500</f>
        <v>3000</v>
      </c>
    </row>
    <row r="43" s="11" customFormat="1" spans="1:9">
      <c r="A43" s="11">
        <v>41</v>
      </c>
      <c r="D43" s="11" t="s">
        <v>52</v>
      </c>
      <c r="E43" s="17" t="s">
        <v>62</v>
      </c>
      <c r="F43" s="10">
        <f t="shared" si="4"/>
        <v>0</v>
      </c>
      <c r="G43" s="10">
        <f t="shared" si="5"/>
        <v>0</v>
      </c>
      <c r="H43" s="10">
        <f t="shared" si="6"/>
        <v>0</v>
      </c>
      <c r="I43" s="33"/>
    </row>
    <row r="44" s="11" customFormat="1" spans="1:9">
      <c r="A44" s="11">
        <v>42</v>
      </c>
      <c r="D44" s="11" t="s">
        <v>52</v>
      </c>
      <c r="E44" s="17" t="s">
        <v>63</v>
      </c>
      <c r="F44" s="10">
        <f t="shared" si="4"/>
        <v>0</v>
      </c>
      <c r="G44" s="10">
        <f t="shared" si="5"/>
        <v>0</v>
      </c>
      <c r="H44" s="10">
        <f t="shared" si="6"/>
        <v>0</v>
      </c>
      <c r="I44" s="33"/>
    </row>
    <row r="45" s="11" customFormat="1" spans="1:12">
      <c r="A45" s="11">
        <v>43</v>
      </c>
      <c r="D45" s="11" t="s">
        <v>52</v>
      </c>
      <c r="E45" s="17" t="s">
        <v>64</v>
      </c>
      <c r="F45" s="10">
        <f t="shared" si="4"/>
        <v>3000</v>
      </c>
      <c r="G45" s="10">
        <f t="shared" si="5"/>
        <v>2</v>
      </c>
      <c r="H45" s="10">
        <f t="shared" si="6"/>
        <v>3000</v>
      </c>
      <c r="I45" s="33"/>
      <c r="L45" s="11">
        <f>2*1500</f>
        <v>3000</v>
      </c>
    </row>
    <row r="46" s="11" customFormat="1" spans="1:12">
      <c r="A46" s="11">
        <v>44</v>
      </c>
      <c r="D46" s="11" t="s">
        <v>65</v>
      </c>
      <c r="E46" s="17" t="s">
        <v>66</v>
      </c>
      <c r="F46" s="10">
        <f t="shared" si="4"/>
        <v>15000</v>
      </c>
      <c r="G46" s="10">
        <f t="shared" si="5"/>
        <v>10</v>
      </c>
      <c r="H46" s="10">
        <f t="shared" si="6"/>
        <v>15000</v>
      </c>
      <c r="I46" s="33"/>
      <c r="L46" s="11">
        <f>10*1500</f>
        <v>15000</v>
      </c>
    </row>
    <row r="47" s="11" customFormat="1" spans="1:12">
      <c r="A47" s="11">
        <v>45</v>
      </c>
      <c r="D47" s="11" t="s">
        <v>65</v>
      </c>
      <c r="E47" s="17" t="s">
        <v>67</v>
      </c>
      <c r="F47" s="10">
        <f t="shared" si="4"/>
        <v>3000</v>
      </c>
      <c r="G47" s="10">
        <f t="shared" si="5"/>
        <v>2</v>
      </c>
      <c r="H47" s="10">
        <f t="shared" si="6"/>
        <v>3000</v>
      </c>
      <c r="I47" s="33"/>
      <c r="L47" s="11">
        <f>2*1500</f>
        <v>3000</v>
      </c>
    </row>
    <row r="48" s="11" customFormat="1" spans="1:9">
      <c r="A48" s="11">
        <v>46</v>
      </c>
      <c r="D48" s="11" t="s">
        <v>65</v>
      </c>
      <c r="E48" s="17" t="s">
        <v>68</v>
      </c>
      <c r="F48" s="10">
        <f t="shared" si="4"/>
        <v>0</v>
      </c>
      <c r="G48" s="10">
        <f t="shared" si="5"/>
        <v>0</v>
      </c>
      <c r="H48" s="10">
        <f t="shared" si="6"/>
        <v>0</v>
      </c>
      <c r="I48" s="33"/>
    </row>
    <row r="49" s="11" customFormat="1" spans="1:14">
      <c r="A49" s="11">
        <v>47</v>
      </c>
      <c r="D49" s="11" t="s">
        <v>65</v>
      </c>
      <c r="E49" s="17" t="s">
        <v>69</v>
      </c>
      <c r="F49" s="10">
        <f t="shared" si="4"/>
        <v>7500</v>
      </c>
      <c r="G49" s="10">
        <f t="shared" si="5"/>
        <v>5</v>
      </c>
      <c r="H49" s="10">
        <f t="shared" si="6"/>
        <v>7500</v>
      </c>
      <c r="I49" s="33"/>
      <c r="L49" s="11">
        <f>2*1500</f>
        <v>3000</v>
      </c>
      <c r="N49" s="11">
        <f>3*1500</f>
        <v>4500</v>
      </c>
    </row>
    <row r="50" s="11" customFormat="1" spans="1:9">
      <c r="A50" s="11">
        <v>48</v>
      </c>
      <c r="D50" s="11" t="s">
        <v>65</v>
      </c>
      <c r="E50" s="17" t="s">
        <v>70</v>
      </c>
      <c r="F50" s="10">
        <f t="shared" si="4"/>
        <v>0</v>
      </c>
      <c r="G50" s="10">
        <f t="shared" si="5"/>
        <v>0</v>
      </c>
      <c r="H50" s="10">
        <f t="shared" si="6"/>
        <v>0</v>
      </c>
      <c r="I50" s="33"/>
    </row>
    <row r="51" s="11" customFormat="1" spans="1:12">
      <c r="A51" s="11">
        <v>49</v>
      </c>
      <c r="D51" s="11" t="s">
        <v>65</v>
      </c>
      <c r="E51" s="17" t="s">
        <v>71</v>
      </c>
      <c r="F51" s="10">
        <f t="shared" si="4"/>
        <v>7500</v>
      </c>
      <c r="G51" s="10">
        <f t="shared" si="5"/>
        <v>5</v>
      </c>
      <c r="H51" s="10">
        <f t="shared" si="6"/>
        <v>7500</v>
      </c>
      <c r="I51" s="33"/>
      <c r="L51" s="11">
        <f>5*1500</f>
        <v>7500</v>
      </c>
    </row>
    <row r="52" s="11" customFormat="1" spans="1:14">
      <c r="A52" s="11">
        <v>50</v>
      </c>
      <c r="D52" s="11" t="s">
        <v>65</v>
      </c>
      <c r="E52" s="17" t="s">
        <v>72</v>
      </c>
      <c r="F52" s="10">
        <f t="shared" si="4"/>
        <v>4500</v>
      </c>
      <c r="G52" s="10">
        <f t="shared" si="5"/>
        <v>3</v>
      </c>
      <c r="H52" s="10">
        <f t="shared" si="6"/>
        <v>4500</v>
      </c>
      <c r="I52" s="33"/>
      <c r="N52" s="11">
        <f>3*1500</f>
        <v>4500</v>
      </c>
    </row>
    <row r="53" s="11" customFormat="1" spans="1:12">
      <c r="A53" s="11">
        <v>51</v>
      </c>
      <c r="D53" s="11" t="s">
        <v>65</v>
      </c>
      <c r="E53" s="17" t="s">
        <v>73</v>
      </c>
      <c r="F53" s="10">
        <f t="shared" si="4"/>
        <v>3000</v>
      </c>
      <c r="G53" s="10">
        <f t="shared" si="5"/>
        <v>2</v>
      </c>
      <c r="H53" s="10">
        <f t="shared" si="6"/>
        <v>3000</v>
      </c>
      <c r="I53" s="33"/>
      <c r="L53" s="11">
        <f>2*1500</f>
        <v>3000</v>
      </c>
    </row>
    <row r="54" s="11" customFormat="1" spans="1:9">
      <c r="A54" s="11">
        <v>52</v>
      </c>
      <c r="D54" s="11" t="s">
        <v>65</v>
      </c>
      <c r="E54" s="17" t="s">
        <v>74</v>
      </c>
      <c r="F54" s="10">
        <f t="shared" si="4"/>
        <v>0</v>
      </c>
      <c r="G54" s="10">
        <f t="shared" si="5"/>
        <v>0</v>
      </c>
      <c r="H54" s="10">
        <f t="shared" si="6"/>
        <v>0</v>
      </c>
      <c r="I54" s="33"/>
    </row>
    <row r="55" s="11" customFormat="1" spans="1:12">
      <c r="A55" s="11">
        <v>53</v>
      </c>
      <c r="B55" s="29"/>
      <c r="D55" s="11" t="s">
        <v>65</v>
      </c>
      <c r="E55" s="28" t="s">
        <v>75</v>
      </c>
      <c r="F55" s="10">
        <f t="shared" si="4"/>
        <v>4500</v>
      </c>
      <c r="G55" s="10">
        <f t="shared" si="5"/>
        <v>3</v>
      </c>
      <c r="H55" s="10">
        <f t="shared" si="6"/>
        <v>4500</v>
      </c>
      <c r="I55" s="33"/>
      <c r="L55" s="11">
        <f>3*1500</f>
        <v>4500</v>
      </c>
    </row>
    <row r="56" s="11" customFormat="1" spans="1:9">
      <c r="A56" s="11">
        <v>54</v>
      </c>
      <c r="B56" s="29"/>
      <c r="D56" s="11" t="s">
        <v>65</v>
      </c>
      <c r="E56" s="28" t="s">
        <v>76</v>
      </c>
      <c r="F56" s="10">
        <f t="shared" si="4"/>
        <v>0</v>
      </c>
      <c r="G56" s="10">
        <f t="shared" si="5"/>
        <v>0</v>
      </c>
      <c r="H56" s="10">
        <f t="shared" si="6"/>
        <v>0</v>
      </c>
      <c r="I56" s="33"/>
    </row>
    <row r="57" s="11" customFormat="1" spans="1:9">
      <c r="A57" s="11">
        <v>55</v>
      </c>
      <c r="B57" s="29"/>
      <c r="D57" s="11" t="s">
        <v>65</v>
      </c>
      <c r="E57" s="28" t="s">
        <v>77</v>
      </c>
      <c r="F57" s="10">
        <f t="shared" si="4"/>
        <v>0</v>
      </c>
      <c r="G57" s="10">
        <f t="shared" si="5"/>
        <v>0</v>
      </c>
      <c r="H57" s="10">
        <f t="shared" si="6"/>
        <v>0</v>
      </c>
      <c r="I57" s="33"/>
    </row>
    <row r="58" s="11" customFormat="1" spans="1:12">
      <c r="A58" s="11">
        <v>56</v>
      </c>
      <c r="D58" s="11" t="s">
        <v>78</v>
      </c>
      <c r="E58" s="17" t="s">
        <v>79</v>
      </c>
      <c r="F58" s="10">
        <f t="shared" si="4"/>
        <v>3000</v>
      </c>
      <c r="G58" s="10">
        <f t="shared" si="5"/>
        <v>2</v>
      </c>
      <c r="H58" s="10">
        <f t="shared" si="6"/>
        <v>3000</v>
      </c>
      <c r="I58" s="33"/>
      <c r="L58" s="11">
        <f>2*1500</f>
        <v>3000</v>
      </c>
    </row>
    <row r="59" s="11" customFormat="1" spans="1:12">
      <c r="A59" s="11">
        <v>57</v>
      </c>
      <c r="D59" s="11" t="s">
        <v>78</v>
      </c>
      <c r="E59" s="17" t="s">
        <v>80</v>
      </c>
      <c r="F59" s="10">
        <f t="shared" si="4"/>
        <v>3000</v>
      </c>
      <c r="G59" s="10">
        <f t="shared" si="5"/>
        <v>2</v>
      </c>
      <c r="H59" s="10">
        <f t="shared" si="6"/>
        <v>3000</v>
      </c>
      <c r="I59" s="33"/>
      <c r="L59" s="11">
        <f>2*1500</f>
        <v>3000</v>
      </c>
    </row>
    <row r="60" s="11" customFormat="1" spans="1:12">
      <c r="A60" s="11">
        <v>58</v>
      </c>
      <c r="D60" s="11" t="s">
        <v>78</v>
      </c>
      <c r="E60" s="17" t="s">
        <v>81</v>
      </c>
      <c r="F60" s="10">
        <f t="shared" si="4"/>
        <v>3000</v>
      </c>
      <c r="G60" s="10">
        <f t="shared" si="5"/>
        <v>2</v>
      </c>
      <c r="H60" s="10">
        <f t="shared" si="6"/>
        <v>3000</v>
      </c>
      <c r="I60" s="33"/>
      <c r="L60" s="11">
        <f>2*1500</f>
        <v>3000</v>
      </c>
    </row>
    <row r="61" s="11" customFormat="1" spans="1:9">
      <c r="A61" s="11">
        <v>59</v>
      </c>
      <c r="D61" s="11" t="s">
        <v>78</v>
      </c>
      <c r="E61" s="17" t="s">
        <v>82</v>
      </c>
      <c r="F61" s="10">
        <f t="shared" si="4"/>
        <v>0</v>
      </c>
      <c r="G61" s="10">
        <f t="shared" si="5"/>
        <v>0</v>
      </c>
      <c r="H61" s="10">
        <f t="shared" si="6"/>
        <v>0</v>
      </c>
      <c r="I61" s="33"/>
    </row>
    <row r="62" s="11" customFormat="1" spans="1:9">
      <c r="A62" s="11">
        <v>60</v>
      </c>
      <c r="B62" s="29"/>
      <c r="D62" s="11" t="s">
        <v>83</v>
      </c>
      <c r="E62" s="28" t="s">
        <v>84</v>
      </c>
      <c r="F62" s="10">
        <f t="shared" si="4"/>
        <v>0</v>
      </c>
      <c r="G62" s="10">
        <f t="shared" si="5"/>
        <v>0</v>
      </c>
      <c r="H62" s="10">
        <f t="shared" si="6"/>
        <v>0</v>
      </c>
      <c r="I62" s="33"/>
    </row>
    <row r="63" s="11" customFormat="1" spans="1:9">
      <c r="A63" s="11">
        <v>61</v>
      </c>
      <c r="B63" s="29"/>
      <c r="D63" s="11" t="s">
        <v>83</v>
      </c>
      <c r="E63" s="28" t="s">
        <v>85</v>
      </c>
      <c r="F63" s="10">
        <f t="shared" si="4"/>
        <v>0</v>
      </c>
      <c r="G63" s="10">
        <f t="shared" si="5"/>
        <v>0</v>
      </c>
      <c r="H63" s="10">
        <f t="shared" si="6"/>
        <v>0</v>
      </c>
      <c r="I63" s="33"/>
    </row>
    <row r="64" s="11" customFormat="1" spans="1:9">
      <c r="A64" s="11">
        <v>62</v>
      </c>
      <c r="C64" s="26" t="s">
        <v>86</v>
      </c>
      <c r="D64" s="11" t="s">
        <v>83</v>
      </c>
      <c r="E64" s="17" t="s">
        <v>87</v>
      </c>
      <c r="F64" s="10">
        <f t="shared" si="4"/>
        <v>0</v>
      </c>
      <c r="G64" s="10">
        <f t="shared" si="5"/>
        <v>0</v>
      </c>
      <c r="H64" s="10">
        <f t="shared" si="6"/>
        <v>0</v>
      </c>
      <c r="I64" s="33"/>
    </row>
    <row r="65" s="11" customFormat="1" spans="1:9">
      <c r="A65" s="11">
        <v>63</v>
      </c>
      <c r="C65" s="11">
        <v>685671039</v>
      </c>
      <c r="D65" s="11" t="s">
        <v>88</v>
      </c>
      <c r="E65" s="11" t="s">
        <v>89</v>
      </c>
      <c r="F65" s="10">
        <f t="shared" si="4"/>
        <v>0</v>
      </c>
      <c r="G65" s="10">
        <f t="shared" si="5"/>
        <v>0</v>
      </c>
      <c r="H65" s="10">
        <f t="shared" si="6"/>
        <v>0</v>
      </c>
      <c r="I65" s="22"/>
    </row>
    <row r="66" s="11" customFormat="1" spans="1:9">
      <c r="A66" s="11">
        <v>64</v>
      </c>
      <c r="B66" s="29"/>
      <c r="D66" s="11" t="s">
        <v>88</v>
      </c>
      <c r="E66" s="28" t="s">
        <v>90</v>
      </c>
      <c r="F66" s="10">
        <f t="shared" si="4"/>
        <v>0</v>
      </c>
      <c r="G66" s="10">
        <f t="shared" si="5"/>
        <v>0</v>
      </c>
      <c r="H66" s="10">
        <f t="shared" si="6"/>
        <v>0</v>
      </c>
      <c r="I66" s="33"/>
    </row>
    <row r="67" s="11" customFormat="1" spans="1:9">
      <c r="A67" s="11">
        <v>65</v>
      </c>
      <c r="B67" s="29"/>
      <c r="D67" s="11" t="s">
        <v>91</v>
      </c>
      <c r="E67" s="28" t="s">
        <v>92</v>
      </c>
      <c r="F67" s="10">
        <f t="shared" ref="F67:F96" si="7">H67+I67</f>
        <v>0</v>
      </c>
      <c r="G67" s="10">
        <f t="shared" ref="G67:G96" si="8">H67/1500</f>
        <v>0</v>
      </c>
      <c r="H67" s="10">
        <f t="shared" si="6"/>
        <v>0</v>
      </c>
      <c r="I67" s="33"/>
    </row>
    <row r="68" s="11" customFormat="1" spans="1:9">
      <c r="A68" s="11">
        <v>66</v>
      </c>
      <c r="D68" s="11" t="s">
        <v>93</v>
      </c>
      <c r="E68" s="17" t="s">
        <v>94</v>
      </c>
      <c r="F68" s="10">
        <f t="shared" si="7"/>
        <v>0</v>
      </c>
      <c r="G68" s="10">
        <f t="shared" si="8"/>
        <v>0</v>
      </c>
      <c r="H68" s="10">
        <f t="shared" ref="H68:H96" si="9">SUM(J68:AN68)</f>
        <v>0</v>
      </c>
      <c r="I68" s="33"/>
    </row>
    <row r="69" s="11" customFormat="1" spans="1:9">
      <c r="A69" s="11">
        <v>67</v>
      </c>
      <c r="D69" s="11" t="s">
        <v>93</v>
      </c>
      <c r="E69" s="17" t="s">
        <v>95</v>
      </c>
      <c r="F69" s="10">
        <f t="shared" si="7"/>
        <v>0</v>
      </c>
      <c r="G69" s="10">
        <f t="shared" si="8"/>
        <v>0</v>
      </c>
      <c r="H69" s="10">
        <f t="shared" si="9"/>
        <v>0</v>
      </c>
      <c r="I69" s="33"/>
    </row>
    <row r="70" s="11" customFormat="1" spans="1:9">
      <c r="A70" s="11">
        <v>68</v>
      </c>
      <c r="D70" s="11" t="s">
        <v>93</v>
      </c>
      <c r="E70" s="17" t="s">
        <v>96</v>
      </c>
      <c r="F70" s="10">
        <f t="shared" si="7"/>
        <v>0</v>
      </c>
      <c r="G70" s="10">
        <f t="shared" si="8"/>
        <v>0</v>
      </c>
      <c r="H70" s="10">
        <f t="shared" si="9"/>
        <v>0</v>
      </c>
      <c r="I70" s="33"/>
    </row>
    <row r="71" s="11" customFormat="1" spans="1:9">
      <c r="A71" s="11">
        <v>69</v>
      </c>
      <c r="D71" s="11" t="s">
        <v>93</v>
      </c>
      <c r="E71" s="17" t="s">
        <v>97</v>
      </c>
      <c r="F71" s="10">
        <f t="shared" si="7"/>
        <v>0</v>
      </c>
      <c r="G71" s="10">
        <f t="shared" si="8"/>
        <v>0</v>
      </c>
      <c r="H71" s="10">
        <f t="shared" si="9"/>
        <v>0</v>
      </c>
      <c r="I71" s="33"/>
    </row>
    <row r="72" s="11" customFormat="1" spans="1:14">
      <c r="A72" s="11">
        <v>70</v>
      </c>
      <c r="D72" s="11" t="s">
        <v>93</v>
      </c>
      <c r="E72" s="17" t="s">
        <v>98</v>
      </c>
      <c r="F72" s="10">
        <f t="shared" si="7"/>
        <v>7500</v>
      </c>
      <c r="G72" s="10">
        <f t="shared" si="8"/>
        <v>5</v>
      </c>
      <c r="H72" s="10">
        <f t="shared" si="9"/>
        <v>7500</v>
      </c>
      <c r="I72" s="33"/>
      <c r="N72" s="11">
        <f>5*1500</f>
        <v>7500</v>
      </c>
    </row>
    <row r="73" s="11" customFormat="1" spans="1:12">
      <c r="A73" s="11">
        <v>71</v>
      </c>
      <c r="D73" s="11" t="s">
        <v>93</v>
      </c>
      <c r="E73" s="17" t="s">
        <v>99</v>
      </c>
      <c r="F73" s="10">
        <f t="shared" si="7"/>
        <v>1500</v>
      </c>
      <c r="G73" s="10">
        <f t="shared" si="8"/>
        <v>1</v>
      </c>
      <c r="H73" s="10">
        <f t="shared" si="9"/>
        <v>1500</v>
      </c>
      <c r="I73" s="33"/>
      <c r="L73" s="11">
        <f>1*1500</f>
        <v>1500</v>
      </c>
    </row>
    <row r="74" s="11" customFormat="1" spans="1:9">
      <c r="A74" s="11">
        <v>72</v>
      </c>
      <c r="B74" s="29"/>
      <c r="D74" s="11" t="s">
        <v>93</v>
      </c>
      <c r="E74" s="28" t="s">
        <v>100</v>
      </c>
      <c r="F74" s="10">
        <f t="shared" si="7"/>
        <v>0</v>
      </c>
      <c r="G74" s="10">
        <f t="shared" si="8"/>
        <v>0</v>
      </c>
      <c r="H74" s="10">
        <f t="shared" si="9"/>
        <v>0</v>
      </c>
      <c r="I74" s="33"/>
    </row>
    <row r="75" s="11" customFormat="1" spans="1:9">
      <c r="A75" s="11">
        <v>73</v>
      </c>
      <c r="C75" s="11">
        <v>683909558</v>
      </c>
      <c r="D75" s="11" t="s">
        <v>93</v>
      </c>
      <c r="E75" s="17" t="s">
        <v>101</v>
      </c>
      <c r="F75" s="10">
        <f t="shared" si="7"/>
        <v>0</v>
      </c>
      <c r="G75" s="10">
        <f t="shared" si="8"/>
        <v>0</v>
      </c>
      <c r="H75" s="10">
        <f t="shared" si="9"/>
        <v>0</v>
      </c>
      <c r="I75" s="33"/>
    </row>
    <row r="76" s="11" customFormat="1" spans="1:9">
      <c r="A76" s="11">
        <v>74</v>
      </c>
      <c r="B76" s="29"/>
      <c r="D76" s="11" t="s">
        <v>93</v>
      </c>
      <c r="E76" s="28" t="s">
        <v>102</v>
      </c>
      <c r="F76" s="10">
        <f t="shared" si="7"/>
        <v>0</v>
      </c>
      <c r="G76" s="10">
        <f t="shared" si="8"/>
        <v>0</v>
      </c>
      <c r="H76" s="10">
        <f t="shared" si="9"/>
        <v>0</v>
      </c>
      <c r="I76" s="33"/>
    </row>
    <row r="77" s="11" customFormat="1" spans="1:9">
      <c r="A77" s="11">
        <v>75</v>
      </c>
      <c r="D77" s="11" t="s">
        <v>103</v>
      </c>
      <c r="E77" s="17" t="s">
        <v>104</v>
      </c>
      <c r="F77" s="10">
        <f t="shared" si="7"/>
        <v>0</v>
      </c>
      <c r="G77" s="10">
        <f t="shared" si="8"/>
        <v>0</v>
      </c>
      <c r="H77" s="10">
        <f t="shared" si="9"/>
        <v>0</v>
      </c>
      <c r="I77" s="33"/>
    </row>
    <row r="78" s="11" customFormat="1" spans="1:12">
      <c r="A78" s="11">
        <v>76</v>
      </c>
      <c r="D78" s="11" t="s">
        <v>103</v>
      </c>
      <c r="E78" s="17" t="s">
        <v>105</v>
      </c>
      <c r="F78" s="10">
        <f t="shared" si="7"/>
        <v>7500</v>
      </c>
      <c r="G78" s="10">
        <f t="shared" si="8"/>
        <v>5</v>
      </c>
      <c r="H78" s="10">
        <f t="shared" si="9"/>
        <v>7500</v>
      </c>
      <c r="I78" s="33"/>
      <c r="L78" s="11">
        <f>5*1500</f>
        <v>7500</v>
      </c>
    </row>
    <row r="79" s="11" customFormat="1" spans="1:9">
      <c r="A79" s="11">
        <v>77</v>
      </c>
      <c r="D79" s="11" t="s">
        <v>103</v>
      </c>
      <c r="E79" s="17" t="s">
        <v>106</v>
      </c>
      <c r="F79" s="10">
        <f t="shared" si="7"/>
        <v>0</v>
      </c>
      <c r="G79" s="10">
        <f t="shared" si="8"/>
        <v>0</v>
      </c>
      <c r="H79" s="10">
        <f t="shared" si="9"/>
        <v>0</v>
      </c>
      <c r="I79" s="33"/>
    </row>
    <row r="80" s="11" customFormat="1" spans="1:26">
      <c r="A80" s="11">
        <v>78</v>
      </c>
      <c r="B80" s="29"/>
      <c r="E80" s="28" t="s">
        <v>107</v>
      </c>
      <c r="F80" s="10">
        <f t="shared" si="7"/>
        <v>0</v>
      </c>
      <c r="G80" s="10">
        <f t="shared" si="8"/>
        <v>0</v>
      </c>
      <c r="H80" s="10">
        <f t="shared" si="9"/>
        <v>0</v>
      </c>
      <c r="I80" s="33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W80" s="34"/>
      <c r="X80" s="29"/>
      <c r="Y80" s="34"/>
      <c r="Z80" s="34"/>
    </row>
    <row r="81" s="11" customFormat="1" spans="1:9">
      <c r="A81" s="11">
        <v>79</v>
      </c>
      <c r="B81" s="29"/>
      <c r="D81" s="11" t="s">
        <v>108</v>
      </c>
      <c r="E81" s="28" t="s">
        <v>109</v>
      </c>
      <c r="F81" s="10">
        <f t="shared" si="7"/>
        <v>0</v>
      </c>
      <c r="G81" s="10">
        <f t="shared" si="8"/>
        <v>0</v>
      </c>
      <c r="H81" s="10">
        <f t="shared" si="9"/>
        <v>0</v>
      </c>
      <c r="I81" s="33"/>
    </row>
    <row r="82" s="11" customFormat="1" spans="1:9">
      <c r="A82" s="11">
        <v>80</v>
      </c>
      <c r="B82" s="29"/>
      <c r="E82" s="28" t="s">
        <v>110</v>
      </c>
      <c r="F82" s="10">
        <f t="shared" si="7"/>
        <v>0</v>
      </c>
      <c r="G82" s="10">
        <f t="shared" si="8"/>
        <v>0</v>
      </c>
      <c r="H82" s="10">
        <f t="shared" si="9"/>
        <v>0</v>
      </c>
      <c r="I82" s="33"/>
    </row>
    <row r="83" s="11" customFormat="1" spans="1:9">
      <c r="A83" s="11">
        <v>81</v>
      </c>
      <c r="B83" s="29"/>
      <c r="D83" s="11" t="s">
        <v>111</v>
      </c>
      <c r="E83" s="28" t="s">
        <v>112</v>
      </c>
      <c r="F83" s="10">
        <f t="shared" si="7"/>
        <v>0</v>
      </c>
      <c r="G83" s="10">
        <f t="shared" si="8"/>
        <v>0</v>
      </c>
      <c r="H83" s="10">
        <f t="shared" si="9"/>
        <v>0</v>
      </c>
      <c r="I83" s="33"/>
    </row>
    <row r="84" s="11" customFormat="1" spans="1:21">
      <c r="A84" s="11">
        <v>82</v>
      </c>
      <c r="B84" s="29"/>
      <c r="E84" s="28" t="s">
        <v>113</v>
      </c>
      <c r="F84" s="10">
        <f t="shared" si="7"/>
        <v>0</v>
      </c>
      <c r="G84" s="10">
        <f t="shared" si="8"/>
        <v>0</v>
      </c>
      <c r="H84" s="10">
        <f t="shared" si="9"/>
        <v>0</v>
      </c>
      <c r="I84" s="33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="11" customFormat="1" spans="1:9">
      <c r="A85" s="11">
        <v>83</v>
      </c>
      <c r="B85" s="29"/>
      <c r="D85" s="11" t="s">
        <v>114</v>
      </c>
      <c r="E85" s="28" t="s">
        <v>115</v>
      </c>
      <c r="F85" s="10">
        <f t="shared" si="7"/>
        <v>0</v>
      </c>
      <c r="G85" s="10">
        <f t="shared" si="8"/>
        <v>0</v>
      </c>
      <c r="H85" s="10">
        <f t="shared" si="9"/>
        <v>0</v>
      </c>
      <c r="I85" s="33"/>
    </row>
    <row r="86" s="11" customFormat="1" spans="1:9">
      <c r="A86" s="11">
        <v>84</v>
      </c>
      <c r="D86" s="11" t="s">
        <v>114</v>
      </c>
      <c r="E86" s="17" t="s">
        <v>116</v>
      </c>
      <c r="F86" s="10">
        <f t="shared" si="7"/>
        <v>0</v>
      </c>
      <c r="G86" s="10">
        <f t="shared" si="8"/>
        <v>0</v>
      </c>
      <c r="H86" s="10">
        <f t="shared" si="9"/>
        <v>0</v>
      </c>
      <c r="I86" s="33"/>
    </row>
    <row r="87" s="11" customFormat="1" spans="1:9">
      <c r="A87" s="11">
        <v>85</v>
      </c>
      <c r="B87" s="29"/>
      <c r="C87" s="11">
        <v>683879115</v>
      </c>
      <c r="D87" s="11" t="s">
        <v>114</v>
      </c>
      <c r="E87" s="28" t="s">
        <v>117</v>
      </c>
      <c r="F87" s="10">
        <f t="shared" si="7"/>
        <v>0</v>
      </c>
      <c r="G87" s="10">
        <f t="shared" si="8"/>
        <v>0</v>
      </c>
      <c r="H87" s="10">
        <f t="shared" si="9"/>
        <v>0</v>
      </c>
      <c r="I87" s="33"/>
    </row>
    <row r="88" s="11" customFormat="1" spans="1:27">
      <c r="A88" s="11">
        <v>86</v>
      </c>
      <c r="B88" s="29"/>
      <c r="D88" s="11" t="s">
        <v>118</v>
      </c>
      <c r="E88" s="28" t="s">
        <v>119</v>
      </c>
      <c r="F88" s="10">
        <f t="shared" si="7"/>
        <v>0</v>
      </c>
      <c r="G88" s="10">
        <f t="shared" si="8"/>
        <v>0</v>
      </c>
      <c r="H88" s="10">
        <f t="shared" si="9"/>
        <v>0</v>
      </c>
      <c r="I88" s="33"/>
      <c r="J88" s="34"/>
      <c r="K88" s="34"/>
      <c r="L88" s="34"/>
      <c r="M88" s="34"/>
      <c r="N88" s="34"/>
      <c r="O88" s="34"/>
      <c r="P88" s="29"/>
      <c r="Q88" s="34"/>
      <c r="R88" s="34"/>
      <c r="S88" s="34"/>
      <c r="T88" s="34"/>
      <c r="U88" s="34"/>
      <c r="V88" s="34"/>
      <c r="W88" s="34"/>
      <c r="X88" s="29"/>
      <c r="Y88" s="34"/>
      <c r="Z88" s="34"/>
      <c r="AA88" s="34"/>
    </row>
    <row r="89" s="11" customFormat="1" spans="1:9">
      <c r="A89" s="11">
        <v>87</v>
      </c>
      <c r="B89" s="29"/>
      <c r="E89" s="28" t="s">
        <v>120</v>
      </c>
      <c r="F89" s="10">
        <f t="shared" si="7"/>
        <v>0</v>
      </c>
      <c r="G89" s="10">
        <f t="shared" si="8"/>
        <v>0</v>
      </c>
      <c r="H89" s="10">
        <f t="shared" si="9"/>
        <v>0</v>
      </c>
      <c r="I89" s="33"/>
    </row>
    <row r="90" s="11" customFormat="1" spans="1:20">
      <c r="A90" s="11">
        <v>88</v>
      </c>
      <c r="B90" s="29"/>
      <c r="E90" s="28" t="s">
        <v>121</v>
      </c>
      <c r="F90" s="10">
        <f t="shared" si="7"/>
        <v>0</v>
      </c>
      <c r="G90" s="10">
        <f t="shared" si="8"/>
        <v>0</v>
      </c>
      <c r="H90" s="10">
        <f t="shared" si="9"/>
        <v>0</v>
      </c>
      <c r="I90" s="33"/>
      <c r="J90" s="34"/>
      <c r="K90" s="34"/>
      <c r="L90" s="34"/>
      <c r="M90" s="34"/>
      <c r="N90" s="34"/>
      <c r="O90" s="34"/>
      <c r="P90" s="34"/>
      <c r="Q90" s="34"/>
      <c r="R90" s="34"/>
      <c r="S90" s="29"/>
      <c r="T90" s="34"/>
    </row>
    <row r="91" s="11" customFormat="1" spans="1:25">
      <c r="A91" s="11">
        <v>89</v>
      </c>
      <c r="B91" s="29"/>
      <c r="E91" s="28" t="s">
        <v>122</v>
      </c>
      <c r="F91" s="10">
        <f t="shared" si="7"/>
        <v>0</v>
      </c>
      <c r="G91" s="10">
        <f t="shared" si="8"/>
        <v>0</v>
      </c>
      <c r="H91" s="10">
        <f t="shared" si="9"/>
        <v>0</v>
      </c>
      <c r="I91" s="33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="11" customFormat="1" spans="1:9">
      <c r="A92" s="11">
        <v>90</v>
      </c>
      <c r="E92" s="17" t="s">
        <v>123</v>
      </c>
      <c r="F92" s="10">
        <f t="shared" si="7"/>
        <v>0</v>
      </c>
      <c r="G92" s="10">
        <f t="shared" si="8"/>
        <v>0</v>
      </c>
      <c r="H92" s="10">
        <f t="shared" si="9"/>
        <v>0</v>
      </c>
      <c r="I92" s="33"/>
    </row>
    <row r="93" s="11" customFormat="1" spans="1:9">
      <c r="A93" s="11">
        <v>91</v>
      </c>
      <c r="E93" s="17" t="s">
        <v>124</v>
      </c>
      <c r="F93" s="10">
        <f t="shared" si="7"/>
        <v>0</v>
      </c>
      <c r="G93" s="10">
        <f t="shared" si="8"/>
        <v>0</v>
      </c>
      <c r="H93" s="10">
        <f t="shared" si="9"/>
        <v>0</v>
      </c>
      <c r="I93" s="33"/>
    </row>
    <row r="94" s="11" customFormat="1" spans="1:9">
      <c r="A94" s="11">
        <v>92</v>
      </c>
      <c r="D94" s="11" t="s">
        <v>125</v>
      </c>
      <c r="E94" s="17" t="s">
        <v>126</v>
      </c>
      <c r="F94" s="10">
        <f t="shared" si="7"/>
        <v>0</v>
      </c>
      <c r="G94" s="10">
        <f t="shared" si="8"/>
        <v>0</v>
      </c>
      <c r="H94" s="10">
        <f t="shared" si="9"/>
        <v>0</v>
      </c>
      <c r="I94" s="33"/>
    </row>
    <row r="95" s="11" customFormat="1" spans="1:9">
      <c r="A95" s="11">
        <v>93</v>
      </c>
      <c r="E95" s="17" t="s">
        <v>127</v>
      </c>
      <c r="F95" s="10">
        <f t="shared" si="7"/>
        <v>0</v>
      </c>
      <c r="G95" s="10">
        <f t="shared" si="8"/>
        <v>0</v>
      </c>
      <c r="H95" s="10">
        <f t="shared" si="9"/>
        <v>0</v>
      </c>
      <c r="I95" s="33"/>
    </row>
    <row r="96" s="11" customFormat="1" spans="1:9">
      <c r="A96" s="11">
        <v>94</v>
      </c>
      <c r="E96" s="17" t="s">
        <v>128</v>
      </c>
      <c r="F96" s="10">
        <f t="shared" si="7"/>
        <v>0</v>
      </c>
      <c r="G96" s="10">
        <f t="shared" si="8"/>
        <v>0</v>
      </c>
      <c r="H96" s="10">
        <f t="shared" si="9"/>
        <v>0</v>
      </c>
      <c r="I96" s="33"/>
    </row>
    <row r="97" s="11" customFormat="1" spans="9:9">
      <c r="I97" s="22"/>
    </row>
    <row r="98" s="11" customFormat="1" spans="9:9">
      <c r="I98" s="22"/>
    </row>
    <row r="99" s="11" customFormat="1" spans="9:9">
      <c r="I99" s="22"/>
    </row>
    <row r="100" s="11" customFormat="1" spans="9:9">
      <c r="I100" s="22"/>
    </row>
    <row r="101" s="11" customFormat="1" spans="9:9">
      <c r="I101" s="22"/>
    </row>
    <row r="102" s="11" customFormat="1" spans="9:9">
      <c r="I102" s="22"/>
    </row>
    <row r="103" s="11" customFormat="1" spans="9:9">
      <c r="I103" s="22"/>
    </row>
    <row r="104" s="11" customFormat="1" spans="9:9">
      <c r="I104" s="22"/>
    </row>
    <row r="105" s="11" customFormat="1" spans="9:9">
      <c r="I105" s="22"/>
    </row>
    <row r="106" s="11" customFormat="1" spans="9:9">
      <c r="I106" s="22"/>
    </row>
    <row r="107" s="11" customFormat="1" spans="9:9">
      <c r="I107" s="22"/>
    </row>
    <row r="108" s="11" customFormat="1" spans="9:9">
      <c r="I108" s="22"/>
    </row>
    <row r="109" s="11" customFormat="1" spans="9:9">
      <c r="I109" s="22"/>
    </row>
    <row r="110" s="11" customFormat="1" spans="9:9">
      <c r="I110" s="22"/>
    </row>
    <row r="111" s="11" customFormat="1" spans="9:9">
      <c r="I111" s="22"/>
    </row>
    <row r="112" s="11" customFormat="1" spans="9:9">
      <c r="I112" s="22"/>
    </row>
    <row r="113" s="11" customFormat="1" spans="9:9">
      <c r="I113" s="22"/>
    </row>
    <row r="114" s="11" customFormat="1" spans="9:9">
      <c r="I114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I89" activePane="bottomRight" state="frozen"/>
      <selection/>
      <selection pane="topRight"/>
      <selection pane="bottomLeft"/>
      <selection pane="bottomRight" activeCell="N89" sqref="N89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1" width="7.57142857142857" style="11" customWidth="1"/>
    <col min="12" max="17" width="6.14285714285714" style="11" customWidth="1"/>
    <col min="18" max="39" width="7.14285714285714" style="11" customWidth="1"/>
    <col min="40" max="16384" width="9.14285714285714" style="11"/>
  </cols>
  <sheetData>
    <row r="1" s="10" customFormat="1" spans="1:39">
      <c r="A1" s="12" t="s">
        <v>0</v>
      </c>
      <c r="B1" s="12" t="s">
        <v>1</v>
      </c>
      <c r="C1" s="12" t="s">
        <v>0</v>
      </c>
      <c r="D1" s="12" t="s">
        <v>1</v>
      </c>
      <c r="E1" s="12" t="s">
        <v>129</v>
      </c>
      <c r="F1" s="12" t="s">
        <v>3</v>
      </c>
      <c r="G1" s="12" t="s">
        <v>4</v>
      </c>
      <c r="H1" s="12" t="s">
        <v>130</v>
      </c>
      <c r="I1" s="18">
        <v>44256</v>
      </c>
      <c r="J1" s="18">
        <v>44257</v>
      </c>
      <c r="K1" s="18">
        <v>44258</v>
      </c>
      <c r="L1" s="18">
        <v>44259</v>
      </c>
      <c r="M1" s="18">
        <v>44260</v>
      </c>
      <c r="N1" s="18">
        <v>44261</v>
      </c>
      <c r="O1" s="18">
        <v>44262</v>
      </c>
      <c r="P1" s="18">
        <v>44263</v>
      </c>
      <c r="Q1" s="18">
        <v>44264</v>
      </c>
      <c r="R1" s="18">
        <v>44265</v>
      </c>
      <c r="S1" s="18">
        <v>44266</v>
      </c>
      <c r="T1" s="18">
        <v>44267</v>
      </c>
      <c r="U1" s="18">
        <v>44268</v>
      </c>
      <c r="V1" s="18">
        <v>44269</v>
      </c>
      <c r="W1" s="18">
        <v>44270</v>
      </c>
      <c r="X1" s="18">
        <v>44271</v>
      </c>
      <c r="Y1" s="18">
        <v>44272</v>
      </c>
      <c r="Z1" s="18">
        <v>44273</v>
      </c>
      <c r="AA1" s="18">
        <v>44274</v>
      </c>
      <c r="AB1" s="18">
        <v>44275</v>
      </c>
      <c r="AC1" s="18">
        <v>44276</v>
      </c>
      <c r="AD1" s="18">
        <v>44277</v>
      </c>
      <c r="AE1" s="18">
        <v>44278</v>
      </c>
      <c r="AF1" s="18">
        <v>44279</v>
      </c>
      <c r="AG1" s="18">
        <v>44280</v>
      </c>
      <c r="AH1" s="18">
        <v>44281</v>
      </c>
      <c r="AI1" s="18">
        <v>44282</v>
      </c>
      <c r="AJ1" s="18">
        <v>44283</v>
      </c>
      <c r="AK1" s="18">
        <v>44284</v>
      </c>
      <c r="AL1" s="18">
        <v>44285</v>
      </c>
      <c r="AM1" s="18">
        <v>44286</v>
      </c>
    </row>
    <row r="2" s="10" customFormat="1" spans="1:39">
      <c r="A2" s="13"/>
      <c r="B2" s="13"/>
      <c r="C2" s="13"/>
      <c r="D2" s="13"/>
      <c r="E2" s="13"/>
      <c r="F2" s="14">
        <f>SUM(H3:H121)</f>
        <v>226000</v>
      </c>
      <c r="G2" s="15" t="s">
        <v>9</v>
      </c>
      <c r="H2" s="16">
        <f>SUM(I2:AM2)</f>
        <v>226000</v>
      </c>
      <c r="I2" s="10">
        <f t="shared" ref="I2:AB2" si="0">SUM(I3:I121)</f>
        <v>0</v>
      </c>
      <c r="J2" s="10">
        <f t="shared" si="0"/>
        <v>90000</v>
      </c>
      <c r="K2" s="10">
        <f t="shared" si="0"/>
        <v>104500</v>
      </c>
      <c r="L2" s="10">
        <f t="shared" si="0"/>
        <v>6000</v>
      </c>
      <c r="M2" s="10">
        <f t="shared" si="0"/>
        <v>21500</v>
      </c>
      <c r="N2" s="10">
        <f t="shared" si="0"/>
        <v>4000</v>
      </c>
      <c r="O2" s="10">
        <f t="shared" si="0"/>
        <v>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20">
        <f t="shared" si="0"/>
        <v>0</v>
      </c>
      <c r="AC2" s="10">
        <f t="shared" ref="AC2:AM2" si="1">SUM(AC3:AC121)</f>
        <v>0</v>
      </c>
      <c r="AD2" s="10">
        <f t="shared" si="1"/>
        <v>0</v>
      </c>
      <c r="AE2" s="10">
        <f t="shared" si="1"/>
        <v>0</v>
      </c>
      <c r="AF2" s="10">
        <f t="shared" si="1"/>
        <v>0</v>
      </c>
      <c r="AG2" s="10">
        <f t="shared" si="1"/>
        <v>0</v>
      </c>
      <c r="AH2" s="10">
        <f t="shared" si="1"/>
        <v>0</v>
      </c>
      <c r="AI2" s="10">
        <f t="shared" si="1"/>
        <v>0</v>
      </c>
      <c r="AJ2" s="10">
        <f t="shared" si="1"/>
        <v>0</v>
      </c>
      <c r="AK2" s="10">
        <f t="shared" si="1"/>
        <v>0</v>
      </c>
      <c r="AL2" s="10">
        <f t="shared" si="1"/>
        <v>0</v>
      </c>
      <c r="AM2" s="10">
        <f t="shared" si="1"/>
        <v>0</v>
      </c>
    </row>
    <row r="3" s="11" customFormat="1" spans="1:28">
      <c r="A3" s="11">
        <v>1</v>
      </c>
      <c r="B3" s="11" t="s">
        <v>131</v>
      </c>
      <c r="C3" s="11">
        <v>1</v>
      </c>
      <c r="D3" s="11" t="s">
        <v>131</v>
      </c>
      <c r="E3" s="11">
        <v>9334066332</v>
      </c>
      <c r="F3" s="11" t="s">
        <v>10</v>
      </c>
      <c r="G3" s="17" t="s">
        <v>11</v>
      </c>
      <c r="H3" s="10">
        <f>SUM(I3:AM3)</f>
        <v>15000</v>
      </c>
      <c r="J3" s="19">
        <v>15000</v>
      </c>
      <c r="AB3" s="21"/>
    </row>
    <row r="4" s="11" customFormat="1" spans="1:28">
      <c r="A4" s="11">
        <v>2</v>
      </c>
      <c r="B4" s="11" t="s">
        <v>132</v>
      </c>
      <c r="C4" s="11">
        <v>2</v>
      </c>
      <c r="D4" s="11" t="s">
        <v>132</v>
      </c>
      <c r="E4" s="11" t="s">
        <v>133</v>
      </c>
      <c r="F4" s="11" t="s">
        <v>10</v>
      </c>
      <c r="G4" s="17" t="s">
        <v>12</v>
      </c>
      <c r="H4" s="10">
        <f t="shared" ref="H4:H35" si="2">SUM(I4:AM4)</f>
        <v>0</v>
      </c>
      <c r="AB4" s="21"/>
    </row>
    <row r="5" s="11" customFormat="1" spans="1:28">
      <c r="A5" s="11">
        <v>3</v>
      </c>
      <c r="C5" s="11">
        <v>3</v>
      </c>
      <c r="E5" s="11">
        <v>8340365412</v>
      </c>
      <c r="F5" s="11" t="s">
        <v>10</v>
      </c>
      <c r="G5" s="17" t="s">
        <v>14</v>
      </c>
      <c r="H5" s="10">
        <f t="shared" si="2"/>
        <v>0</v>
      </c>
      <c r="AB5" s="21"/>
    </row>
    <row r="6" s="11" customFormat="1" spans="1:28">
      <c r="A6" s="11">
        <v>4</v>
      </c>
      <c r="B6" s="11" t="s">
        <v>134</v>
      </c>
      <c r="C6" s="11">
        <v>4</v>
      </c>
      <c r="D6" s="11" t="s">
        <v>134</v>
      </c>
      <c r="E6" s="11">
        <v>9102317719</v>
      </c>
      <c r="F6" s="11" t="s">
        <v>10</v>
      </c>
      <c r="G6" s="17" t="s">
        <v>16</v>
      </c>
      <c r="H6" s="10">
        <f t="shared" si="2"/>
        <v>13500</v>
      </c>
      <c r="J6" s="11">
        <v>7500</v>
      </c>
      <c r="L6" s="11">
        <v>6000</v>
      </c>
      <c r="AB6" s="21"/>
    </row>
    <row r="7" s="11" customFormat="1" spans="1:28">
      <c r="A7" s="11">
        <v>5</v>
      </c>
      <c r="B7" s="11" t="s">
        <v>135</v>
      </c>
      <c r="C7" s="11">
        <v>5</v>
      </c>
      <c r="D7" s="11" t="s">
        <v>135</v>
      </c>
      <c r="E7" s="11">
        <v>8210924561</v>
      </c>
      <c r="F7" s="11" t="s">
        <v>10</v>
      </c>
      <c r="G7" s="17" t="s">
        <v>18</v>
      </c>
      <c r="H7" s="10">
        <f t="shared" si="2"/>
        <v>0</v>
      </c>
      <c r="AB7" s="21"/>
    </row>
    <row r="8" s="11" customFormat="1" spans="1:28">
      <c r="A8" s="11">
        <v>6</v>
      </c>
      <c r="C8" s="11">
        <v>6</v>
      </c>
      <c r="E8" s="11">
        <v>9110978139</v>
      </c>
      <c r="F8" s="11" t="s">
        <v>10</v>
      </c>
      <c r="G8" s="17" t="s">
        <v>20</v>
      </c>
      <c r="H8" s="10">
        <f t="shared" si="2"/>
        <v>7500</v>
      </c>
      <c r="J8" s="19">
        <v>7500</v>
      </c>
      <c r="AB8" s="21"/>
    </row>
    <row r="9" s="11" customFormat="1" spans="1:28">
      <c r="A9" s="11">
        <v>7</v>
      </c>
      <c r="C9" s="11">
        <v>7</v>
      </c>
      <c r="E9" s="11">
        <v>8340201321</v>
      </c>
      <c r="F9" s="11" t="s">
        <v>10</v>
      </c>
      <c r="G9" s="17" t="s">
        <v>21</v>
      </c>
      <c r="H9" s="10">
        <f t="shared" si="2"/>
        <v>0</v>
      </c>
      <c r="AB9" s="21"/>
    </row>
    <row r="10" s="11" customFormat="1" spans="1:28">
      <c r="A10" s="11">
        <v>8</v>
      </c>
      <c r="C10" s="11">
        <v>8</v>
      </c>
      <c r="E10" s="11">
        <v>7004365158</v>
      </c>
      <c r="F10" s="11" t="s">
        <v>10</v>
      </c>
      <c r="G10" s="17" t="s">
        <v>23</v>
      </c>
      <c r="H10" s="10">
        <f t="shared" si="2"/>
        <v>15000</v>
      </c>
      <c r="J10" s="11">
        <v>15000</v>
      </c>
      <c r="AB10" s="21"/>
    </row>
    <row r="11" s="11" customFormat="1" spans="1:28">
      <c r="A11" s="11">
        <v>9</v>
      </c>
      <c r="B11" s="11" t="s">
        <v>136</v>
      </c>
      <c r="C11" s="11">
        <v>9</v>
      </c>
      <c r="D11" s="11" t="s">
        <v>136</v>
      </c>
      <c r="E11" s="11">
        <v>9973022718</v>
      </c>
      <c r="F11" s="11" t="s">
        <v>24</v>
      </c>
      <c r="G11" s="17" t="s">
        <v>25</v>
      </c>
      <c r="H11" s="10">
        <f t="shared" si="2"/>
        <v>4000</v>
      </c>
      <c r="N11" s="11">
        <v>4000</v>
      </c>
      <c r="AB11" s="21"/>
    </row>
    <row r="12" s="11" customFormat="1" spans="1:28">
      <c r="A12" s="11">
        <v>10</v>
      </c>
      <c r="C12" s="11">
        <v>10</v>
      </c>
      <c r="E12" s="11">
        <v>7004923653</v>
      </c>
      <c r="F12" s="11" t="s">
        <v>24</v>
      </c>
      <c r="G12" s="17" t="s">
        <v>26</v>
      </c>
      <c r="H12" s="10">
        <f t="shared" si="2"/>
        <v>0</v>
      </c>
      <c r="AB12" s="21"/>
    </row>
    <row r="13" s="11" customFormat="1" spans="1:28">
      <c r="A13" s="11">
        <v>11</v>
      </c>
      <c r="C13" s="11">
        <v>11</v>
      </c>
      <c r="E13" s="11">
        <v>8340182577</v>
      </c>
      <c r="F13" s="11" t="s">
        <v>24</v>
      </c>
      <c r="G13" s="17" t="s">
        <v>27</v>
      </c>
      <c r="H13" s="10">
        <f t="shared" si="2"/>
        <v>15000</v>
      </c>
      <c r="J13" s="19">
        <v>15000</v>
      </c>
      <c r="AB13" s="21"/>
    </row>
    <row r="14" s="11" customFormat="1" spans="1:28">
      <c r="A14" s="11">
        <v>12</v>
      </c>
      <c r="B14" s="11" t="s">
        <v>137</v>
      </c>
      <c r="C14" s="11">
        <v>12</v>
      </c>
      <c r="D14" s="11" t="s">
        <v>138</v>
      </c>
      <c r="E14" s="11">
        <v>7004740439</v>
      </c>
      <c r="F14" s="11" t="s">
        <v>24</v>
      </c>
      <c r="G14" s="17" t="s">
        <v>28</v>
      </c>
      <c r="H14" s="10">
        <f t="shared" si="2"/>
        <v>0</v>
      </c>
      <c r="AB14" s="21"/>
    </row>
    <row r="15" s="11" customFormat="1" spans="1:28">
      <c r="A15" s="11">
        <v>13</v>
      </c>
      <c r="B15" s="11" t="s">
        <v>29</v>
      </c>
      <c r="C15" s="11">
        <v>13</v>
      </c>
      <c r="D15" s="11" t="s">
        <v>29</v>
      </c>
      <c r="F15" s="11" t="s">
        <v>24</v>
      </c>
      <c r="G15" s="17" t="s">
        <v>30</v>
      </c>
      <c r="H15" s="10">
        <f t="shared" si="2"/>
        <v>0</v>
      </c>
      <c r="AB15" s="21"/>
    </row>
    <row r="16" s="11" customFormat="1" spans="1:28">
      <c r="A16" s="11">
        <v>14</v>
      </c>
      <c r="B16" s="11" t="s">
        <v>139</v>
      </c>
      <c r="C16" s="11">
        <v>14</v>
      </c>
      <c r="D16" s="11" t="s">
        <v>139</v>
      </c>
      <c r="E16" s="11">
        <v>7321004323</v>
      </c>
      <c r="F16" s="11" t="s">
        <v>24</v>
      </c>
      <c r="G16" s="17" t="s">
        <v>31</v>
      </c>
      <c r="H16" s="10">
        <f t="shared" si="2"/>
        <v>0</v>
      </c>
      <c r="AB16" s="21"/>
    </row>
    <row r="17" s="11" customFormat="1" spans="1:28">
      <c r="A17" s="11">
        <v>15</v>
      </c>
      <c r="C17" s="11">
        <v>15</v>
      </c>
      <c r="F17" s="11" t="s">
        <v>24</v>
      </c>
      <c r="G17" s="17" t="s">
        <v>33</v>
      </c>
      <c r="H17" s="10">
        <f t="shared" si="2"/>
        <v>0</v>
      </c>
      <c r="AB17" s="21"/>
    </row>
    <row r="18" s="11" customFormat="1" spans="1:28">
      <c r="A18" s="11">
        <v>16</v>
      </c>
      <c r="C18" s="11">
        <v>16</v>
      </c>
      <c r="F18" s="11" t="s">
        <v>24</v>
      </c>
      <c r="G18" s="17" t="s">
        <v>35</v>
      </c>
      <c r="H18" s="10">
        <f t="shared" si="2"/>
        <v>0</v>
      </c>
      <c r="AB18" s="21"/>
    </row>
    <row r="19" s="11" customFormat="1" spans="1:28">
      <c r="A19" s="11">
        <v>17</v>
      </c>
      <c r="B19" s="11" t="s">
        <v>140</v>
      </c>
      <c r="C19" s="11">
        <v>17</v>
      </c>
      <c r="D19" s="11" t="s">
        <v>140</v>
      </c>
      <c r="E19" s="11">
        <v>9608475282</v>
      </c>
      <c r="F19" s="11" t="s">
        <v>24</v>
      </c>
      <c r="G19" s="17" t="s">
        <v>36</v>
      </c>
      <c r="H19" s="10">
        <f t="shared" si="2"/>
        <v>0</v>
      </c>
      <c r="AB19" s="21"/>
    </row>
    <row r="20" s="11" customFormat="1" spans="1:28">
      <c r="A20" s="11">
        <v>18</v>
      </c>
      <c r="B20" s="11" t="s">
        <v>141</v>
      </c>
      <c r="C20" s="11">
        <v>18</v>
      </c>
      <c r="D20" s="11" t="s">
        <v>141</v>
      </c>
      <c r="E20" s="11">
        <v>9661555592</v>
      </c>
      <c r="F20" s="11" t="s">
        <v>37</v>
      </c>
      <c r="G20" s="17" t="s">
        <v>38</v>
      </c>
      <c r="H20" s="10">
        <f t="shared" si="2"/>
        <v>0</v>
      </c>
      <c r="AB20" s="21"/>
    </row>
    <row r="21" s="11" customFormat="1" spans="1:28">
      <c r="A21" s="11">
        <v>19</v>
      </c>
      <c r="B21" s="11" t="s">
        <v>142</v>
      </c>
      <c r="C21" s="11">
        <v>19</v>
      </c>
      <c r="D21" s="11" t="s">
        <v>142</v>
      </c>
      <c r="E21" s="11">
        <v>8340523512</v>
      </c>
      <c r="F21" s="11" t="s">
        <v>37</v>
      </c>
      <c r="G21" s="17" t="s">
        <v>39</v>
      </c>
      <c r="H21" s="10">
        <f t="shared" si="2"/>
        <v>1500</v>
      </c>
      <c r="K21" s="11">
        <v>1500</v>
      </c>
      <c r="AB21" s="21"/>
    </row>
    <row r="22" s="11" customFormat="1" spans="1:28">
      <c r="A22" s="11">
        <v>20</v>
      </c>
      <c r="C22" s="11">
        <v>20</v>
      </c>
      <c r="E22" s="11">
        <v>8825310472</v>
      </c>
      <c r="F22" s="11" t="s">
        <v>37</v>
      </c>
      <c r="G22" s="17" t="s">
        <v>40</v>
      </c>
      <c r="H22" s="10">
        <f t="shared" si="2"/>
        <v>0</v>
      </c>
      <c r="AB22" s="21"/>
    </row>
    <row r="23" s="11" customFormat="1" spans="1:28">
      <c r="A23" s="11">
        <v>21</v>
      </c>
      <c r="B23" s="11" t="s">
        <v>143</v>
      </c>
      <c r="C23" s="11">
        <v>21</v>
      </c>
      <c r="D23" s="11" t="s">
        <v>143</v>
      </c>
      <c r="E23" s="11">
        <v>7004478123</v>
      </c>
      <c r="F23" s="11" t="s">
        <v>37</v>
      </c>
      <c r="G23" s="17" t="s">
        <v>41</v>
      </c>
      <c r="H23" s="10">
        <f t="shared" si="2"/>
        <v>22500</v>
      </c>
      <c r="J23" s="19">
        <v>22500</v>
      </c>
      <c r="AB23" s="21"/>
    </row>
    <row r="24" s="11" customFormat="1" spans="1:28">
      <c r="A24" s="11">
        <v>22</v>
      </c>
      <c r="C24" s="11">
        <v>22</v>
      </c>
      <c r="E24" s="11">
        <v>7667895364</v>
      </c>
      <c r="F24" s="11" t="s">
        <v>37</v>
      </c>
      <c r="G24" s="17" t="s">
        <v>42</v>
      </c>
      <c r="H24" s="10">
        <f t="shared" si="2"/>
        <v>0</v>
      </c>
      <c r="AB24" s="21"/>
    </row>
    <row r="25" s="11" customFormat="1" spans="1:28">
      <c r="A25" s="11">
        <v>23</v>
      </c>
      <c r="B25" s="11" t="s">
        <v>144</v>
      </c>
      <c r="C25" s="11">
        <v>23</v>
      </c>
      <c r="D25" s="11" t="s">
        <v>144</v>
      </c>
      <c r="E25" s="11">
        <v>7006041121</v>
      </c>
      <c r="F25" s="11" t="s">
        <v>37</v>
      </c>
      <c r="G25" s="17" t="s">
        <v>43</v>
      </c>
      <c r="H25" s="10">
        <f t="shared" si="2"/>
        <v>3000</v>
      </c>
      <c r="J25" s="19">
        <v>3000</v>
      </c>
      <c r="AB25" s="21"/>
    </row>
    <row r="26" s="11" customFormat="1" spans="1:28">
      <c r="A26" s="11">
        <v>24</v>
      </c>
      <c r="B26" s="11" t="s">
        <v>145</v>
      </c>
      <c r="C26" s="11">
        <v>24</v>
      </c>
      <c r="D26" s="11" t="s">
        <v>145</v>
      </c>
      <c r="E26" s="11">
        <v>8709658240</v>
      </c>
      <c r="F26" s="11" t="s">
        <v>37</v>
      </c>
      <c r="G26" s="17" t="s">
        <v>44</v>
      </c>
      <c r="H26" s="10">
        <f t="shared" si="2"/>
        <v>6000</v>
      </c>
      <c r="K26" s="19">
        <v>6000</v>
      </c>
      <c r="AB26" s="21"/>
    </row>
    <row r="27" s="11" customFormat="1" spans="1:28">
      <c r="A27" s="11">
        <v>25</v>
      </c>
      <c r="C27" s="11">
        <v>25</v>
      </c>
      <c r="E27" s="11">
        <v>8709612020</v>
      </c>
      <c r="F27" s="11" t="s">
        <v>37</v>
      </c>
      <c r="G27" s="17" t="s">
        <v>45</v>
      </c>
      <c r="H27" s="10">
        <f t="shared" si="2"/>
        <v>0</v>
      </c>
      <c r="AB27" s="21"/>
    </row>
    <row r="28" s="11" customFormat="1" spans="1:28">
      <c r="A28" s="11">
        <v>26</v>
      </c>
      <c r="C28" s="11">
        <v>26</v>
      </c>
      <c r="E28" s="11">
        <v>9973040600</v>
      </c>
      <c r="F28" s="11" t="s">
        <v>37</v>
      </c>
      <c r="G28" s="17" t="s">
        <v>46</v>
      </c>
      <c r="H28" s="10">
        <f t="shared" si="2"/>
        <v>0</v>
      </c>
      <c r="AB28" s="21"/>
    </row>
    <row r="29" s="11" customFormat="1" spans="1:28">
      <c r="A29" s="11">
        <v>27</v>
      </c>
      <c r="C29" s="11">
        <v>27</v>
      </c>
      <c r="E29" s="11">
        <v>9973345687</v>
      </c>
      <c r="F29" s="11" t="s">
        <v>37</v>
      </c>
      <c r="G29" s="17" t="s">
        <v>47</v>
      </c>
      <c r="H29" s="10">
        <f t="shared" si="2"/>
        <v>0</v>
      </c>
      <c r="AB29" s="21"/>
    </row>
    <row r="30" s="11" customFormat="1" spans="1:28">
      <c r="A30" s="11">
        <v>28</v>
      </c>
      <c r="C30" s="11">
        <v>28</v>
      </c>
      <c r="E30" s="11">
        <v>9631391206</v>
      </c>
      <c r="F30" s="11" t="s">
        <v>37</v>
      </c>
      <c r="G30" s="17" t="s">
        <v>48</v>
      </c>
      <c r="H30" s="10">
        <f t="shared" si="2"/>
        <v>0</v>
      </c>
      <c r="AB30" s="21"/>
    </row>
    <row r="31" s="11" customFormat="1" spans="1:28">
      <c r="A31" s="11">
        <v>29</v>
      </c>
      <c r="B31" s="11" t="s">
        <v>146</v>
      </c>
      <c r="C31" s="11">
        <v>29</v>
      </c>
      <c r="D31" s="11" t="s">
        <v>146</v>
      </c>
      <c r="F31" s="11" t="s">
        <v>37</v>
      </c>
      <c r="G31" s="17" t="s">
        <v>49</v>
      </c>
      <c r="H31" s="10">
        <f t="shared" si="2"/>
        <v>4500</v>
      </c>
      <c r="J31" s="11">
        <v>4500</v>
      </c>
      <c r="AB31" s="21"/>
    </row>
    <row r="32" s="11" customFormat="1" spans="1:28">
      <c r="A32" s="11">
        <v>30</v>
      </c>
      <c r="B32" s="11" t="s">
        <v>147</v>
      </c>
      <c r="C32" s="11">
        <v>30</v>
      </c>
      <c r="D32" s="11" t="s">
        <v>147</v>
      </c>
      <c r="F32" s="11" t="s">
        <v>37</v>
      </c>
      <c r="G32" s="17" t="s">
        <v>50</v>
      </c>
      <c r="H32" s="10">
        <f t="shared" si="2"/>
        <v>15000</v>
      </c>
      <c r="K32" s="19">
        <v>15000</v>
      </c>
      <c r="AB32" s="21"/>
    </row>
    <row r="33" s="11" customFormat="1" spans="1:28">
      <c r="A33" s="11">
        <v>31</v>
      </c>
      <c r="C33" s="11">
        <v>31</v>
      </c>
      <c r="F33" s="11" t="s">
        <v>37</v>
      </c>
      <c r="G33" s="17" t="s">
        <v>51</v>
      </c>
      <c r="H33" s="10">
        <f t="shared" si="2"/>
        <v>15000</v>
      </c>
      <c r="K33" s="11">
        <v>15000</v>
      </c>
      <c r="AB33" s="21"/>
    </row>
    <row r="34" s="11" customFormat="1" spans="1:28">
      <c r="A34" s="11">
        <v>32</v>
      </c>
      <c r="B34" s="11" t="s">
        <v>148</v>
      </c>
      <c r="C34" s="11">
        <v>32</v>
      </c>
      <c r="D34" s="11" t="s">
        <v>148</v>
      </c>
      <c r="F34" s="11" t="s">
        <v>52</v>
      </c>
      <c r="G34" s="17" t="s">
        <v>53</v>
      </c>
      <c r="H34" s="10">
        <f t="shared" si="2"/>
        <v>0</v>
      </c>
      <c r="AB34" s="21"/>
    </row>
    <row r="35" s="11" customFormat="1" spans="1:28">
      <c r="A35" s="11">
        <v>33</v>
      </c>
      <c r="C35" s="11">
        <v>33</v>
      </c>
      <c r="F35" s="11" t="s">
        <v>52</v>
      </c>
      <c r="G35" s="17" t="s">
        <v>54</v>
      </c>
      <c r="H35" s="10">
        <f t="shared" si="2"/>
        <v>7500</v>
      </c>
      <c r="K35" s="11">
        <v>7500</v>
      </c>
      <c r="AB35" s="21"/>
    </row>
    <row r="36" s="11" customFormat="1" spans="1:28">
      <c r="A36" s="11">
        <v>34</v>
      </c>
      <c r="C36" s="11">
        <v>34</v>
      </c>
      <c r="E36" s="11">
        <v>7654800030</v>
      </c>
      <c r="F36" s="11" t="s">
        <v>52</v>
      </c>
      <c r="G36" s="17" t="s">
        <v>55</v>
      </c>
      <c r="H36" s="10">
        <f t="shared" ref="H36:H67" si="3">SUM(I36:AM36)</f>
        <v>0</v>
      </c>
      <c r="AB36" s="21"/>
    </row>
    <row r="37" s="11" customFormat="1" spans="1:28">
      <c r="A37" s="11">
        <v>35</v>
      </c>
      <c r="C37" s="11">
        <v>35</v>
      </c>
      <c r="F37" s="11" t="s">
        <v>52</v>
      </c>
      <c r="G37" s="17" t="s">
        <v>56</v>
      </c>
      <c r="H37" s="10">
        <f t="shared" si="3"/>
        <v>0</v>
      </c>
      <c r="AB37" s="21"/>
    </row>
    <row r="38" s="11" customFormat="1" spans="1:28">
      <c r="A38" s="11">
        <v>36</v>
      </c>
      <c r="C38" s="11">
        <v>36</v>
      </c>
      <c r="F38" s="11" t="s">
        <v>52</v>
      </c>
      <c r="G38" s="17" t="s">
        <v>57</v>
      </c>
      <c r="H38" s="10">
        <f t="shared" si="3"/>
        <v>0</v>
      </c>
      <c r="AB38" s="21"/>
    </row>
    <row r="39" s="11" customFormat="1" spans="1:28">
      <c r="A39" s="11">
        <v>37</v>
      </c>
      <c r="B39" s="11" t="s">
        <v>149</v>
      </c>
      <c r="C39" s="11">
        <v>37</v>
      </c>
      <c r="D39" s="11" t="s">
        <v>149</v>
      </c>
      <c r="F39" s="11" t="s">
        <v>52</v>
      </c>
      <c r="G39" s="17" t="s">
        <v>58</v>
      </c>
      <c r="H39" s="10">
        <f t="shared" si="3"/>
        <v>7500</v>
      </c>
      <c r="K39" s="19">
        <v>7500</v>
      </c>
      <c r="AB39" s="21"/>
    </row>
    <row r="40" s="11" customFormat="1" spans="1:28">
      <c r="A40" s="11">
        <v>38</v>
      </c>
      <c r="B40" s="11" t="s">
        <v>150</v>
      </c>
      <c r="C40" s="11">
        <v>38</v>
      </c>
      <c r="D40" s="11" t="s">
        <v>150</v>
      </c>
      <c r="E40" s="11" t="s">
        <v>151</v>
      </c>
      <c r="F40" s="11" t="s">
        <v>52</v>
      </c>
      <c r="G40" s="17" t="s">
        <v>59</v>
      </c>
      <c r="H40" s="10">
        <f t="shared" si="3"/>
        <v>0</v>
      </c>
      <c r="AB40" s="21"/>
    </row>
    <row r="41" s="11" customFormat="1" spans="1:28">
      <c r="A41" s="11">
        <v>39</v>
      </c>
      <c r="C41" s="11">
        <v>39</v>
      </c>
      <c r="F41" s="11" t="s">
        <v>52</v>
      </c>
      <c r="G41" s="17" t="s">
        <v>60</v>
      </c>
      <c r="H41" s="10">
        <f t="shared" si="3"/>
        <v>0</v>
      </c>
      <c r="AB41" s="21"/>
    </row>
    <row r="42" s="11" customFormat="1" spans="1:28">
      <c r="A42" s="11">
        <v>40</v>
      </c>
      <c r="C42" s="11">
        <v>40</v>
      </c>
      <c r="F42" s="11" t="s">
        <v>52</v>
      </c>
      <c r="G42" s="17" t="s">
        <v>61</v>
      </c>
      <c r="H42" s="10">
        <f t="shared" si="3"/>
        <v>3000</v>
      </c>
      <c r="K42" s="11">
        <v>3000</v>
      </c>
      <c r="AB42" s="21"/>
    </row>
    <row r="43" s="11" customFormat="1" spans="1:28">
      <c r="A43" s="11">
        <v>41</v>
      </c>
      <c r="C43" s="11">
        <v>41</v>
      </c>
      <c r="E43" s="11">
        <v>8210095108</v>
      </c>
      <c r="F43" s="11" t="s">
        <v>52</v>
      </c>
      <c r="G43" s="17" t="s">
        <v>62</v>
      </c>
      <c r="H43" s="10">
        <f t="shared" si="3"/>
        <v>0</v>
      </c>
      <c r="AB43" s="21"/>
    </row>
    <row r="44" s="11" customFormat="1" spans="1:28">
      <c r="A44" s="11">
        <v>42</v>
      </c>
      <c r="C44" s="11">
        <v>42</v>
      </c>
      <c r="F44" s="11" t="s">
        <v>52</v>
      </c>
      <c r="G44" s="17" t="s">
        <v>63</v>
      </c>
      <c r="H44" s="10">
        <f t="shared" si="3"/>
        <v>0</v>
      </c>
      <c r="AB44" s="21"/>
    </row>
    <row r="45" s="11" customFormat="1" spans="1:28">
      <c r="A45" s="11">
        <v>43</v>
      </c>
      <c r="C45" s="11">
        <v>43</v>
      </c>
      <c r="F45" s="11" t="s">
        <v>52</v>
      </c>
      <c r="G45" s="17" t="s">
        <v>64</v>
      </c>
      <c r="H45" s="10">
        <f t="shared" si="3"/>
        <v>3000</v>
      </c>
      <c r="K45" s="11">
        <v>3000</v>
      </c>
      <c r="AB45" s="21"/>
    </row>
    <row r="46" s="11" customFormat="1" spans="1:28">
      <c r="A46" s="11">
        <v>44</v>
      </c>
      <c r="B46" s="11" t="s">
        <v>152</v>
      </c>
      <c r="C46" s="11">
        <v>44</v>
      </c>
      <c r="D46" s="11" t="s">
        <v>152</v>
      </c>
      <c r="F46" s="11" t="s">
        <v>65</v>
      </c>
      <c r="G46" s="17" t="s">
        <v>66</v>
      </c>
      <c r="H46" s="10">
        <f t="shared" si="3"/>
        <v>15000</v>
      </c>
      <c r="K46" s="11">
        <v>10000</v>
      </c>
      <c r="M46" s="19">
        <v>5000</v>
      </c>
      <c r="AB46" s="21"/>
    </row>
    <row r="47" s="11" customFormat="1" spans="1:28">
      <c r="A47" s="11">
        <v>45</v>
      </c>
      <c r="C47" s="11">
        <v>45</v>
      </c>
      <c r="F47" s="11" t="s">
        <v>65</v>
      </c>
      <c r="G47" s="17" t="s">
        <v>67</v>
      </c>
      <c r="H47" s="10">
        <f t="shared" si="3"/>
        <v>3000</v>
      </c>
      <c r="K47" s="11">
        <v>3000</v>
      </c>
      <c r="AB47" s="21"/>
    </row>
    <row r="48" s="11" customFormat="1" spans="1:28">
      <c r="A48" s="11">
        <v>46</v>
      </c>
      <c r="B48" s="11" t="s">
        <v>153</v>
      </c>
      <c r="C48" s="11">
        <v>46</v>
      </c>
      <c r="D48" s="11" t="s">
        <v>153</v>
      </c>
      <c r="F48" s="11" t="s">
        <v>65</v>
      </c>
      <c r="G48" s="17" t="s">
        <v>68</v>
      </c>
      <c r="H48" s="10">
        <f t="shared" si="3"/>
        <v>0</v>
      </c>
      <c r="AB48" s="21"/>
    </row>
    <row r="49" s="11" customFormat="1" spans="1:28">
      <c r="A49" s="11">
        <v>47</v>
      </c>
      <c r="B49" s="11" t="s">
        <v>154</v>
      </c>
      <c r="C49" s="11">
        <v>47</v>
      </c>
      <c r="D49" s="11" t="s">
        <v>154</v>
      </c>
      <c r="E49" s="11">
        <v>8863097933</v>
      </c>
      <c r="F49" s="11" t="s">
        <v>65</v>
      </c>
      <c r="G49" s="17" t="s">
        <v>69</v>
      </c>
      <c r="H49" s="10">
        <f t="shared" si="3"/>
        <v>7500</v>
      </c>
      <c r="K49" s="11">
        <v>3000</v>
      </c>
      <c r="M49" s="19">
        <v>4500</v>
      </c>
      <c r="AB49" s="21"/>
    </row>
    <row r="50" s="11" customFormat="1" spans="1:28">
      <c r="A50" s="11">
        <v>48</v>
      </c>
      <c r="B50" s="11" t="s">
        <v>155</v>
      </c>
      <c r="C50" s="11">
        <v>48</v>
      </c>
      <c r="D50" s="11" t="s">
        <v>155</v>
      </c>
      <c r="E50" s="11">
        <v>9835443096</v>
      </c>
      <c r="F50" s="11" t="s">
        <v>65</v>
      </c>
      <c r="G50" s="17" t="s">
        <v>70</v>
      </c>
      <c r="H50" s="10">
        <f t="shared" si="3"/>
        <v>0</v>
      </c>
      <c r="AB50" s="21"/>
    </row>
    <row r="51" s="11" customFormat="1" spans="1:28">
      <c r="A51" s="11">
        <v>49</v>
      </c>
      <c r="B51" s="11" t="s">
        <v>156</v>
      </c>
      <c r="C51" s="11">
        <v>49</v>
      </c>
      <c r="D51" s="11" t="s">
        <v>156</v>
      </c>
      <c r="F51" s="11" t="s">
        <v>65</v>
      </c>
      <c r="G51" s="17" t="s">
        <v>71</v>
      </c>
      <c r="H51" s="10">
        <f t="shared" si="3"/>
        <v>7500</v>
      </c>
      <c r="K51" s="19">
        <v>7500</v>
      </c>
      <c r="AB51" s="21"/>
    </row>
    <row r="52" s="11" customFormat="1" spans="1:28">
      <c r="A52" s="11">
        <v>50</v>
      </c>
      <c r="C52" s="11">
        <v>50</v>
      </c>
      <c r="F52" s="11" t="s">
        <v>65</v>
      </c>
      <c r="G52" s="17" t="s">
        <v>72</v>
      </c>
      <c r="H52" s="10">
        <f t="shared" si="3"/>
        <v>4500</v>
      </c>
      <c r="M52" s="11">
        <v>4500</v>
      </c>
      <c r="AB52" s="21"/>
    </row>
    <row r="53" s="11" customFormat="1" spans="1:28">
      <c r="A53" s="11">
        <v>51</v>
      </c>
      <c r="B53" s="11" t="s">
        <v>157</v>
      </c>
      <c r="C53" s="11">
        <v>51</v>
      </c>
      <c r="D53" s="11" t="s">
        <v>157</v>
      </c>
      <c r="F53" s="11" t="s">
        <v>65</v>
      </c>
      <c r="G53" s="17" t="s">
        <v>73</v>
      </c>
      <c r="H53" s="10">
        <f t="shared" si="3"/>
        <v>3000</v>
      </c>
      <c r="K53" s="11">
        <v>3000</v>
      </c>
      <c r="AB53" s="21"/>
    </row>
    <row r="54" s="11" customFormat="1" spans="1:28">
      <c r="A54" s="11">
        <v>52</v>
      </c>
      <c r="C54" s="11">
        <v>52</v>
      </c>
      <c r="F54" s="11" t="s">
        <v>65</v>
      </c>
      <c r="G54" s="17" t="s">
        <v>74</v>
      </c>
      <c r="H54" s="10">
        <f t="shared" si="3"/>
        <v>0</v>
      </c>
      <c r="AB54" s="21"/>
    </row>
    <row r="55" s="11" customFormat="1" spans="1:28">
      <c r="A55" s="11">
        <v>53</v>
      </c>
      <c r="B55" s="11" t="s">
        <v>158</v>
      </c>
      <c r="C55" s="11">
        <v>53</v>
      </c>
      <c r="D55" s="11" t="s">
        <v>158</v>
      </c>
      <c r="F55" s="11" t="s">
        <v>65</v>
      </c>
      <c r="G55" s="17" t="s">
        <v>75</v>
      </c>
      <c r="H55" s="10">
        <f t="shared" si="3"/>
        <v>4500</v>
      </c>
      <c r="K55" s="11">
        <v>4500</v>
      </c>
      <c r="AB55" s="21"/>
    </row>
    <row r="56" s="11" customFormat="1" spans="1:28">
      <c r="A56" s="11">
        <v>54</v>
      </c>
      <c r="B56" s="11" t="s">
        <v>159</v>
      </c>
      <c r="C56" s="11">
        <v>54</v>
      </c>
      <c r="D56" s="11" t="s">
        <v>159</v>
      </c>
      <c r="F56" s="11" t="s">
        <v>65</v>
      </c>
      <c r="G56" s="17" t="s">
        <v>76</v>
      </c>
      <c r="H56" s="10">
        <f t="shared" si="3"/>
        <v>0</v>
      </c>
      <c r="AB56" s="21"/>
    </row>
    <row r="57" s="11" customFormat="1" spans="1:28">
      <c r="A57" s="11">
        <v>55</v>
      </c>
      <c r="C57" s="11">
        <v>55</v>
      </c>
      <c r="E57" s="11">
        <v>6202424016</v>
      </c>
      <c r="F57" s="11" t="s">
        <v>65</v>
      </c>
      <c r="G57" s="17" t="s">
        <v>77</v>
      </c>
      <c r="H57" s="10">
        <f t="shared" si="3"/>
        <v>0</v>
      </c>
      <c r="AB57" s="21"/>
    </row>
    <row r="58" s="11" customFormat="1" spans="1:28">
      <c r="A58" s="11">
        <v>56</v>
      </c>
      <c r="C58" s="11">
        <v>56</v>
      </c>
      <c r="E58" s="11">
        <v>7004211364</v>
      </c>
      <c r="F58" s="11" t="s">
        <v>78</v>
      </c>
      <c r="G58" s="17" t="s">
        <v>79</v>
      </c>
      <c r="H58" s="10">
        <f t="shared" si="3"/>
        <v>3000</v>
      </c>
      <c r="K58" s="11">
        <v>3000</v>
      </c>
      <c r="AB58" s="21"/>
    </row>
    <row r="59" s="11" customFormat="1" spans="1:28">
      <c r="A59" s="11">
        <v>57</v>
      </c>
      <c r="B59" s="11" t="s">
        <v>160</v>
      </c>
      <c r="C59" s="11">
        <v>57</v>
      </c>
      <c r="D59" s="11" t="s">
        <v>160</v>
      </c>
      <c r="F59" s="11" t="s">
        <v>78</v>
      </c>
      <c r="G59" s="17" t="s">
        <v>80</v>
      </c>
      <c r="H59" s="10">
        <f t="shared" si="3"/>
        <v>0</v>
      </c>
      <c r="AB59" s="21"/>
    </row>
    <row r="60" s="11" customFormat="1" spans="1:28">
      <c r="A60" s="11">
        <v>58</v>
      </c>
      <c r="C60" s="11">
        <v>58</v>
      </c>
      <c r="F60" s="11" t="s">
        <v>78</v>
      </c>
      <c r="G60" s="17" t="s">
        <v>81</v>
      </c>
      <c r="H60" s="10">
        <f t="shared" si="3"/>
        <v>3000</v>
      </c>
      <c r="K60" s="11">
        <v>3000</v>
      </c>
      <c r="AB60" s="21"/>
    </row>
    <row r="61" s="11" customFormat="1" spans="1:28">
      <c r="A61" s="11">
        <v>59</v>
      </c>
      <c r="C61" s="11">
        <v>59</v>
      </c>
      <c r="F61" s="11" t="s">
        <v>78</v>
      </c>
      <c r="G61" s="17" t="s">
        <v>82</v>
      </c>
      <c r="H61" s="10">
        <f t="shared" si="3"/>
        <v>0</v>
      </c>
      <c r="AB61" s="21"/>
    </row>
    <row r="62" s="11" customFormat="1" spans="1:28">
      <c r="A62" s="11">
        <v>60</v>
      </c>
      <c r="B62" s="11" t="s">
        <v>161</v>
      </c>
      <c r="C62" s="11">
        <v>60</v>
      </c>
      <c r="D62" s="11" t="s">
        <v>161</v>
      </c>
      <c r="E62" s="11">
        <v>9504958065</v>
      </c>
      <c r="F62" s="11" t="s">
        <v>83</v>
      </c>
      <c r="G62" s="17" t="s">
        <v>84</v>
      </c>
      <c r="H62" s="10">
        <f t="shared" si="3"/>
        <v>0</v>
      </c>
      <c r="AB62" s="21"/>
    </row>
    <row r="63" s="11" customFormat="1" spans="1:28">
      <c r="A63" s="11">
        <v>61</v>
      </c>
      <c r="C63" s="11">
        <v>61</v>
      </c>
      <c r="E63" s="11">
        <v>9852299192</v>
      </c>
      <c r="F63" s="11" t="s">
        <v>83</v>
      </c>
      <c r="G63" s="17" t="s">
        <v>85</v>
      </c>
      <c r="H63" s="10">
        <f t="shared" si="3"/>
        <v>0</v>
      </c>
      <c r="AB63" s="21"/>
    </row>
    <row r="64" s="11" customFormat="1" spans="1:28">
      <c r="A64" s="11">
        <v>62</v>
      </c>
      <c r="B64" s="11" t="s">
        <v>162</v>
      </c>
      <c r="C64" s="11">
        <v>62</v>
      </c>
      <c r="D64" s="11" t="s">
        <v>162</v>
      </c>
      <c r="E64" s="11" t="s">
        <v>163</v>
      </c>
      <c r="F64" s="11" t="s">
        <v>83</v>
      </c>
      <c r="G64" s="17" t="s">
        <v>87</v>
      </c>
      <c r="H64" s="10">
        <f t="shared" si="3"/>
        <v>0</v>
      </c>
      <c r="AB64" s="21"/>
    </row>
    <row r="65" s="11" customFormat="1" spans="1:28">
      <c r="A65" s="11">
        <v>63</v>
      </c>
      <c r="B65" s="11" t="s">
        <v>164</v>
      </c>
      <c r="C65" s="11">
        <v>63</v>
      </c>
      <c r="D65" s="11" t="s">
        <v>164</v>
      </c>
      <c r="E65" s="11">
        <v>7004399486</v>
      </c>
      <c r="F65" s="11" t="s">
        <v>88</v>
      </c>
      <c r="G65" s="11" t="s">
        <v>89</v>
      </c>
      <c r="H65" s="10">
        <f t="shared" si="3"/>
        <v>0</v>
      </c>
      <c r="AB65" s="21"/>
    </row>
    <row r="66" s="11" customFormat="1" spans="1:28">
      <c r="A66" s="11">
        <v>64</v>
      </c>
      <c r="B66" s="11" t="s">
        <v>165</v>
      </c>
      <c r="C66" s="11">
        <v>64</v>
      </c>
      <c r="D66" s="11" t="s">
        <v>165</v>
      </c>
      <c r="F66" s="11" t="s">
        <v>88</v>
      </c>
      <c r="G66" s="17" t="s">
        <v>90</v>
      </c>
      <c r="H66" s="10">
        <f t="shared" si="3"/>
        <v>0</v>
      </c>
      <c r="AB66" s="21"/>
    </row>
    <row r="67" s="11" customFormat="1" spans="1:28">
      <c r="A67" s="11">
        <v>65</v>
      </c>
      <c r="C67" s="11">
        <v>65</v>
      </c>
      <c r="F67" s="11" t="s">
        <v>91</v>
      </c>
      <c r="G67" s="17" t="s">
        <v>92</v>
      </c>
      <c r="H67" s="10">
        <f t="shared" si="3"/>
        <v>0</v>
      </c>
      <c r="AB67" s="21"/>
    </row>
    <row r="68" s="11" customFormat="1" spans="1:28">
      <c r="A68" s="11">
        <v>66</v>
      </c>
      <c r="C68" s="11">
        <v>66</v>
      </c>
      <c r="F68" s="11" t="s">
        <v>93</v>
      </c>
      <c r="G68" s="17" t="s">
        <v>94</v>
      </c>
      <c r="H68" s="10">
        <f t="shared" ref="H68:H99" si="4">SUM(I68:AM68)</f>
        <v>0</v>
      </c>
      <c r="AB68" s="21"/>
    </row>
    <row r="69" s="11" customFormat="1" spans="1:28">
      <c r="A69" s="11">
        <v>67</v>
      </c>
      <c r="C69" s="11">
        <v>67</v>
      </c>
      <c r="F69" s="11" t="s">
        <v>93</v>
      </c>
      <c r="G69" s="17" t="s">
        <v>95</v>
      </c>
      <c r="H69" s="10">
        <f t="shared" si="4"/>
        <v>0</v>
      </c>
      <c r="AB69" s="21"/>
    </row>
    <row r="70" s="11" customFormat="1" spans="1:28">
      <c r="A70" s="11">
        <v>68</v>
      </c>
      <c r="C70" s="11">
        <v>68</v>
      </c>
      <c r="F70" s="11" t="s">
        <v>93</v>
      </c>
      <c r="G70" s="17" t="s">
        <v>96</v>
      </c>
      <c r="H70" s="10">
        <f t="shared" si="4"/>
        <v>0</v>
      </c>
      <c r="AB70" s="21"/>
    </row>
    <row r="71" s="11" customFormat="1" spans="1:28">
      <c r="A71" s="11">
        <v>69</v>
      </c>
      <c r="C71" s="11">
        <v>69</v>
      </c>
      <c r="F71" s="11" t="s">
        <v>93</v>
      </c>
      <c r="G71" s="17" t="s">
        <v>97</v>
      </c>
      <c r="H71" s="10">
        <f t="shared" si="4"/>
        <v>0</v>
      </c>
      <c r="AB71" s="21"/>
    </row>
    <row r="72" s="11" customFormat="1" spans="1:28">
      <c r="A72" s="11">
        <v>70</v>
      </c>
      <c r="C72" s="11">
        <v>70</v>
      </c>
      <c r="F72" s="11" t="s">
        <v>93</v>
      </c>
      <c r="G72" s="17" t="s">
        <v>98</v>
      </c>
      <c r="H72" s="10">
        <f t="shared" si="4"/>
        <v>7500</v>
      </c>
      <c r="M72" s="11">
        <v>7500</v>
      </c>
      <c r="AB72" s="21"/>
    </row>
    <row r="73" s="11" customFormat="1" spans="1:28">
      <c r="A73" s="11">
        <v>71</v>
      </c>
      <c r="C73" s="11">
        <v>71</v>
      </c>
      <c r="F73" s="11" t="s">
        <v>93</v>
      </c>
      <c r="G73" s="17" t="s">
        <v>99</v>
      </c>
      <c r="H73" s="10">
        <f t="shared" si="4"/>
        <v>1500</v>
      </c>
      <c r="K73" s="11">
        <v>1500</v>
      </c>
      <c r="AB73" s="21"/>
    </row>
    <row r="74" s="11" customFormat="1" spans="1:28">
      <c r="A74" s="11">
        <v>72</v>
      </c>
      <c r="B74" s="11" t="s">
        <v>166</v>
      </c>
      <c r="C74" s="11">
        <v>72</v>
      </c>
      <c r="D74" s="11" t="s">
        <v>166</v>
      </c>
      <c r="E74" s="11">
        <v>8825370430</v>
      </c>
      <c r="F74" s="11" t="s">
        <v>93</v>
      </c>
      <c r="G74" s="17" t="s">
        <v>100</v>
      </c>
      <c r="H74" s="10">
        <f t="shared" si="4"/>
        <v>0</v>
      </c>
      <c r="AB74" s="21"/>
    </row>
    <row r="75" s="11" customFormat="1" spans="1:28">
      <c r="A75" s="11">
        <v>73</v>
      </c>
      <c r="C75" s="11">
        <v>73</v>
      </c>
      <c r="E75" s="11">
        <v>9631378928</v>
      </c>
      <c r="F75" s="11" t="s">
        <v>93</v>
      </c>
      <c r="G75" s="17" t="s">
        <v>101</v>
      </c>
      <c r="H75" s="10">
        <f t="shared" si="4"/>
        <v>0</v>
      </c>
      <c r="AB75" s="21"/>
    </row>
    <row r="76" s="11" customFormat="1" spans="1:28">
      <c r="A76" s="11">
        <v>74</v>
      </c>
      <c r="C76" s="11">
        <v>74</v>
      </c>
      <c r="F76" s="11" t="s">
        <v>93</v>
      </c>
      <c r="G76" s="17" t="s">
        <v>102</v>
      </c>
      <c r="H76" s="10">
        <f t="shared" si="4"/>
        <v>0</v>
      </c>
      <c r="AB76" s="21"/>
    </row>
    <row r="77" s="11" customFormat="1" spans="1:28">
      <c r="A77" s="11">
        <v>75</v>
      </c>
      <c r="B77" s="11" t="s">
        <v>167</v>
      </c>
      <c r="C77" s="11">
        <v>75</v>
      </c>
      <c r="D77" s="11" t="s">
        <v>167</v>
      </c>
      <c r="E77" s="11">
        <v>6200769032</v>
      </c>
      <c r="F77" s="11" t="s">
        <v>103</v>
      </c>
      <c r="G77" s="17" t="s">
        <v>104</v>
      </c>
      <c r="H77" s="10">
        <f t="shared" si="4"/>
        <v>0</v>
      </c>
      <c r="AB77" s="21"/>
    </row>
    <row r="78" s="11" customFormat="1" spans="1:28">
      <c r="A78" s="11">
        <v>76</v>
      </c>
      <c r="B78" s="11" t="s">
        <v>168</v>
      </c>
      <c r="C78" s="11">
        <v>76</v>
      </c>
      <c r="D78" s="11" t="s">
        <v>168</v>
      </c>
      <c r="F78" s="11" t="s">
        <v>103</v>
      </c>
      <c r="G78" s="17" t="s">
        <v>105</v>
      </c>
      <c r="H78" s="10">
        <f t="shared" si="4"/>
        <v>7500</v>
      </c>
      <c r="K78" s="11">
        <v>7500</v>
      </c>
      <c r="AB78" s="21"/>
    </row>
    <row r="79" s="11" customFormat="1" spans="1:28">
      <c r="A79" s="11">
        <v>77</v>
      </c>
      <c r="B79" s="11" t="s">
        <v>169</v>
      </c>
      <c r="C79" s="11">
        <v>77</v>
      </c>
      <c r="D79" s="11" t="s">
        <v>169</v>
      </c>
      <c r="F79" s="11" t="s">
        <v>103</v>
      </c>
      <c r="G79" s="17" t="s">
        <v>106</v>
      </c>
      <c r="H79" s="10">
        <f t="shared" si="4"/>
        <v>0</v>
      </c>
      <c r="AB79" s="21"/>
    </row>
    <row r="80" s="11" customFormat="1" spans="1:28">
      <c r="A80" s="11">
        <v>78</v>
      </c>
      <c r="C80" s="11">
        <v>78</v>
      </c>
      <c r="G80" s="17" t="s">
        <v>107</v>
      </c>
      <c r="H80" s="10">
        <f t="shared" si="4"/>
        <v>0</v>
      </c>
      <c r="AB80" s="21"/>
    </row>
    <row r="81" s="11" customFormat="1" spans="1:28">
      <c r="A81" s="11">
        <v>79</v>
      </c>
      <c r="B81" s="11" t="s">
        <v>170</v>
      </c>
      <c r="C81" s="11">
        <v>79</v>
      </c>
      <c r="D81" s="11" t="s">
        <v>170</v>
      </c>
      <c r="E81" s="11" t="s">
        <v>171</v>
      </c>
      <c r="F81" s="11" t="s">
        <v>108</v>
      </c>
      <c r="G81" s="17" t="s">
        <v>109</v>
      </c>
      <c r="H81" s="10">
        <f t="shared" si="4"/>
        <v>0</v>
      </c>
      <c r="AB81" s="21"/>
    </row>
    <row r="82" s="11" customFormat="1" spans="1:28">
      <c r="A82" s="11">
        <v>80</v>
      </c>
      <c r="C82" s="11">
        <v>80</v>
      </c>
      <c r="G82" s="17" t="s">
        <v>110</v>
      </c>
      <c r="H82" s="10">
        <f t="shared" si="4"/>
        <v>0</v>
      </c>
      <c r="AB82" s="21"/>
    </row>
    <row r="83" s="11" customFormat="1" spans="1:28">
      <c r="A83" s="11">
        <v>81</v>
      </c>
      <c r="C83" s="11">
        <v>81</v>
      </c>
      <c r="F83" s="11" t="s">
        <v>111</v>
      </c>
      <c r="G83" s="17" t="s">
        <v>112</v>
      </c>
      <c r="H83" s="10">
        <f t="shared" si="4"/>
        <v>0</v>
      </c>
      <c r="AB83" s="21"/>
    </row>
    <row r="84" s="11" customFormat="1" spans="1:28">
      <c r="A84" s="11">
        <v>82</v>
      </c>
      <c r="C84" s="11">
        <v>82</v>
      </c>
      <c r="G84" s="17" t="s">
        <v>113</v>
      </c>
      <c r="H84" s="10">
        <f t="shared" si="4"/>
        <v>0</v>
      </c>
      <c r="AB84" s="21"/>
    </row>
    <row r="85" s="11" customFormat="1" spans="1:28">
      <c r="A85" s="11">
        <v>83</v>
      </c>
      <c r="B85" s="11" t="s">
        <v>172</v>
      </c>
      <c r="C85" s="11">
        <v>83</v>
      </c>
      <c r="D85" s="11" t="s">
        <v>172</v>
      </c>
      <c r="F85" s="11" t="s">
        <v>114</v>
      </c>
      <c r="G85" s="17" t="s">
        <v>115</v>
      </c>
      <c r="H85" s="10">
        <f t="shared" si="4"/>
        <v>0</v>
      </c>
      <c r="AB85" s="21"/>
    </row>
    <row r="86" s="11" customFormat="1" spans="1:28">
      <c r="A86" s="11">
        <v>84</v>
      </c>
      <c r="C86" s="11">
        <v>84</v>
      </c>
      <c r="E86" s="11">
        <v>9934079439</v>
      </c>
      <c r="F86" s="11" t="s">
        <v>114</v>
      </c>
      <c r="G86" s="17" t="s">
        <v>116</v>
      </c>
      <c r="H86" s="10">
        <f t="shared" si="4"/>
        <v>0</v>
      </c>
      <c r="AB86" s="21"/>
    </row>
    <row r="87" s="11" customFormat="1" spans="1:28">
      <c r="A87" s="11">
        <v>85</v>
      </c>
      <c r="B87" s="11" t="s">
        <v>173</v>
      </c>
      <c r="C87" s="11">
        <v>85</v>
      </c>
      <c r="D87" s="11" t="s">
        <v>173</v>
      </c>
      <c r="E87" s="11">
        <v>7004210181</v>
      </c>
      <c r="F87" s="11" t="s">
        <v>114</v>
      </c>
      <c r="G87" s="17" t="s">
        <v>117</v>
      </c>
      <c r="H87" s="10">
        <f t="shared" si="4"/>
        <v>0</v>
      </c>
      <c r="AB87" s="21"/>
    </row>
    <row r="88" s="11" customFormat="1" spans="1:28">
      <c r="A88" s="11">
        <v>86</v>
      </c>
      <c r="C88" s="11">
        <v>86</v>
      </c>
      <c r="F88" s="11" t="s">
        <v>118</v>
      </c>
      <c r="G88" s="17" t="s">
        <v>119</v>
      </c>
      <c r="H88" s="10">
        <f t="shared" si="4"/>
        <v>0</v>
      </c>
      <c r="AB88" s="21"/>
    </row>
    <row r="89" s="11" customFormat="1" spans="1:28">
      <c r="A89" s="11">
        <v>87</v>
      </c>
      <c r="C89" s="11">
        <v>87</v>
      </c>
      <c r="G89" s="17" t="s">
        <v>120</v>
      </c>
      <c r="H89" s="10">
        <f t="shared" si="4"/>
        <v>0</v>
      </c>
      <c r="AB89" s="21"/>
    </row>
    <row r="90" s="11" customFormat="1" spans="1:28">
      <c r="A90" s="11">
        <v>88</v>
      </c>
      <c r="B90" s="11" t="s">
        <v>174</v>
      </c>
      <c r="C90" s="11">
        <v>88</v>
      </c>
      <c r="D90" s="11" t="s">
        <v>174</v>
      </c>
      <c r="G90" s="17" t="s">
        <v>121</v>
      </c>
      <c r="H90" s="10">
        <f t="shared" si="4"/>
        <v>0</v>
      </c>
      <c r="AB90" s="21"/>
    </row>
    <row r="91" s="11" customFormat="1" spans="1:28">
      <c r="A91" s="11">
        <v>89</v>
      </c>
      <c r="C91" s="11">
        <v>89</v>
      </c>
      <c r="G91" s="17" t="s">
        <v>122</v>
      </c>
      <c r="H91" s="10">
        <f t="shared" si="4"/>
        <v>0</v>
      </c>
      <c r="AB91" s="21"/>
    </row>
    <row r="92" s="11" customFormat="1" spans="1:28">
      <c r="A92" s="11">
        <v>90</v>
      </c>
      <c r="C92" s="11">
        <v>90</v>
      </c>
      <c r="E92" s="11">
        <v>9015378357</v>
      </c>
      <c r="F92" s="11" t="s">
        <v>175</v>
      </c>
      <c r="G92" s="17" t="s">
        <v>123</v>
      </c>
      <c r="H92" s="10">
        <f t="shared" si="4"/>
        <v>0</v>
      </c>
      <c r="AB92" s="21"/>
    </row>
    <row r="93" s="11" customFormat="1" spans="1:28">
      <c r="A93" s="11">
        <v>91</v>
      </c>
      <c r="C93" s="11">
        <v>91</v>
      </c>
      <c r="G93" s="17" t="s">
        <v>124</v>
      </c>
      <c r="H93" s="10">
        <f t="shared" si="4"/>
        <v>0</v>
      </c>
      <c r="AB93" s="21"/>
    </row>
    <row r="94" s="11" customFormat="1" spans="1:28">
      <c r="A94" s="11">
        <v>92</v>
      </c>
      <c r="C94" s="11">
        <v>92</v>
      </c>
      <c r="F94" s="11" t="s">
        <v>125</v>
      </c>
      <c r="G94" s="17" t="s">
        <v>126</v>
      </c>
      <c r="H94" s="10">
        <f t="shared" si="4"/>
        <v>0</v>
      </c>
      <c r="AB94" s="21"/>
    </row>
    <row r="95" s="11" customFormat="1" spans="1:28">
      <c r="A95" s="11">
        <v>93</v>
      </c>
      <c r="C95" s="11">
        <v>93</v>
      </c>
      <c r="G95" s="17" t="s">
        <v>127</v>
      </c>
      <c r="H95" s="10">
        <f t="shared" si="4"/>
        <v>0</v>
      </c>
      <c r="AB95" s="21"/>
    </row>
    <row r="96" s="11" customFormat="1" spans="1:28">
      <c r="A96" s="11">
        <v>94</v>
      </c>
      <c r="C96" s="11">
        <v>94</v>
      </c>
      <c r="G96" s="17" t="s">
        <v>128</v>
      </c>
      <c r="H96" s="10">
        <f t="shared" si="4"/>
        <v>0</v>
      </c>
      <c r="AB96" s="21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tabSelected="1" workbookViewId="0">
      <selection activeCell="D59" sqref="A1:D59"/>
    </sheetView>
  </sheetViews>
  <sheetFormatPr defaultColWidth="9.14285714285714" defaultRowHeight="15" outlineLevelCol="3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129</v>
      </c>
      <c r="C1" s="3" t="s">
        <v>4</v>
      </c>
      <c r="D1" s="3" t="s">
        <v>176</v>
      </c>
    </row>
    <row r="2" spans="1:4">
      <c r="A2" s="4"/>
      <c r="B2" s="4"/>
      <c r="C2" s="5" t="s">
        <v>9</v>
      </c>
      <c r="D2" s="6">
        <f>Orders!F2-Collection!H2</f>
        <v>30500</v>
      </c>
    </row>
    <row r="3" spans="1:4">
      <c r="A3" s="7" t="s">
        <v>10</v>
      </c>
      <c r="B3" s="7">
        <v>9334066332</v>
      </c>
      <c r="C3" s="8" t="s">
        <v>11</v>
      </c>
      <c r="D3" s="9">
        <f>Orders!F3-Collection!H3</f>
        <v>0</v>
      </c>
    </row>
    <row r="4" spans="1:4">
      <c r="A4" s="7" t="s">
        <v>10</v>
      </c>
      <c r="B4" s="7">
        <v>9123417146</v>
      </c>
      <c r="C4" s="8" t="s">
        <v>12</v>
      </c>
      <c r="D4" s="9">
        <f>Orders!F4-Collection!H4</f>
        <v>0</v>
      </c>
    </row>
    <row r="5" spans="1:4">
      <c r="A5" s="7" t="s">
        <v>10</v>
      </c>
      <c r="B5" s="7">
        <v>8340365412</v>
      </c>
      <c r="C5" s="8" t="s">
        <v>14</v>
      </c>
      <c r="D5" s="9">
        <f>Orders!F5-Collection!H5</f>
        <v>0</v>
      </c>
    </row>
    <row r="6" spans="1:4">
      <c r="A6" s="7" t="s">
        <v>10</v>
      </c>
      <c r="B6" s="7">
        <v>9102317719</v>
      </c>
      <c r="C6" s="8" t="s">
        <v>16</v>
      </c>
      <c r="D6" s="9">
        <f>Orders!F6-Collection!H6</f>
        <v>0</v>
      </c>
    </row>
    <row r="7" spans="1:4">
      <c r="A7" s="7" t="s">
        <v>10</v>
      </c>
      <c r="B7" s="7">
        <v>8210924561</v>
      </c>
      <c r="C7" s="8" t="s">
        <v>18</v>
      </c>
      <c r="D7" s="9">
        <f>Orders!F7-Collection!H7</f>
        <v>0</v>
      </c>
    </row>
    <row r="8" spans="1:4">
      <c r="A8" s="7" t="s">
        <v>10</v>
      </c>
      <c r="B8" s="7">
        <v>9110978139</v>
      </c>
      <c r="C8" s="8" t="s">
        <v>20</v>
      </c>
      <c r="D8" s="9">
        <f>Orders!F8-Collection!H8</f>
        <v>0</v>
      </c>
    </row>
    <row r="9" spans="1:4">
      <c r="A9" s="7" t="s">
        <v>10</v>
      </c>
      <c r="B9" s="7">
        <v>8340201321</v>
      </c>
      <c r="C9" s="8" t="s">
        <v>21</v>
      </c>
      <c r="D9" s="9">
        <f>Orders!F9-Collection!H9</f>
        <v>0</v>
      </c>
    </row>
    <row r="10" spans="1:4">
      <c r="A10" s="7" t="s">
        <v>10</v>
      </c>
      <c r="B10" s="7">
        <v>7004365158</v>
      </c>
      <c r="C10" s="8" t="s">
        <v>23</v>
      </c>
      <c r="D10" s="9">
        <f>Orders!F10-Collection!H10</f>
        <v>0</v>
      </c>
    </row>
    <row r="11" spans="1:4">
      <c r="A11" s="7" t="s">
        <v>24</v>
      </c>
      <c r="B11" s="7">
        <v>9973022718</v>
      </c>
      <c r="C11" s="8" t="s">
        <v>25</v>
      </c>
      <c r="D11" s="9">
        <f>Orders!F11-Collection!H11</f>
        <v>2000</v>
      </c>
    </row>
    <row r="12" spans="1:4">
      <c r="A12" s="7" t="s">
        <v>24</v>
      </c>
      <c r="B12" s="7">
        <v>7004923653</v>
      </c>
      <c r="C12" s="8" t="s">
        <v>26</v>
      </c>
      <c r="D12" s="9">
        <f>Orders!F12-Collection!H12</f>
        <v>0</v>
      </c>
    </row>
    <row r="13" spans="1:4">
      <c r="A13" s="7" t="s">
        <v>24</v>
      </c>
      <c r="B13" s="7">
        <v>8340182577</v>
      </c>
      <c r="C13" s="8" t="s">
        <v>27</v>
      </c>
      <c r="D13" s="9">
        <f>Orders!F13-Collection!H13</f>
        <v>0</v>
      </c>
    </row>
    <row r="14" spans="1:4">
      <c r="A14" s="7" t="s">
        <v>24</v>
      </c>
      <c r="B14" s="7">
        <v>7004740439</v>
      </c>
      <c r="C14" s="8" t="s">
        <v>28</v>
      </c>
      <c r="D14" s="9">
        <f>Orders!F14-Collection!H14</f>
        <v>0</v>
      </c>
    </row>
    <row r="15" spans="1:4">
      <c r="A15" s="7" t="s">
        <v>24</v>
      </c>
      <c r="B15" s="7">
        <v>7004936104</v>
      </c>
      <c r="C15" s="8" t="s">
        <v>30</v>
      </c>
      <c r="D15" s="9">
        <f>Orders!F15-Collection!H15</f>
        <v>0</v>
      </c>
    </row>
    <row r="16" spans="1:4">
      <c r="A16" s="7" t="s">
        <v>24</v>
      </c>
      <c r="B16" s="7">
        <v>7321004323</v>
      </c>
      <c r="C16" s="8" t="s">
        <v>31</v>
      </c>
      <c r="D16" s="9">
        <f>Orders!F16-Collection!H16</f>
        <v>0</v>
      </c>
    </row>
    <row r="17" spans="1:4">
      <c r="A17" s="7" t="s">
        <v>24</v>
      </c>
      <c r="B17" s="7"/>
      <c r="C17" s="8" t="s">
        <v>33</v>
      </c>
      <c r="D17" s="9">
        <f>Orders!F17-Collection!H17</f>
        <v>0</v>
      </c>
    </row>
    <row r="18" spans="1:4">
      <c r="A18" s="7" t="s">
        <v>24</v>
      </c>
      <c r="B18" s="7"/>
      <c r="C18" s="8" t="s">
        <v>35</v>
      </c>
      <c r="D18" s="9">
        <f>Orders!F18-Collection!H18</f>
        <v>0</v>
      </c>
    </row>
    <row r="19" spans="1:4">
      <c r="A19" s="7" t="s">
        <v>24</v>
      </c>
      <c r="B19" s="7">
        <v>9608475282</v>
      </c>
      <c r="C19" s="8" t="s">
        <v>36</v>
      </c>
      <c r="D19" s="9">
        <f>Orders!F19-Collection!H19</f>
        <v>15000</v>
      </c>
    </row>
    <row r="20" spans="1:4">
      <c r="A20" s="7" t="s">
        <v>37</v>
      </c>
      <c r="B20" s="7">
        <v>9661555592</v>
      </c>
      <c r="C20" s="8" t="s">
        <v>38</v>
      </c>
      <c r="D20" s="9">
        <f>Orders!F20-Collection!H20</f>
        <v>3000</v>
      </c>
    </row>
    <row r="21" spans="1:4">
      <c r="A21" s="7" t="s">
        <v>37</v>
      </c>
      <c r="B21" s="7">
        <v>8340523512</v>
      </c>
      <c r="C21" s="8" t="s">
        <v>39</v>
      </c>
      <c r="D21" s="9">
        <f>Orders!F21-Collection!H21</f>
        <v>0</v>
      </c>
    </row>
    <row r="22" spans="1:4">
      <c r="A22" s="7" t="s">
        <v>37</v>
      </c>
      <c r="B22" s="7">
        <v>8825310472</v>
      </c>
      <c r="C22" s="8" t="s">
        <v>40</v>
      </c>
      <c r="D22" s="9">
        <f>Orders!F22-Collection!H22</f>
        <v>0</v>
      </c>
    </row>
    <row r="23" spans="1:4">
      <c r="A23" s="7" t="s">
        <v>37</v>
      </c>
      <c r="B23" s="7">
        <v>7004478123</v>
      </c>
      <c r="C23" s="8" t="s">
        <v>41</v>
      </c>
      <c r="D23" s="9">
        <f>Orders!F23-Collection!H23</f>
        <v>0</v>
      </c>
    </row>
    <row r="24" spans="1:4">
      <c r="A24" s="7" t="s">
        <v>37</v>
      </c>
      <c r="B24" s="7">
        <v>7667895364</v>
      </c>
      <c r="C24" s="8" t="s">
        <v>42</v>
      </c>
      <c r="D24" s="9">
        <f>Orders!F24-Collection!H24</f>
        <v>0</v>
      </c>
    </row>
    <row r="25" spans="1:4">
      <c r="A25" s="7" t="s">
        <v>37</v>
      </c>
      <c r="B25" s="7">
        <v>7006041121</v>
      </c>
      <c r="C25" s="8" t="s">
        <v>43</v>
      </c>
      <c r="D25" s="9">
        <f>Orders!F25-Collection!H25</f>
        <v>0</v>
      </c>
    </row>
    <row r="26" spans="1:4">
      <c r="A26" s="7" t="s">
        <v>37</v>
      </c>
      <c r="B26" s="7">
        <v>8709658240</v>
      </c>
      <c r="C26" s="8" t="s">
        <v>44</v>
      </c>
      <c r="D26" s="9">
        <f>Orders!F26-Collection!H26</f>
        <v>0</v>
      </c>
    </row>
    <row r="27" spans="1:4">
      <c r="A27" s="7" t="s">
        <v>37</v>
      </c>
      <c r="B27" s="7">
        <v>8709612020</v>
      </c>
      <c r="C27" s="8" t="s">
        <v>45</v>
      </c>
      <c r="D27" s="9">
        <f>Orders!F27-Collection!H27</f>
        <v>7500</v>
      </c>
    </row>
    <row r="28" spans="1:4">
      <c r="A28" s="7" t="s">
        <v>37</v>
      </c>
      <c r="B28" s="7">
        <v>9973040600</v>
      </c>
      <c r="C28" s="8" t="s">
        <v>46</v>
      </c>
      <c r="D28" s="9">
        <f>Orders!F28-Collection!H28</f>
        <v>0</v>
      </c>
    </row>
    <row r="29" spans="1:4">
      <c r="A29" s="7" t="s">
        <v>37</v>
      </c>
      <c r="B29" s="7">
        <v>9973345687</v>
      </c>
      <c r="C29" s="8" t="s">
        <v>47</v>
      </c>
      <c r="D29" s="9">
        <f>Orders!F29-Collection!H29</f>
        <v>0</v>
      </c>
    </row>
    <row r="30" spans="1:4">
      <c r="A30" s="7" t="s">
        <v>37</v>
      </c>
      <c r="B30" s="7">
        <v>9631391206</v>
      </c>
      <c r="C30" s="8" t="s">
        <v>48</v>
      </c>
      <c r="D30" s="9">
        <f>Orders!F30-Collection!H30</f>
        <v>0</v>
      </c>
    </row>
    <row r="31" spans="1:4">
      <c r="A31" s="7" t="s">
        <v>37</v>
      </c>
      <c r="B31" s="7">
        <v>8340565882</v>
      </c>
      <c r="C31" s="8" t="s">
        <v>49</v>
      </c>
      <c r="D31" s="9">
        <f>Orders!F31-Collection!H31</f>
        <v>0</v>
      </c>
    </row>
    <row r="32" spans="1:4">
      <c r="A32" s="7" t="s">
        <v>37</v>
      </c>
      <c r="B32" s="7">
        <v>7004134938</v>
      </c>
      <c r="C32" s="8" t="s">
        <v>50</v>
      </c>
      <c r="D32" s="9">
        <f>Orders!F32-Collection!H32</f>
        <v>0</v>
      </c>
    </row>
    <row r="33" spans="1:4">
      <c r="A33" s="7" t="s">
        <v>37</v>
      </c>
      <c r="B33" s="7">
        <v>7488143097</v>
      </c>
      <c r="C33" s="8" t="s">
        <v>51</v>
      </c>
      <c r="D33" s="9">
        <f>Orders!F33-Collection!H33</f>
        <v>0</v>
      </c>
    </row>
    <row r="34" spans="1:4">
      <c r="A34" s="7" t="s">
        <v>52</v>
      </c>
      <c r="B34" s="7">
        <v>9110951966</v>
      </c>
      <c r="C34" s="8" t="s">
        <v>53</v>
      </c>
      <c r="D34" s="9">
        <f>Orders!F34-Collection!H34</f>
        <v>0</v>
      </c>
    </row>
    <row r="35" spans="1:4">
      <c r="A35" s="7" t="s">
        <v>52</v>
      </c>
      <c r="B35" s="7">
        <v>7909015301</v>
      </c>
      <c r="C35" s="8" t="s">
        <v>54</v>
      </c>
      <c r="D35" s="9">
        <f>Orders!F35-Collection!H35</f>
        <v>0</v>
      </c>
    </row>
    <row r="36" spans="1:4">
      <c r="A36" s="7" t="s">
        <v>52</v>
      </c>
      <c r="B36" s="7">
        <v>7654800030</v>
      </c>
      <c r="C36" s="8" t="s">
        <v>55</v>
      </c>
      <c r="D36" s="9">
        <f>Orders!F36-Collection!H36</f>
        <v>0</v>
      </c>
    </row>
    <row r="37" spans="1:4">
      <c r="A37" s="7" t="s">
        <v>52</v>
      </c>
      <c r="B37" s="7">
        <v>7004687743</v>
      </c>
      <c r="C37" s="8" t="s">
        <v>56</v>
      </c>
      <c r="D37" s="9">
        <f>Orders!F37-Collection!H37</f>
        <v>0</v>
      </c>
    </row>
    <row r="38" spans="1:4">
      <c r="A38" s="7" t="s">
        <v>52</v>
      </c>
      <c r="B38" s="7"/>
      <c r="C38" s="8" t="s">
        <v>57</v>
      </c>
      <c r="D38" s="9">
        <f>Orders!F38-Collection!H38</f>
        <v>0</v>
      </c>
    </row>
    <row r="39" spans="1:4">
      <c r="A39" s="7" t="s">
        <v>52</v>
      </c>
      <c r="B39" s="7">
        <v>9708329918</v>
      </c>
      <c r="C39" s="8" t="s">
        <v>58</v>
      </c>
      <c r="D39" s="9">
        <f>Orders!F39-Collection!H39</f>
        <v>0</v>
      </c>
    </row>
    <row r="40" spans="1:4">
      <c r="A40" s="7" t="s">
        <v>52</v>
      </c>
      <c r="B40" s="7">
        <v>8709954402</v>
      </c>
      <c r="C40" s="8" t="s">
        <v>59</v>
      </c>
      <c r="D40" s="9">
        <f>Orders!F40-Collection!H40</f>
        <v>0</v>
      </c>
    </row>
    <row r="41" spans="1:4">
      <c r="A41" s="7" t="s">
        <v>52</v>
      </c>
      <c r="B41" s="7">
        <v>8102542369</v>
      </c>
      <c r="C41" s="8" t="s">
        <v>60</v>
      </c>
      <c r="D41" s="9">
        <f>Orders!F41-Collection!H41</f>
        <v>0</v>
      </c>
    </row>
    <row r="42" spans="1:4">
      <c r="A42" s="7" t="s">
        <v>52</v>
      </c>
      <c r="B42" s="7">
        <v>9304671707</v>
      </c>
      <c r="C42" s="8" t="s">
        <v>61</v>
      </c>
      <c r="D42" s="9">
        <f>Orders!F42-Collection!H42</f>
        <v>0</v>
      </c>
    </row>
    <row r="43" spans="1:4">
      <c r="A43" s="7" t="s">
        <v>52</v>
      </c>
      <c r="B43" s="7">
        <v>8210095108</v>
      </c>
      <c r="C43" s="8" t="s">
        <v>62</v>
      </c>
      <c r="D43" s="9">
        <f>Orders!F43-Collection!H43</f>
        <v>0</v>
      </c>
    </row>
    <row r="44" spans="1:4">
      <c r="A44" s="7" t="s">
        <v>52</v>
      </c>
      <c r="B44" s="7"/>
      <c r="C44" s="8" t="s">
        <v>63</v>
      </c>
      <c r="D44" s="9">
        <f>Orders!F44-Collection!H44</f>
        <v>0</v>
      </c>
    </row>
    <row r="45" spans="1:4">
      <c r="A45" s="7" t="s">
        <v>52</v>
      </c>
      <c r="B45" s="7">
        <v>8588878618</v>
      </c>
      <c r="C45" s="8" t="s">
        <v>64</v>
      </c>
      <c r="D45" s="9">
        <f>Orders!F45-Collection!H45</f>
        <v>0</v>
      </c>
    </row>
    <row r="46" spans="1:4">
      <c r="A46" s="7" t="s">
        <v>65</v>
      </c>
      <c r="B46" s="7">
        <v>7004687745</v>
      </c>
      <c r="C46" s="8" t="s">
        <v>66</v>
      </c>
      <c r="D46" s="9">
        <f>Orders!F46-Collection!H46</f>
        <v>0</v>
      </c>
    </row>
    <row r="47" spans="1:4">
      <c r="A47" s="7" t="s">
        <v>65</v>
      </c>
      <c r="B47" s="7">
        <v>7004454705</v>
      </c>
      <c r="C47" s="8" t="s">
        <v>67</v>
      </c>
      <c r="D47" s="9">
        <f>Orders!F47-Collection!H47</f>
        <v>0</v>
      </c>
    </row>
    <row r="48" spans="1:4">
      <c r="A48" s="7" t="s">
        <v>65</v>
      </c>
      <c r="B48" s="7"/>
      <c r="C48" s="8" t="s">
        <v>68</v>
      </c>
      <c r="D48" s="9">
        <f>Orders!F48-Collection!H48</f>
        <v>0</v>
      </c>
    </row>
    <row r="49" spans="1:4">
      <c r="A49" s="7" t="s">
        <v>65</v>
      </c>
      <c r="B49" s="7">
        <v>8863097933</v>
      </c>
      <c r="C49" s="8" t="s">
        <v>69</v>
      </c>
      <c r="D49" s="9">
        <f>Orders!F49-Collection!H49</f>
        <v>0</v>
      </c>
    </row>
    <row r="50" spans="1:4">
      <c r="A50" s="7" t="s">
        <v>65</v>
      </c>
      <c r="B50" s="7">
        <v>9835443096</v>
      </c>
      <c r="C50" s="8" t="s">
        <v>70</v>
      </c>
      <c r="D50" s="9">
        <f>Orders!F50-Collection!H50</f>
        <v>0</v>
      </c>
    </row>
    <row r="51" spans="1:4">
      <c r="A51" s="7" t="s">
        <v>65</v>
      </c>
      <c r="B51" s="7">
        <v>7004191817</v>
      </c>
      <c r="C51" s="8" t="s">
        <v>71</v>
      </c>
      <c r="D51" s="9">
        <f>Orders!F51-Collection!H51</f>
        <v>0</v>
      </c>
    </row>
    <row r="52" spans="1:4">
      <c r="A52" s="7" t="s">
        <v>65</v>
      </c>
      <c r="B52" s="7"/>
      <c r="C52" s="8" t="s">
        <v>72</v>
      </c>
      <c r="D52" s="9">
        <f>Orders!F52-Collection!H52</f>
        <v>0</v>
      </c>
    </row>
    <row r="53" spans="1:4">
      <c r="A53" s="7" t="s">
        <v>65</v>
      </c>
      <c r="B53" s="7">
        <v>7004423721</v>
      </c>
      <c r="C53" s="8" t="s">
        <v>73</v>
      </c>
      <c r="D53" s="9">
        <f>Orders!F53-Collection!H53</f>
        <v>0</v>
      </c>
    </row>
    <row r="54" spans="1:4">
      <c r="A54" s="7" t="s">
        <v>65</v>
      </c>
      <c r="B54" s="7">
        <v>6202424016</v>
      </c>
      <c r="C54" s="8" t="s">
        <v>74</v>
      </c>
      <c r="D54" s="9">
        <f>Orders!F54-Collection!H54</f>
        <v>0</v>
      </c>
    </row>
    <row r="55" spans="1:4">
      <c r="A55" s="7" t="s">
        <v>65</v>
      </c>
      <c r="B55" s="7"/>
      <c r="C55" s="8" t="s">
        <v>75</v>
      </c>
      <c r="D55" s="9">
        <f>Orders!F55-Collection!H55</f>
        <v>0</v>
      </c>
    </row>
    <row r="56" spans="1:4">
      <c r="A56" s="7" t="s">
        <v>65</v>
      </c>
      <c r="B56" s="7">
        <v>7870055507</v>
      </c>
      <c r="C56" s="8" t="s">
        <v>76</v>
      </c>
      <c r="D56" s="9">
        <f>Orders!F56-Collection!H56</f>
        <v>0</v>
      </c>
    </row>
    <row r="57" spans="1:4">
      <c r="A57" s="7" t="s">
        <v>65</v>
      </c>
      <c r="B57" s="7">
        <v>6202424016</v>
      </c>
      <c r="C57" s="8" t="s">
        <v>77</v>
      </c>
      <c r="D57" s="9">
        <f>Orders!F57-Collection!H57</f>
        <v>0</v>
      </c>
    </row>
    <row r="58" spans="1:4">
      <c r="A58" s="7" t="s">
        <v>78</v>
      </c>
      <c r="B58" s="7">
        <v>7004211364</v>
      </c>
      <c r="C58" s="8" t="s">
        <v>79</v>
      </c>
      <c r="D58" s="9">
        <f>Orders!F58-Collection!H58</f>
        <v>0</v>
      </c>
    </row>
    <row r="59" spans="1:4">
      <c r="A59" s="7" t="s">
        <v>78</v>
      </c>
      <c r="B59" s="7">
        <v>7979985074</v>
      </c>
      <c r="C59" s="8" t="s">
        <v>80</v>
      </c>
      <c r="D59" s="9">
        <f>Orders!F59-Collection!H59</f>
        <v>3000</v>
      </c>
    </row>
    <row r="60" spans="1:4">
      <c r="A60" s="7" t="s">
        <v>78</v>
      </c>
      <c r="B60" s="7">
        <v>9304063435</v>
      </c>
      <c r="C60" s="8" t="s">
        <v>81</v>
      </c>
      <c r="D60" s="9">
        <f>Orders!F60-Collection!H60</f>
        <v>0</v>
      </c>
    </row>
    <row r="61" spans="1:4">
      <c r="A61" s="7" t="s">
        <v>78</v>
      </c>
      <c r="B61" s="7"/>
      <c r="C61" s="8" t="s">
        <v>82</v>
      </c>
      <c r="D61" s="9">
        <f>Orders!F61-Collection!H61</f>
        <v>0</v>
      </c>
    </row>
    <row r="62" spans="1:4">
      <c r="A62" s="7" t="s">
        <v>83</v>
      </c>
      <c r="B62" s="7">
        <v>9504958065</v>
      </c>
      <c r="C62" s="8" t="s">
        <v>84</v>
      </c>
      <c r="D62" s="9">
        <f>Orders!F62-Collection!H62</f>
        <v>0</v>
      </c>
    </row>
    <row r="63" spans="1:4">
      <c r="A63" s="7" t="s">
        <v>83</v>
      </c>
      <c r="B63" s="7">
        <v>9852299192</v>
      </c>
      <c r="C63" s="8" t="s">
        <v>85</v>
      </c>
      <c r="D63" s="9">
        <f>Orders!F63-Collection!H63</f>
        <v>0</v>
      </c>
    </row>
    <row r="64" spans="1:4">
      <c r="A64" s="7" t="s">
        <v>83</v>
      </c>
      <c r="B64" s="7">
        <v>9931812966</v>
      </c>
      <c r="C64" s="8" t="s">
        <v>87</v>
      </c>
      <c r="D64" s="9">
        <f>Orders!F64-Collection!H64</f>
        <v>0</v>
      </c>
    </row>
    <row r="65" spans="1:4">
      <c r="A65" s="7" t="s">
        <v>88</v>
      </c>
      <c r="B65" s="7">
        <v>7004399486</v>
      </c>
      <c r="C65" s="7" t="s">
        <v>89</v>
      </c>
      <c r="D65" s="9">
        <f>Orders!F65-Collection!H65</f>
        <v>0</v>
      </c>
    </row>
    <row r="66" spans="1:4">
      <c r="A66" s="7" t="s">
        <v>88</v>
      </c>
      <c r="B66" s="7">
        <v>9939935008</v>
      </c>
      <c r="C66" s="8" t="s">
        <v>90</v>
      </c>
      <c r="D66" s="9">
        <f>Orders!F66-Collection!H66</f>
        <v>0</v>
      </c>
    </row>
    <row r="67" spans="1:4">
      <c r="A67" s="7" t="s">
        <v>91</v>
      </c>
      <c r="B67" s="7">
        <v>8271027441</v>
      </c>
      <c r="C67" s="8" t="s">
        <v>92</v>
      </c>
      <c r="D67" s="9">
        <f>Orders!F67-Collection!H67</f>
        <v>0</v>
      </c>
    </row>
    <row r="68" spans="1:4">
      <c r="A68" s="7" t="s">
        <v>93</v>
      </c>
      <c r="B68" s="7">
        <v>8709494155</v>
      </c>
      <c r="C68" s="8" t="s">
        <v>94</v>
      </c>
      <c r="D68" s="9">
        <f>Orders!F68-Collection!H68</f>
        <v>0</v>
      </c>
    </row>
    <row r="69" spans="1:4">
      <c r="A69" s="7" t="s">
        <v>93</v>
      </c>
      <c r="B69" s="7"/>
      <c r="C69" s="8" t="s">
        <v>95</v>
      </c>
      <c r="D69" s="9">
        <f>Orders!F69-Collection!H69</f>
        <v>0</v>
      </c>
    </row>
    <row r="70" spans="1:4">
      <c r="A70" s="7" t="s">
        <v>93</v>
      </c>
      <c r="B70" s="7"/>
      <c r="C70" s="8" t="s">
        <v>96</v>
      </c>
      <c r="D70" s="9">
        <f>Orders!F70-Collection!H70</f>
        <v>0</v>
      </c>
    </row>
    <row r="71" spans="1:4">
      <c r="A71" s="7" t="s">
        <v>93</v>
      </c>
      <c r="B71" s="7">
        <v>6202448688</v>
      </c>
      <c r="C71" s="8" t="s">
        <v>97</v>
      </c>
      <c r="D71" s="9">
        <f>Orders!F71-Collection!H71</f>
        <v>0</v>
      </c>
    </row>
    <row r="72" spans="1:4">
      <c r="A72" s="7" t="s">
        <v>93</v>
      </c>
      <c r="B72" s="7">
        <v>8709017189</v>
      </c>
      <c r="C72" s="8" t="s">
        <v>98</v>
      </c>
      <c r="D72" s="9">
        <f>Orders!F72-Collection!H72</f>
        <v>0</v>
      </c>
    </row>
    <row r="73" spans="1:4">
      <c r="A73" s="7" t="s">
        <v>93</v>
      </c>
      <c r="B73" s="7">
        <v>7909071642</v>
      </c>
      <c r="C73" s="8" t="s">
        <v>99</v>
      </c>
      <c r="D73" s="9">
        <f>Orders!F73-Collection!H73</f>
        <v>0</v>
      </c>
    </row>
    <row r="74" spans="1:4">
      <c r="A74" s="7" t="s">
        <v>93</v>
      </c>
      <c r="B74" s="7">
        <v>8825370430</v>
      </c>
      <c r="C74" s="8" t="s">
        <v>100</v>
      </c>
      <c r="D74" s="9">
        <f>Orders!F74-Collection!H74</f>
        <v>0</v>
      </c>
    </row>
    <row r="75" spans="1:4">
      <c r="A75" s="7" t="s">
        <v>93</v>
      </c>
      <c r="B75" s="7">
        <v>9631378928</v>
      </c>
      <c r="C75" s="8" t="s">
        <v>101</v>
      </c>
      <c r="D75" s="9">
        <f>Orders!F75-Collection!H75</f>
        <v>0</v>
      </c>
    </row>
    <row r="76" spans="1:4">
      <c r="A76" s="7" t="s">
        <v>93</v>
      </c>
      <c r="B76" s="7">
        <v>8271027441</v>
      </c>
      <c r="C76" s="8" t="s">
        <v>102</v>
      </c>
      <c r="D76" s="9">
        <f>Orders!F76-Collection!H76</f>
        <v>0</v>
      </c>
    </row>
    <row r="77" spans="1:4">
      <c r="A77" s="7" t="s">
        <v>103</v>
      </c>
      <c r="B77" s="7">
        <v>6200769032</v>
      </c>
      <c r="C77" s="8" t="s">
        <v>104</v>
      </c>
      <c r="D77" s="9">
        <f>Orders!F77-Collection!H77</f>
        <v>0</v>
      </c>
    </row>
    <row r="78" spans="1:4">
      <c r="A78" s="7" t="s">
        <v>103</v>
      </c>
      <c r="B78" s="7">
        <v>7004695819</v>
      </c>
      <c r="C78" s="8" t="s">
        <v>105</v>
      </c>
      <c r="D78" s="9">
        <f>Orders!F78-Collection!H78</f>
        <v>0</v>
      </c>
    </row>
    <row r="79" spans="1:4">
      <c r="A79" s="7" t="s">
        <v>103</v>
      </c>
      <c r="B79" s="7">
        <v>8789354609</v>
      </c>
      <c r="C79" s="8" t="s">
        <v>106</v>
      </c>
      <c r="D79" s="9">
        <f>Orders!F79-Collection!H79</f>
        <v>0</v>
      </c>
    </row>
    <row r="80" spans="1:4">
      <c r="A80" s="7"/>
      <c r="B80" s="7"/>
      <c r="C80" s="8" t="s">
        <v>107</v>
      </c>
      <c r="D80" s="9">
        <f>Orders!F80-Collection!H80</f>
        <v>0</v>
      </c>
    </row>
    <row r="81" spans="1:4">
      <c r="A81" s="7" t="s">
        <v>108</v>
      </c>
      <c r="B81" s="7">
        <v>8789783884</v>
      </c>
      <c r="C81" s="8" t="s">
        <v>109</v>
      </c>
      <c r="D81" s="9">
        <f>Orders!F81-Collection!H81</f>
        <v>0</v>
      </c>
    </row>
    <row r="82" spans="1:4">
      <c r="A82" s="7"/>
      <c r="B82" s="7"/>
      <c r="C82" s="8" t="s">
        <v>110</v>
      </c>
      <c r="D82" s="9">
        <f>Orders!F82-Collection!H82</f>
        <v>0</v>
      </c>
    </row>
    <row r="83" spans="1:4">
      <c r="A83" s="7" t="s">
        <v>111</v>
      </c>
      <c r="B83" s="7">
        <v>7079312729</v>
      </c>
      <c r="C83" s="8" t="s">
        <v>112</v>
      </c>
      <c r="D83" s="9">
        <f>Orders!F83-Collection!H83</f>
        <v>0</v>
      </c>
    </row>
    <row r="84" spans="1:4">
      <c r="A84" s="7"/>
      <c r="B84" s="7"/>
      <c r="C84" s="8" t="s">
        <v>113</v>
      </c>
      <c r="D84" s="9">
        <f>Orders!F84-Collection!H84</f>
        <v>0</v>
      </c>
    </row>
    <row r="85" spans="1:4">
      <c r="A85" s="7" t="s">
        <v>114</v>
      </c>
      <c r="B85" s="7">
        <v>7979068575</v>
      </c>
      <c r="C85" s="8" t="s">
        <v>115</v>
      </c>
      <c r="D85" s="9">
        <f>Orders!F85-Collection!H85</f>
        <v>0</v>
      </c>
    </row>
    <row r="86" spans="1:4">
      <c r="A86" s="7" t="s">
        <v>114</v>
      </c>
      <c r="B86" s="7">
        <v>9934079439</v>
      </c>
      <c r="C86" s="8" t="s">
        <v>116</v>
      </c>
      <c r="D86" s="9">
        <f>Orders!F86-Collection!H86</f>
        <v>0</v>
      </c>
    </row>
    <row r="87" spans="1:4">
      <c r="A87" s="7" t="s">
        <v>114</v>
      </c>
      <c r="B87" s="7">
        <v>7004210181</v>
      </c>
      <c r="C87" s="8" t="s">
        <v>117</v>
      </c>
      <c r="D87" s="9">
        <f>Orders!F87-Collection!H87</f>
        <v>0</v>
      </c>
    </row>
    <row r="88" spans="1:4">
      <c r="A88" s="7" t="s">
        <v>118</v>
      </c>
      <c r="B88" s="7"/>
      <c r="C88" s="8" t="s">
        <v>119</v>
      </c>
      <c r="D88" s="9">
        <f>Orders!F88-Collection!H88</f>
        <v>0</v>
      </c>
    </row>
    <row r="89" spans="1:4">
      <c r="A89" s="7"/>
      <c r="B89" s="7"/>
      <c r="C89" s="8" t="s">
        <v>120</v>
      </c>
      <c r="D89" s="9">
        <f>Orders!F89-Collection!H89</f>
        <v>0</v>
      </c>
    </row>
    <row r="90" spans="1:4">
      <c r="A90" s="7"/>
      <c r="B90" s="7"/>
      <c r="C90" s="8" t="s">
        <v>121</v>
      </c>
      <c r="D90" s="9">
        <f>Orders!F90-Collection!H90</f>
        <v>0</v>
      </c>
    </row>
    <row r="91" spans="1:4">
      <c r="A91" s="7"/>
      <c r="B91" s="7"/>
      <c r="C91" s="8" t="s">
        <v>122</v>
      </c>
      <c r="D91" s="9">
        <f>Orders!F91-Collection!H91</f>
        <v>0</v>
      </c>
    </row>
    <row r="92" spans="1:4">
      <c r="A92" s="7"/>
      <c r="B92" s="7">
        <v>9015378357</v>
      </c>
      <c r="C92" s="8" t="s">
        <v>123</v>
      </c>
      <c r="D92" s="9">
        <f>Orders!F92-Collection!H92</f>
        <v>0</v>
      </c>
    </row>
    <row r="93" spans="1:4">
      <c r="A93" s="7"/>
      <c r="B93" s="7"/>
      <c r="C93" s="8" t="s">
        <v>124</v>
      </c>
      <c r="D93" s="9">
        <f>Orders!F93-Collection!H93</f>
        <v>0</v>
      </c>
    </row>
    <row r="94" spans="1:4">
      <c r="A94" s="7"/>
      <c r="B94" s="7">
        <v>7254967519</v>
      </c>
      <c r="C94" s="8" t="s">
        <v>126</v>
      </c>
      <c r="D94" s="9">
        <f>Orders!F94-Collection!H94</f>
        <v>0</v>
      </c>
    </row>
    <row r="95" spans="1:4">
      <c r="A95" s="7"/>
      <c r="B95" s="7"/>
      <c r="C95" s="8" t="s">
        <v>127</v>
      </c>
      <c r="D95" s="9">
        <f>Orders!F95-Collection!H95</f>
        <v>0</v>
      </c>
    </row>
    <row r="96" spans="1:4">
      <c r="A96" s="7"/>
      <c r="B96" s="7"/>
      <c r="C96" s="8" t="s">
        <v>128</v>
      </c>
      <c r="D96" s="9">
        <f>Orders!F96-Collection!H96</f>
        <v>0</v>
      </c>
    </row>
  </sheetData>
  <autoFilter ref="A1:D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2021-03-07T02:42:41Z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  <property fmtid="{D5CDD505-2E9C-101B-9397-08002B2CF9AE}" pid="3" name="KSOReadingLayout">
    <vt:bool>true</vt:bool>
  </property>
</Properties>
</file>