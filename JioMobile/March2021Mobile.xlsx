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<sst xmlns="http://schemas.openxmlformats.org/spreadsheetml/2006/main" count="651" uniqueCount="177">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</sst>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3" borderId="2" applyNumberForma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0" fillId="26" borderId="9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5" fillId="26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J3" activePane="bottomRight" state="frozen"/>
      <selection/>
      <selection pane="topRight"/>
      <selection pane="bottomLeft"/>
      <selection pane="bottomRight" activeCell="M1" sqref="M1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250500</v>
      </c>
      <c r="D2" s="14">
        <f>SUM(H3:H121)</f>
        <v>250500</v>
      </c>
      <c r="E2" s="15" t="s">
        <v>9</v>
      </c>
      <c r="F2" s="25">
        <f>H2+I2</f>
        <v>250500</v>
      </c>
      <c r="G2" s="25">
        <f>H2/1500</f>
        <v>167</v>
      </c>
      <c r="H2" s="14">
        <f>SUM(J2:AN2)</f>
        <v>250500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10">
        <f t="shared" si="2"/>
        <v>10</v>
      </c>
      <c r="H10" s="10">
        <f t="shared" si="3"/>
        <v>15000</v>
      </c>
      <c r="I10" s="33"/>
      <c r="K10" s="11">
        <f>10*1500</f>
        <v>15000</v>
      </c>
    </row>
    <row r="11" s="11" customFormat="1" spans="1:9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10">
        <f t="shared" si="2"/>
        <v>0</v>
      </c>
      <c r="H11" s="10">
        <f t="shared" si="3"/>
        <v>0</v>
      </c>
      <c r="I11" s="33"/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12">
      <c r="A27" s="11">
        <v>25</v>
      </c>
      <c r="D27" s="11" t="s">
        <v>37</v>
      </c>
      <c r="E27" s="17" t="s">
        <v>45</v>
      </c>
      <c r="F27" s="10">
        <f t="shared" si="1"/>
        <v>7500</v>
      </c>
      <c r="G27" s="10">
        <f t="shared" si="2"/>
        <v>5</v>
      </c>
      <c r="H27" s="10">
        <f t="shared" si="3"/>
        <v>7500</v>
      </c>
      <c r="I27" s="33"/>
      <c r="L27" s="11">
        <f>5*1500</f>
        <v>7500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9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10">
        <f t="shared" si="2"/>
        <v>0</v>
      </c>
      <c r="H34" s="10">
        <f t="shared" si="3"/>
        <v>0</v>
      </c>
      <c r="I34" s="33"/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10">
        <f t="shared" si="5"/>
        <v>0</v>
      </c>
      <c r="H37" s="10">
        <f t="shared" si="6"/>
        <v>0</v>
      </c>
      <c r="I37" s="33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9">
      <c r="A43" s="11">
        <v>41</v>
      </c>
      <c r="D43" s="11" t="s">
        <v>52</v>
      </c>
      <c r="E43" s="17" t="s">
        <v>62</v>
      </c>
      <c r="F43" s="10">
        <f t="shared" si="4"/>
        <v>0</v>
      </c>
      <c r="G43" s="10">
        <f t="shared" si="5"/>
        <v>0</v>
      </c>
      <c r="H43" s="10">
        <f t="shared" si="6"/>
        <v>0</v>
      </c>
      <c r="I43" s="33"/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33"/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9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33"/>
    </row>
    <row r="62" s="11" customFormat="1" spans="1:9">
      <c r="A62" s="11">
        <v>60</v>
      </c>
      <c r="B62" s="29"/>
      <c r="D62" s="11" t="s">
        <v>83</v>
      </c>
      <c r="E62" s="28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33"/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9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33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9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33"/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14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33"/>
      <c r="N72" s="11">
        <f>5*1500</f>
        <v>7500</v>
      </c>
    </row>
    <row r="73" s="11" customFormat="1" spans="1:12">
      <c r="A73" s="11">
        <v>71</v>
      </c>
      <c r="D73" s="11" t="s">
        <v>93</v>
      </c>
      <c r="E73" s="17" t="s">
        <v>99</v>
      </c>
      <c r="F73" s="10">
        <f t="shared" si="7"/>
        <v>1500</v>
      </c>
      <c r="G73" s="10">
        <f t="shared" si="8"/>
        <v>1</v>
      </c>
      <c r="H73" s="10">
        <f t="shared" si="9"/>
        <v>1500</v>
      </c>
      <c r="I73" s="33"/>
      <c r="L73" s="11">
        <f>1*1500</f>
        <v>1500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6">
      <c r="A80" s="11">
        <v>78</v>
      </c>
      <c r="B80" s="29"/>
      <c r="E80" s="28" t="s">
        <v>107</v>
      </c>
      <c r="F80" s="10">
        <f t="shared" si="7"/>
        <v>0</v>
      </c>
      <c r="G80" s="10">
        <f t="shared" si="8"/>
        <v>0</v>
      </c>
      <c r="H80" s="10">
        <f t="shared" si="9"/>
        <v>0</v>
      </c>
      <c r="I80" s="33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W80" s="34"/>
      <c r="X80" s="29"/>
      <c r="Y80" s="34"/>
      <c r="Z80" s="34"/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34"/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33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36" activePane="bottomRight" state="frozen"/>
      <selection/>
      <selection pane="topRight"/>
      <selection pane="bottomLeft"/>
      <selection pane="bottomRight" activeCell="M101" sqref="M10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222000</v>
      </c>
      <c r="G2" s="15" t="s">
        <v>9</v>
      </c>
      <c r="H2" s="16">
        <f>SUM(I2:AM2)</f>
        <v>222000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M72" s="11">
        <v>7500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1500</v>
      </c>
      <c r="K73" s="11">
        <v>1500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28500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3000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7500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2021-03-06T03:10:37Z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