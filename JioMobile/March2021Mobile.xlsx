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Guddu sold 1 phone</t>
        </r>
      </text>
    </comment>
    <comment ref="R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3300- Sold 2 mobile by Guddu 2*1650</t>
        </r>
      </text>
    </comment>
    <comment ref="S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Sold 1 mobile by guddu
3000- Sold 2 mobile by vijay to FOS</t>
        </r>
      </text>
    </comment>
    <comment ref="U8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2200-Digital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<sst xmlns="http://schemas.openxmlformats.org/spreadsheetml/2006/main" count="651" uniqueCount="177">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</sst>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7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6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24" borderId="7" applyNumberFormat="0" applyFon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0" borderId="3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7" fillId="27" borderId="9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9" fillId="27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S78" activePane="bottomRight" state="frozen"/>
      <selection/>
      <selection pane="topRight"/>
      <selection pane="bottomLeft"/>
      <selection pane="bottomRight" activeCell="V88" sqref="V88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282000</v>
      </c>
      <c r="D2" s="14">
        <f>SUM(H3:H121)</f>
        <v>282000</v>
      </c>
      <c r="E2" s="15" t="s">
        <v>9</v>
      </c>
      <c r="F2" s="25">
        <f>H2+I2</f>
        <v>282000</v>
      </c>
      <c r="G2" s="25">
        <f>H2/1500</f>
        <v>188</v>
      </c>
      <c r="H2" s="14">
        <f>SUM(J2:AN2)</f>
        <v>282000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3000</v>
      </c>
      <c r="T2" s="10">
        <f t="shared" si="0"/>
        <v>4500</v>
      </c>
      <c r="U2" s="10">
        <f t="shared" si="0"/>
        <v>0</v>
      </c>
      <c r="V2" s="10">
        <f t="shared" si="0"/>
        <v>3000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11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15000</v>
      </c>
      <c r="G10" s="10">
        <f t="shared" si="2"/>
        <v>10</v>
      </c>
      <c r="H10" s="10">
        <f t="shared" si="3"/>
        <v>15000</v>
      </c>
      <c r="I10" s="33"/>
      <c r="K10" s="11">
        <f>10*1500</f>
        <v>15000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12">
      <c r="A27" s="11">
        <v>25</v>
      </c>
      <c r="D27" s="11" t="s">
        <v>37</v>
      </c>
      <c r="E27" s="17" t="s">
        <v>45</v>
      </c>
      <c r="F27" s="10">
        <f t="shared" si="1"/>
        <v>7500</v>
      </c>
      <c r="G27" s="10">
        <f t="shared" si="2"/>
        <v>5</v>
      </c>
      <c r="H27" s="10">
        <f t="shared" si="3"/>
        <v>7500</v>
      </c>
      <c r="I27" s="33"/>
      <c r="L27" s="11">
        <f>5*1500</f>
        <v>7500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18">
      <c r="A34" s="11">
        <v>32</v>
      </c>
      <c r="D34" s="11" t="s">
        <v>52</v>
      </c>
      <c r="E34" s="17" t="s">
        <v>53</v>
      </c>
      <c r="F34" s="10">
        <f t="shared" si="1"/>
        <v>3000</v>
      </c>
      <c r="G34" s="10">
        <f t="shared" si="2"/>
        <v>2</v>
      </c>
      <c r="H34" s="10">
        <f t="shared" si="3"/>
        <v>3000</v>
      </c>
      <c r="I34" s="33"/>
      <c r="R34" s="11">
        <f>2*1500</f>
        <v>3000</v>
      </c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9">
      <c r="A37" s="11">
        <v>35</v>
      </c>
      <c r="D37" s="11" t="s">
        <v>52</v>
      </c>
      <c r="E37" s="17" t="s">
        <v>56</v>
      </c>
      <c r="F37" s="10">
        <f t="shared" si="4"/>
        <v>0</v>
      </c>
      <c r="G37" s="10">
        <f t="shared" si="5"/>
        <v>0</v>
      </c>
      <c r="H37" s="10">
        <f t="shared" si="6"/>
        <v>0</v>
      </c>
      <c r="I37" s="33"/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17">
      <c r="A43" s="11">
        <v>41</v>
      </c>
      <c r="D43" s="11" t="s">
        <v>52</v>
      </c>
      <c r="E43" s="17" t="s">
        <v>62</v>
      </c>
      <c r="F43" s="10">
        <f t="shared" si="4"/>
        <v>1500</v>
      </c>
      <c r="G43" s="10">
        <f t="shared" si="5"/>
        <v>1</v>
      </c>
      <c r="H43" s="10">
        <f t="shared" si="6"/>
        <v>1500</v>
      </c>
      <c r="I43" s="33"/>
      <c r="Q43" s="11">
        <f>1*1500</f>
        <v>1500</v>
      </c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9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33"/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12">
      <c r="A58" s="11">
        <v>56</v>
      </c>
      <c r="D58" s="11" t="s">
        <v>78</v>
      </c>
      <c r="E58" s="17" t="s">
        <v>79</v>
      </c>
      <c r="F58" s="10">
        <f t="shared" si="4"/>
        <v>3000</v>
      </c>
      <c r="G58" s="10">
        <f t="shared" si="5"/>
        <v>2</v>
      </c>
      <c r="H58" s="10">
        <f t="shared" si="6"/>
        <v>3000</v>
      </c>
      <c r="I58" s="33"/>
      <c r="L58" s="11">
        <f>2*1500</f>
        <v>3000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17">
      <c r="A61" s="11">
        <v>59</v>
      </c>
      <c r="D61" s="11" t="s">
        <v>78</v>
      </c>
      <c r="E61" s="17" t="s">
        <v>82</v>
      </c>
      <c r="F61" s="10">
        <f t="shared" si="4"/>
        <v>3000</v>
      </c>
      <c r="G61" s="10">
        <f t="shared" si="5"/>
        <v>2</v>
      </c>
      <c r="H61" s="10">
        <f t="shared" si="6"/>
        <v>3000</v>
      </c>
      <c r="I61" s="33"/>
      <c r="Q61" s="11">
        <f>2*1500</f>
        <v>3000</v>
      </c>
    </row>
    <row r="62" s="11" customFormat="1" spans="1:9">
      <c r="A62" s="11">
        <v>60</v>
      </c>
      <c r="B62" s="29"/>
      <c r="D62" s="11" t="s">
        <v>83</v>
      </c>
      <c r="E62" s="28" t="s">
        <v>84</v>
      </c>
      <c r="F62" s="10">
        <f t="shared" si="4"/>
        <v>0</v>
      </c>
      <c r="G62" s="10">
        <f t="shared" si="5"/>
        <v>0</v>
      </c>
      <c r="H62" s="10">
        <f t="shared" si="6"/>
        <v>0</v>
      </c>
      <c r="I62" s="33"/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9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33"/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18">
      <c r="A70" s="11">
        <v>68</v>
      </c>
      <c r="D70" s="11" t="s">
        <v>93</v>
      </c>
      <c r="E70" s="17" t="s">
        <v>96</v>
      </c>
      <c r="F70" s="10">
        <f t="shared" si="7"/>
        <v>1500</v>
      </c>
      <c r="G70" s="10">
        <f t="shared" si="8"/>
        <v>1</v>
      </c>
      <c r="H70" s="10">
        <f t="shared" si="9"/>
        <v>1500</v>
      </c>
      <c r="I70" s="33"/>
      <c r="R70" s="11">
        <f>1*1500</f>
        <v>1500</v>
      </c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14">
      <c r="A72" s="11">
        <v>70</v>
      </c>
      <c r="D72" s="11" t="s">
        <v>93</v>
      </c>
      <c r="E72" s="17" t="s">
        <v>98</v>
      </c>
      <c r="F72" s="10">
        <f t="shared" si="7"/>
        <v>7500</v>
      </c>
      <c r="G72" s="10">
        <f t="shared" si="8"/>
        <v>5</v>
      </c>
      <c r="H72" s="10">
        <f t="shared" si="9"/>
        <v>7500</v>
      </c>
      <c r="I72" s="33"/>
      <c r="N72" s="11">
        <f>5*1500</f>
        <v>7500</v>
      </c>
    </row>
    <row r="73" s="11" customFormat="1" spans="1:18">
      <c r="A73" s="11">
        <v>71</v>
      </c>
      <c r="D73" s="11" t="s">
        <v>93</v>
      </c>
      <c r="E73" s="17" t="s">
        <v>99</v>
      </c>
      <c r="F73" s="10">
        <f t="shared" si="7"/>
        <v>6000</v>
      </c>
      <c r="G73" s="10">
        <f t="shared" si="8"/>
        <v>4</v>
      </c>
      <c r="H73" s="10">
        <f t="shared" si="9"/>
        <v>6000</v>
      </c>
      <c r="I73" s="33"/>
      <c r="L73" s="11">
        <f>1*1500</f>
        <v>1500</v>
      </c>
      <c r="R73" s="11">
        <f>3*1500</f>
        <v>4500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6">
      <c r="A80" s="11">
        <v>78</v>
      </c>
      <c r="B80" s="29"/>
      <c r="E80" s="28" t="s">
        <v>107</v>
      </c>
      <c r="F80" s="10">
        <f t="shared" si="7"/>
        <v>9000</v>
      </c>
      <c r="G80" s="10">
        <f t="shared" si="8"/>
        <v>6</v>
      </c>
      <c r="H80" s="10">
        <f t="shared" si="9"/>
        <v>9000</v>
      </c>
      <c r="I80" s="33"/>
      <c r="J80" s="29"/>
      <c r="K80" s="29"/>
      <c r="L80" s="29"/>
      <c r="M80" s="29"/>
      <c r="N80" s="29"/>
      <c r="O80" s="29"/>
      <c r="P80" s="29"/>
      <c r="Q80" s="29">
        <f>1*1500</f>
        <v>1500</v>
      </c>
      <c r="R80" s="29"/>
      <c r="S80" s="29">
        <f>2*1500</f>
        <v>3000</v>
      </c>
      <c r="T80" s="29">
        <f>3*1500</f>
        <v>4500</v>
      </c>
      <c r="U80" s="29"/>
      <c r="W80" s="34"/>
      <c r="X80" s="29"/>
      <c r="Y80" s="34"/>
      <c r="Z80" s="34"/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3000</v>
      </c>
      <c r="G88" s="10">
        <f t="shared" si="8"/>
        <v>2</v>
      </c>
      <c r="H88" s="10">
        <f t="shared" si="9"/>
        <v>3000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29">
        <f>2*1500</f>
        <v>3000</v>
      </c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9">
      <c r="A92" s="11">
        <v>90</v>
      </c>
      <c r="E92" s="17" t="s">
        <v>123</v>
      </c>
      <c r="F92" s="10">
        <f t="shared" si="7"/>
        <v>0</v>
      </c>
      <c r="G92" s="10">
        <f t="shared" si="8"/>
        <v>0</v>
      </c>
      <c r="H92" s="10">
        <f t="shared" si="9"/>
        <v>0</v>
      </c>
      <c r="I92" s="33"/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P87" activePane="bottomRight" state="frozen"/>
      <selection/>
      <selection pane="topRight"/>
      <selection pane="bottomLeft"/>
      <selection pane="bottomRight" activeCell="T103" sqref="T103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254500</v>
      </c>
      <c r="G2" s="15" t="s">
        <v>9</v>
      </c>
      <c r="H2" s="16">
        <f>SUM(I2:AM2)</f>
        <v>254500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4500</v>
      </c>
      <c r="Q2" s="10">
        <f t="shared" si="0"/>
        <v>10500</v>
      </c>
      <c r="R2" s="10">
        <f t="shared" si="0"/>
        <v>6000</v>
      </c>
      <c r="S2" s="10">
        <f t="shared" si="0"/>
        <v>4500</v>
      </c>
      <c r="T2" s="10">
        <f t="shared" si="0"/>
        <v>0</v>
      </c>
      <c r="U2" s="10">
        <f t="shared" si="0"/>
        <v>3000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15000</v>
      </c>
      <c r="J10" s="11">
        <v>15000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4000</v>
      </c>
      <c r="N11" s="11">
        <v>4000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AB19" s="21"/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3000</v>
      </c>
      <c r="R20" s="19">
        <v>3000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3000</v>
      </c>
      <c r="Q34" s="11">
        <v>3000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28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Q43" s="11">
        <v>1500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3000</v>
      </c>
      <c r="K58" s="11">
        <v>3000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3000</v>
      </c>
      <c r="P61" s="19">
        <v>3000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1500</v>
      </c>
      <c r="Q70" s="11">
        <v>1500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7500</v>
      </c>
      <c r="M72" s="11">
        <v>7500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6000</v>
      </c>
      <c r="K73" s="11">
        <v>1500</v>
      </c>
      <c r="Q73" s="11">
        <v>4500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9000</v>
      </c>
      <c r="P80" s="11">
        <v>1500</v>
      </c>
      <c r="R80" s="11">
        <v>3000</v>
      </c>
      <c r="S80" s="11">
        <v>4500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3000</v>
      </c>
      <c r="U88" s="19">
        <v>3000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59" sqref="A1:D5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27500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2000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15000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7500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2021-03-14T02:02:36Z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