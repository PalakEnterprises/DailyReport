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sharedStrings.xml><?xml version="1.0" encoding="utf-8"?>
<sst xmlns="http://schemas.openxmlformats.org/spreadsheetml/2006/main" count="653" uniqueCount="177">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</sst>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5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30" borderId="8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3" fillId="23" borderId="7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7" fillId="23" borderId="8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8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6" fontId="1" fillId="8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</xf>
    <xf numFmtId="176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16"/>
  <sheetViews>
    <sheetView workbookViewId="0">
      <pane xSplit="8" ySplit="2" topLeftCell="I3" activePane="bottomRight" state="frozen"/>
      <selection/>
      <selection pane="topRight"/>
      <selection pane="bottomLeft"/>
      <selection pane="bottomRight" activeCell="I3" sqref="I3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0" customWidth="1"/>
    <col min="10" max="39" width="9.14285714285714" style="12"/>
    <col min="41" max="16384" width="9.14285714285714" style="12"/>
  </cols>
  <sheetData>
    <row r="1" s="11" customFormat="1" spans="1:4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6">
        <v>44348</v>
      </c>
      <c r="K1" s="26">
        <v>44349</v>
      </c>
      <c r="L1" s="26">
        <v>44350</v>
      </c>
      <c r="M1" s="26">
        <v>44351</v>
      </c>
      <c r="N1" s="26">
        <v>44352</v>
      </c>
      <c r="O1" s="26">
        <v>44353</v>
      </c>
      <c r="P1" s="26">
        <v>44354</v>
      </c>
      <c r="Q1" s="26">
        <v>44355</v>
      </c>
      <c r="R1" s="26">
        <v>44356</v>
      </c>
      <c r="S1" s="26">
        <v>44357</v>
      </c>
      <c r="T1" s="26">
        <v>44358</v>
      </c>
      <c r="U1" s="26">
        <v>44359</v>
      </c>
      <c r="V1" s="26">
        <v>44360</v>
      </c>
      <c r="W1" s="26">
        <v>44361</v>
      </c>
      <c r="X1" s="26">
        <v>44362</v>
      </c>
      <c r="Y1" s="26">
        <v>44363</v>
      </c>
      <c r="Z1" s="26">
        <v>44364</v>
      </c>
      <c r="AA1" s="26">
        <v>44365</v>
      </c>
      <c r="AB1" s="26">
        <v>44366</v>
      </c>
      <c r="AC1" s="26">
        <v>44367</v>
      </c>
      <c r="AD1" s="26">
        <v>44368</v>
      </c>
      <c r="AE1" s="26">
        <v>44369</v>
      </c>
      <c r="AF1" s="26">
        <v>44370</v>
      </c>
      <c r="AG1" s="26">
        <v>44371</v>
      </c>
      <c r="AH1" s="26">
        <v>44372</v>
      </c>
      <c r="AI1" s="26">
        <v>44373</v>
      </c>
      <c r="AJ1" s="26">
        <v>44374</v>
      </c>
      <c r="AK1" s="26">
        <v>44375</v>
      </c>
      <c r="AL1" s="26">
        <v>44376</v>
      </c>
      <c r="AM1" s="26">
        <v>44377</v>
      </c>
      <c r="AN1"/>
      <c r="AO1" s="1"/>
      <c r="AP1" s="1"/>
      <c r="AQ1" s="1"/>
      <c r="AR1" s="1"/>
      <c r="AS1" s="29"/>
      <c r="AT1" s="29"/>
    </row>
    <row r="2" s="11" customFormat="1" spans="1:40">
      <c r="A2" s="14"/>
      <c r="B2" s="22">
        <f>SUM(F3:F121)</f>
        <v>101500</v>
      </c>
      <c r="D2" s="15">
        <f>SUM(H3:H121)</f>
        <v>0</v>
      </c>
      <c r="E2" s="16" t="s">
        <v>9</v>
      </c>
      <c r="F2" s="23">
        <f>H2+I2</f>
        <v>101500</v>
      </c>
      <c r="G2" s="23">
        <f>H2/1500</f>
        <v>0</v>
      </c>
      <c r="H2" s="15">
        <f>SUM(J2:AN2)</f>
        <v>0</v>
      </c>
      <c r="I2" s="27">
        <f>SUM(I3:I121)</f>
        <v>101500</v>
      </c>
      <c r="J2" s="11">
        <f>SUM(J3:J121)</f>
        <v>0</v>
      </c>
      <c r="K2" s="11">
        <f t="shared" ref="K2:AN2" si="0">SUM(K3:K121)</f>
        <v>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  <c r="AN2"/>
    </row>
    <row r="3" s="12" customFormat="1" spans="1:5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0</v>
      </c>
      <c r="H3" s="11">
        <f>SUM(J3:AN3)</f>
        <v>0</v>
      </c>
      <c r="I3" s="28">
        <v>7500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28">
        <v>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4500</v>
      </c>
      <c r="G5" s="11">
        <f t="shared" si="2"/>
        <v>0</v>
      </c>
      <c r="H5" s="11">
        <f t="shared" si="3"/>
        <v>0</v>
      </c>
      <c r="I5" s="28">
        <v>4500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0</v>
      </c>
      <c r="H6" s="11">
        <f t="shared" si="3"/>
        <v>0</v>
      </c>
      <c r="I6" s="28">
        <v>4500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0</v>
      </c>
      <c r="G7" s="11">
        <f t="shared" si="2"/>
        <v>0</v>
      </c>
      <c r="H7" s="11">
        <f t="shared" si="3"/>
        <v>0</v>
      </c>
      <c r="I7" s="28">
        <v>0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0</v>
      </c>
      <c r="G8" s="11">
        <f t="shared" si="2"/>
        <v>0</v>
      </c>
      <c r="H8" s="11">
        <f t="shared" si="3"/>
        <v>0</v>
      </c>
      <c r="I8" s="28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28">
        <v>0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15000</v>
      </c>
      <c r="G10" s="11">
        <f t="shared" si="2"/>
        <v>0</v>
      </c>
      <c r="H10" s="11">
        <f t="shared" si="3"/>
        <v>0</v>
      </c>
      <c r="I10" s="28">
        <v>15000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28">
        <v>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28">
        <v>0</v>
      </c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28">
        <v>0</v>
      </c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28">
        <v>0</v>
      </c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28">
        <v>0</v>
      </c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28">
        <v>0</v>
      </c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28">
        <v>0</v>
      </c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24" t="s">
        <v>34</v>
      </c>
      <c r="C18" s="12">
        <v>683909556</v>
      </c>
      <c r="D18" s="12" t="s">
        <v>24</v>
      </c>
      <c r="E18" s="25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28">
        <v>0</v>
      </c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28">
        <v>5000</v>
      </c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28">
        <v>0</v>
      </c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0</v>
      </c>
      <c r="H21" s="11">
        <f t="shared" si="3"/>
        <v>0</v>
      </c>
      <c r="I21" s="28">
        <v>3000</v>
      </c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28">
        <v>0</v>
      </c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28">
        <v>0</v>
      </c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28">
        <v>0</v>
      </c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18" t="s">
        <v>43</v>
      </c>
      <c r="F25" s="11">
        <f t="shared" si="1"/>
        <v>0</v>
      </c>
      <c r="G25" s="11">
        <f t="shared" si="2"/>
        <v>0</v>
      </c>
      <c r="H25" s="11">
        <f t="shared" si="3"/>
        <v>0</v>
      </c>
      <c r="I25" s="28">
        <v>0</v>
      </c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28">
        <v>0</v>
      </c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0</v>
      </c>
      <c r="H27" s="11">
        <f t="shared" si="3"/>
        <v>0</v>
      </c>
      <c r="I27" s="28">
        <v>3000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28">
        <v>0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28">
        <v>0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28"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28"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18" t="s">
        <v>50</v>
      </c>
      <c r="F32" s="11">
        <f t="shared" si="1"/>
        <v>15000</v>
      </c>
      <c r="G32" s="11">
        <f t="shared" si="2"/>
        <v>0</v>
      </c>
      <c r="H32" s="11">
        <f t="shared" si="3"/>
        <v>0</v>
      </c>
      <c r="I32" s="28">
        <v>15000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28"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0</v>
      </c>
      <c r="H34" s="11">
        <f t="shared" si="3"/>
        <v>0</v>
      </c>
      <c r="I34" s="28">
        <v>1500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28"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18" t="s">
        <v>55</v>
      </c>
      <c r="F36" s="11">
        <f t="shared" si="4"/>
        <v>3500</v>
      </c>
      <c r="G36" s="11">
        <f t="shared" si="5"/>
        <v>0</v>
      </c>
      <c r="H36" s="11">
        <f t="shared" ref="H36:H67" si="6">SUM(J36:AN36)</f>
        <v>0</v>
      </c>
      <c r="I36" s="28">
        <v>3500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18" t="s">
        <v>56</v>
      </c>
      <c r="F37" s="11">
        <f t="shared" si="4"/>
        <v>0</v>
      </c>
      <c r="G37" s="11">
        <f t="shared" si="5"/>
        <v>0</v>
      </c>
      <c r="H37" s="11">
        <f t="shared" si="6"/>
        <v>0</v>
      </c>
      <c r="I37" s="28"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28">
        <v>0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0</v>
      </c>
      <c r="H39" s="11">
        <f t="shared" si="6"/>
        <v>0</v>
      </c>
      <c r="I39" s="28">
        <v>4500</v>
      </c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28">
        <v>0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0</v>
      </c>
      <c r="H41" s="11">
        <f t="shared" si="6"/>
        <v>0</v>
      </c>
      <c r="I41" s="28">
        <v>3000</v>
      </c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18" t="s">
        <v>61</v>
      </c>
      <c r="F42" s="11">
        <f t="shared" si="4"/>
        <v>1500</v>
      </c>
      <c r="G42" s="11">
        <f t="shared" si="5"/>
        <v>0</v>
      </c>
      <c r="H42" s="11">
        <f t="shared" si="6"/>
        <v>0</v>
      </c>
      <c r="I42" s="28">
        <v>1500</v>
      </c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18" t="s">
        <v>62</v>
      </c>
      <c r="F43" s="11">
        <f t="shared" si="4"/>
        <v>4500</v>
      </c>
      <c r="G43" s="11">
        <f t="shared" si="5"/>
        <v>0</v>
      </c>
      <c r="H43" s="11">
        <f t="shared" si="6"/>
        <v>0</v>
      </c>
      <c r="I43" s="28">
        <v>4500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28">
        <v>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18" t="s">
        <v>64</v>
      </c>
      <c r="F45" s="11">
        <f t="shared" si="4"/>
        <v>6000</v>
      </c>
      <c r="G45" s="11">
        <f t="shared" si="5"/>
        <v>0</v>
      </c>
      <c r="H45" s="11">
        <f t="shared" si="6"/>
        <v>0</v>
      </c>
      <c r="I45" s="28">
        <v>6000</v>
      </c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18" t="s">
        <v>66</v>
      </c>
      <c r="F46" s="11">
        <f t="shared" si="4"/>
        <v>0</v>
      </c>
      <c r="G46" s="11">
        <f t="shared" si="5"/>
        <v>0</v>
      </c>
      <c r="H46" s="11">
        <f t="shared" si="6"/>
        <v>0</v>
      </c>
      <c r="I46" s="28">
        <v>0</v>
      </c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18" t="s">
        <v>67</v>
      </c>
      <c r="F47" s="11">
        <f t="shared" si="4"/>
        <v>0</v>
      </c>
      <c r="G47" s="11">
        <f t="shared" si="5"/>
        <v>0</v>
      </c>
      <c r="H47" s="11">
        <f t="shared" si="6"/>
        <v>0</v>
      </c>
      <c r="I47" s="28">
        <v>0</v>
      </c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28">
        <v>0</v>
      </c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18" t="s">
        <v>69</v>
      </c>
      <c r="F49" s="11">
        <f t="shared" si="4"/>
        <v>3000</v>
      </c>
      <c r="G49" s="11">
        <f t="shared" si="5"/>
        <v>0</v>
      </c>
      <c r="H49" s="11">
        <f t="shared" si="6"/>
        <v>0</v>
      </c>
      <c r="I49" s="28">
        <v>3000</v>
      </c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28">
        <v>0</v>
      </c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28">
        <v>0</v>
      </c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28">
        <v>0</v>
      </c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28">
        <v>0</v>
      </c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28">
        <v>0</v>
      </c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24"/>
      <c r="D55" s="12" t="s">
        <v>65</v>
      </c>
      <c r="E55" s="25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28">
        <v>0</v>
      </c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24"/>
      <c r="D56" s="12" t="s">
        <v>65</v>
      </c>
      <c r="E56" s="25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28">
        <v>0</v>
      </c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24"/>
      <c r="D57" s="12" t="s">
        <v>65</v>
      </c>
      <c r="E57" s="25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28">
        <v>0</v>
      </c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18" t="s">
        <v>79</v>
      </c>
      <c r="F58" s="11">
        <f t="shared" si="4"/>
        <v>1500</v>
      </c>
      <c r="G58" s="11">
        <f t="shared" si="5"/>
        <v>0</v>
      </c>
      <c r="H58" s="11">
        <f t="shared" si="6"/>
        <v>0</v>
      </c>
      <c r="I58" s="28">
        <v>1500</v>
      </c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18" t="s">
        <v>80</v>
      </c>
      <c r="F59" s="11">
        <f t="shared" si="4"/>
        <v>9000</v>
      </c>
      <c r="G59" s="11">
        <f t="shared" si="5"/>
        <v>0</v>
      </c>
      <c r="H59" s="11">
        <f t="shared" si="6"/>
        <v>0</v>
      </c>
      <c r="I59" s="28">
        <v>9000</v>
      </c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28">
        <v>0</v>
      </c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28">
        <v>0</v>
      </c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24"/>
      <c r="D62" s="12" t="s">
        <v>83</v>
      </c>
      <c r="E62" s="25" t="s">
        <v>84</v>
      </c>
      <c r="F62" s="11">
        <f t="shared" si="4"/>
        <v>3000</v>
      </c>
      <c r="G62" s="11">
        <f t="shared" si="5"/>
        <v>0</v>
      </c>
      <c r="H62" s="11">
        <f t="shared" si="6"/>
        <v>0</v>
      </c>
      <c r="I62" s="28">
        <v>3000</v>
      </c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24"/>
      <c r="D63" s="12" t="s">
        <v>83</v>
      </c>
      <c r="E63" s="25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28">
        <v>0</v>
      </c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28">
        <v>0</v>
      </c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0">
        <v>0</v>
      </c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24"/>
      <c r="D66" s="12" t="s">
        <v>88</v>
      </c>
      <c r="E66" s="25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28">
        <v>0</v>
      </c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24"/>
      <c r="D67" s="12" t="s">
        <v>91</v>
      </c>
      <c r="E67" s="25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28">
        <v>0</v>
      </c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28">
        <v>0</v>
      </c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28">
        <v>0</v>
      </c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28">
        <v>0</v>
      </c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28">
        <v>0</v>
      </c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18" t="s">
        <v>98</v>
      </c>
      <c r="F72" s="11">
        <f t="shared" si="7"/>
        <v>0</v>
      </c>
      <c r="G72" s="11">
        <f t="shared" si="8"/>
        <v>0</v>
      </c>
      <c r="H72" s="11">
        <f t="shared" si="9"/>
        <v>0</v>
      </c>
      <c r="I72" s="28">
        <v>0</v>
      </c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18" t="s">
        <v>99</v>
      </c>
      <c r="F73" s="11">
        <f t="shared" si="7"/>
        <v>3000</v>
      </c>
      <c r="G73" s="11">
        <f t="shared" si="8"/>
        <v>0</v>
      </c>
      <c r="H73" s="11">
        <f t="shared" si="9"/>
        <v>0</v>
      </c>
      <c r="I73" s="28">
        <v>3000</v>
      </c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24"/>
      <c r="D74" s="12" t="s">
        <v>93</v>
      </c>
      <c r="E74" s="25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28">
        <v>0</v>
      </c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28">
        <v>0</v>
      </c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24"/>
      <c r="D76" s="12" t="s">
        <v>93</v>
      </c>
      <c r="E76" s="25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28">
        <v>0</v>
      </c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28">
        <v>0</v>
      </c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28">
        <v>0</v>
      </c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28">
        <v>0</v>
      </c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24"/>
      <c r="E80" s="25" t="s">
        <v>107</v>
      </c>
      <c r="F80" s="11">
        <f t="shared" si="7"/>
        <v>0</v>
      </c>
      <c r="G80" s="11">
        <f t="shared" si="8"/>
        <v>0</v>
      </c>
      <c r="H80" s="11">
        <f t="shared" si="9"/>
        <v>0</v>
      </c>
      <c r="I80" s="28">
        <v>0</v>
      </c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24"/>
      <c r="D81" s="12" t="s">
        <v>108</v>
      </c>
      <c r="E81" s="25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28">
        <v>0</v>
      </c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24"/>
      <c r="E82" s="25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28">
        <v>0</v>
      </c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24"/>
      <c r="D83" s="12" t="s">
        <v>111</v>
      </c>
      <c r="E83" s="25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28">
        <v>0</v>
      </c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24"/>
      <c r="E84" s="25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28">
        <v>0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24"/>
      <c r="D85" s="12" t="s">
        <v>114</v>
      </c>
      <c r="E85" s="25" t="s">
        <v>115</v>
      </c>
      <c r="F85" s="11">
        <f t="shared" si="7"/>
        <v>0</v>
      </c>
      <c r="G85" s="11">
        <f t="shared" si="8"/>
        <v>0</v>
      </c>
      <c r="H85" s="11">
        <f t="shared" si="9"/>
        <v>0</v>
      </c>
      <c r="I85" s="28">
        <v>0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28">
        <v>0</v>
      </c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24"/>
      <c r="C87" s="12">
        <v>683879115</v>
      </c>
      <c r="D87" s="12" t="s">
        <v>114</v>
      </c>
      <c r="E87" s="25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28">
        <v>0</v>
      </c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24"/>
      <c r="D88" s="12" t="s">
        <v>118</v>
      </c>
      <c r="E88" s="25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28">
        <v>0</v>
      </c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24"/>
      <c r="E89" s="25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28">
        <v>0</v>
      </c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24"/>
      <c r="E90" s="25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28">
        <v>0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24"/>
      <c r="E91" s="25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28">
        <v>0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18" t="s">
        <v>124</v>
      </c>
      <c r="F92" s="11">
        <f t="shared" si="7"/>
        <v>0</v>
      </c>
      <c r="G92" s="11">
        <f t="shared" si="8"/>
        <v>0</v>
      </c>
      <c r="H92" s="11">
        <f t="shared" si="9"/>
        <v>0</v>
      </c>
      <c r="I92" s="28">
        <v>0</v>
      </c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18" t="s">
        <v>125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28">
        <v>0</v>
      </c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18" t="s">
        <v>127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28">
        <v>0</v>
      </c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18" t="s">
        <v>128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28">
        <v>0</v>
      </c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18" t="s">
        <v>129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28">
        <v>0</v>
      </c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9:50">
      <c r="I97" s="20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9:50">
      <c r="I98" s="20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9:50">
      <c r="I99" s="20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9:50">
      <c r="I100" s="2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9:50">
      <c r="I101" s="20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9:50">
      <c r="I102" s="20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9:50">
      <c r="I103" s="20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9:50">
      <c r="I104" s="20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9:50">
      <c r="I105" s="20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9:50">
      <c r="I106" s="20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9:50">
      <c r="I107" s="20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9:50">
      <c r="I108" s="20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9:50">
      <c r="I109" s="20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9:50">
      <c r="I110" s="2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9:50">
      <c r="I111" s="20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9:50">
      <c r="I112" s="20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9:50">
      <c r="I113" s="20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9:50">
      <c r="I114" s="20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0:50"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0:41"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O1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12"/>
  <sheetViews>
    <sheetView tabSelected="1" topLeftCell="C1" workbookViewId="0">
      <pane xSplit="6" ySplit="2" topLeftCell="I3" activePane="bottomRight" state="frozen"/>
      <selection/>
      <selection pane="topRight"/>
      <selection pane="bottomLeft"/>
      <selection pane="bottomRight" activeCell="K4" sqref="K4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8" width="7.14285714285714" style="12" customWidth="1"/>
    <col min="39" max="39" width="7.14285714285714" customWidth="1"/>
    <col min="41" max="16384" width="9.14285714285714" style="12"/>
  </cols>
  <sheetData>
    <row r="1" s="11" customFormat="1" spans="1:40">
      <c r="A1" s="13" t="s">
        <v>0</v>
      </c>
      <c r="B1" s="13" t="s">
        <v>1</v>
      </c>
      <c r="C1" s="13" t="s">
        <v>0</v>
      </c>
      <c r="D1" s="13" t="s">
        <v>1</v>
      </c>
      <c r="E1" s="13" t="s">
        <v>130</v>
      </c>
      <c r="F1" s="13" t="s">
        <v>3</v>
      </c>
      <c r="G1" s="13" t="s">
        <v>4</v>
      </c>
      <c r="H1" s="13" t="s">
        <v>131</v>
      </c>
      <c r="I1" s="19">
        <v>44348</v>
      </c>
      <c r="J1" s="19">
        <v>44349</v>
      </c>
      <c r="K1" s="19">
        <v>44350</v>
      </c>
      <c r="L1" s="19">
        <v>44351</v>
      </c>
      <c r="M1" s="19">
        <v>44352</v>
      </c>
      <c r="N1" s="19">
        <v>44353</v>
      </c>
      <c r="O1" s="19">
        <v>44354</v>
      </c>
      <c r="P1" s="19">
        <v>44355</v>
      </c>
      <c r="Q1" s="19">
        <v>44356</v>
      </c>
      <c r="R1" s="19">
        <v>44357</v>
      </c>
      <c r="S1" s="19">
        <v>44358</v>
      </c>
      <c r="T1" s="19">
        <v>44359</v>
      </c>
      <c r="U1" s="19">
        <v>44360</v>
      </c>
      <c r="V1" s="19">
        <v>44361</v>
      </c>
      <c r="W1" s="19">
        <v>44362</v>
      </c>
      <c r="X1" s="19">
        <v>44363</v>
      </c>
      <c r="Y1" s="19">
        <v>44364</v>
      </c>
      <c r="Z1" s="19">
        <v>44365</v>
      </c>
      <c r="AA1" s="19">
        <v>44366</v>
      </c>
      <c r="AB1" s="19">
        <v>44367</v>
      </c>
      <c r="AC1" s="19">
        <v>44368</v>
      </c>
      <c r="AD1" s="19">
        <v>44369</v>
      </c>
      <c r="AE1" s="19">
        <v>44370</v>
      </c>
      <c r="AF1" s="19">
        <v>44371</v>
      </c>
      <c r="AG1" s="19">
        <v>44372</v>
      </c>
      <c r="AH1" s="19">
        <v>44373</v>
      </c>
      <c r="AI1" s="19">
        <v>44374</v>
      </c>
      <c r="AJ1" s="19">
        <v>44375</v>
      </c>
      <c r="AK1" s="19">
        <v>44376</v>
      </c>
      <c r="AL1" s="19">
        <v>44377</v>
      </c>
      <c r="AM1"/>
      <c r="AN1"/>
    </row>
    <row r="2" s="11" customFormat="1" spans="1:40">
      <c r="A2" s="14"/>
      <c r="B2" s="14"/>
      <c r="C2" s="14"/>
      <c r="D2" s="14"/>
      <c r="E2" s="14"/>
      <c r="F2" s="15">
        <f>SUM(H3:H121)</f>
        <v>0</v>
      </c>
      <c r="G2" s="16" t="s">
        <v>9</v>
      </c>
      <c r="H2" s="17">
        <f>SUM(I2:AM2)</f>
        <v>0</v>
      </c>
      <c r="I2" s="11">
        <f>SUM(I3:I121)</f>
        <v>0</v>
      </c>
      <c r="J2" s="11">
        <f t="shared" ref="J2:AM2" si="0">SUM(J3:J121)</f>
        <v>0</v>
      </c>
      <c r="K2" s="11">
        <f t="shared" si="0"/>
        <v>0</v>
      </c>
      <c r="L2" s="11">
        <f t="shared" si="0"/>
        <v>0</v>
      </c>
      <c r="M2" s="11">
        <f t="shared" si="0"/>
        <v>0</v>
      </c>
      <c r="N2" s="11">
        <f t="shared" si="0"/>
        <v>0</v>
      </c>
      <c r="O2" s="11">
        <f t="shared" si="0"/>
        <v>0</v>
      </c>
      <c r="P2" s="11">
        <f t="shared" si="0"/>
        <v>0</v>
      </c>
      <c r="Q2" s="11">
        <f t="shared" si="0"/>
        <v>0</v>
      </c>
      <c r="R2" s="11">
        <f t="shared" si="0"/>
        <v>0</v>
      </c>
      <c r="S2" s="11">
        <f t="shared" si="0"/>
        <v>0</v>
      </c>
      <c r="T2" s="11">
        <f t="shared" si="0"/>
        <v>0</v>
      </c>
      <c r="U2" s="11">
        <f t="shared" si="0"/>
        <v>0</v>
      </c>
      <c r="V2" s="11">
        <f t="shared" si="0"/>
        <v>0</v>
      </c>
      <c r="W2" s="11">
        <f t="shared" si="0"/>
        <v>0</v>
      </c>
      <c r="X2" s="11">
        <f t="shared" si="0"/>
        <v>0</v>
      </c>
      <c r="Y2" s="11">
        <f t="shared" si="0"/>
        <v>0</v>
      </c>
      <c r="Z2" s="11">
        <f t="shared" si="0"/>
        <v>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0</v>
      </c>
      <c r="AE2" s="11">
        <f t="shared" si="0"/>
        <v>0</v>
      </c>
      <c r="AF2" s="11">
        <f t="shared" si="0"/>
        <v>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/>
      <c r="AN2"/>
    </row>
    <row r="3" s="12" customFormat="1" spans="1:53">
      <c r="A3" s="12">
        <v>1</v>
      </c>
      <c r="B3" s="12" t="s">
        <v>132</v>
      </c>
      <c r="C3" s="12">
        <v>1</v>
      </c>
      <c r="D3" s="12" t="s">
        <v>132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133</v>
      </c>
      <c r="C4" s="12">
        <v>2</v>
      </c>
      <c r="D4" s="12" t="s">
        <v>133</v>
      </c>
      <c r="E4" s="12" t="s">
        <v>134</v>
      </c>
      <c r="F4" s="12" t="s">
        <v>10</v>
      </c>
      <c r="G4" s="18" t="s">
        <v>12</v>
      </c>
      <c r="H4" s="11">
        <f t="shared" ref="H4:H35" si="1">SUM(I4:AM4)</f>
        <v>0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1"/>
        <v>0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135</v>
      </c>
      <c r="C6" s="12">
        <v>4</v>
      </c>
      <c r="D6" s="12" t="s">
        <v>135</v>
      </c>
      <c r="E6" s="12">
        <v>9102317719</v>
      </c>
      <c r="F6" s="12" t="s">
        <v>10</v>
      </c>
      <c r="G6" s="18" t="s">
        <v>16</v>
      </c>
      <c r="H6" s="11">
        <f t="shared" si="1"/>
        <v>0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136</v>
      </c>
      <c r="C7" s="12">
        <v>5</v>
      </c>
      <c r="D7" s="12" t="s">
        <v>136</v>
      </c>
      <c r="E7" s="12">
        <v>8210924561</v>
      </c>
      <c r="F7" s="12" t="s">
        <v>10</v>
      </c>
      <c r="G7" s="18" t="s">
        <v>18</v>
      </c>
      <c r="H7" s="11">
        <f t="shared" si="1"/>
        <v>0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1"/>
        <v>0</v>
      </c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1"/>
        <v>0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1"/>
        <v>0</v>
      </c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137</v>
      </c>
      <c r="C11" s="12">
        <v>9</v>
      </c>
      <c r="D11" s="12" t="s">
        <v>137</v>
      </c>
      <c r="E11" s="12">
        <v>9973022718</v>
      </c>
      <c r="F11" s="12" t="s">
        <v>24</v>
      </c>
      <c r="G11" s="18" t="s">
        <v>25</v>
      </c>
      <c r="H11" s="11">
        <f t="shared" si="1"/>
        <v>0</v>
      </c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1"/>
        <v>0</v>
      </c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1"/>
        <v>0</v>
      </c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138</v>
      </c>
      <c r="C14" s="12">
        <v>12</v>
      </c>
      <c r="D14" s="12" t="s">
        <v>139</v>
      </c>
      <c r="E14" s="12">
        <v>7004740439</v>
      </c>
      <c r="F14" s="12" t="s">
        <v>24</v>
      </c>
      <c r="G14" s="18" t="s">
        <v>28</v>
      </c>
      <c r="H14" s="11">
        <f t="shared" si="1"/>
        <v>0</v>
      </c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1"/>
        <v>0</v>
      </c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140</v>
      </c>
      <c r="C16" s="12">
        <v>14</v>
      </c>
      <c r="D16" s="12" t="s">
        <v>140</v>
      </c>
      <c r="E16" s="12">
        <v>7321004323</v>
      </c>
      <c r="F16" s="12" t="s">
        <v>24</v>
      </c>
      <c r="G16" s="18" t="s">
        <v>31</v>
      </c>
      <c r="H16" s="11">
        <f t="shared" si="1"/>
        <v>0</v>
      </c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1"/>
        <v>0</v>
      </c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1"/>
        <v>0</v>
      </c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141</v>
      </c>
      <c r="C19" s="12">
        <v>17</v>
      </c>
      <c r="D19" s="12" t="s">
        <v>141</v>
      </c>
      <c r="E19" s="12">
        <v>9608475282</v>
      </c>
      <c r="F19" s="12" t="s">
        <v>24</v>
      </c>
      <c r="G19" s="18" t="s">
        <v>36</v>
      </c>
      <c r="H19" s="11">
        <f t="shared" si="1"/>
        <v>0</v>
      </c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142</v>
      </c>
      <c r="C20" s="12">
        <v>18</v>
      </c>
      <c r="D20" s="12" t="s">
        <v>142</v>
      </c>
      <c r="E20" s="12">
        <v>9661555592</v>
      </c>
      <c r="F20" s="12" t="s">
        <v>37</v>
      </c>
      <c r="G20" s="18" t="s">
        <v>38</v>
      </c>
      <c r="H20" s="11">
        <f t="shared" si="1"/>
        <v>0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143</v>
      </c>
      <c r="C21" s="12">
        <v>19</v>
      </c>
      <c r="D21" s="12" t="s">
        <v>143</v>
      </c>
      <c r="E21" s="12">
        <v>8340523512</v>
      </c>
      <c r="F21" s="12" t="s">
        <v>37</v>
      </c>
      <c r="G21" s="18" t="s">
        <v>39</v>
      </c>
      <c r="H21" s="11">
        <f t="shared" si="1"/>
        <v>0</v>
      </c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1"/>
        <v>0</v>
      </c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144</v>
      </c>
      <c r="C23" s="12">
        <v>21</v>
      </c>
      <c r="D23" s="12" t="s">
        <v>144</v>
      </c>
      <c r="E23" s="12">
        <v>7004478123</v>
      </c>
      <c r="F23" s="12" t="s">
        <v>37</v>
      </c>
      <c r="G23" s="18" t="s">
        <v>41</v>
      </c>
      <c r="H23" s="11">
        <f t="shared" si="1"/>
        <v>0</v>
      </c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1"/>
        <v>0</v>
      </c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145</v>
      </c>
      <c r="C25" s="12">
        <v>23</v>
      </c>
      <c r="D25" s="12" t="s">
        <v>145</v>
      </c>
      <c r="E25" s="12">
        <v>7006041121</v>
      </c>
      <c r="F25" s="12" t="s">
        <v>37</v>
      </c>
      <c r="G25" s="18" t="s">
        <v>43</v>
      </c>
      <c r="H25" s="11">
        <f t="shared" si="1"/>
        <v>0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146</v>
      </c>
      <c r="C26" s="12">
        <v>24</v>
      </c>
      <c r="D26" s="12" t="s">
        <v>146</v>
      </c>
      <c r="E26" s="12">
        <v>8709658240</v>
      </c>
      <c r="F26" s="12" t="s">
        <v>37</v>
      </c>
      <c r="G26" s="18" t="s">
        <v>44</v>
      </c>
      <c r="H26" s="11">
        <f t="shared" si="1"/>
        <v>0</v>
      </c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1"/>
        <v>0</v>
      </c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1"/>
        <v>0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1"/>
        <v>0</v>
      </c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1"/>
        <v>0</v>
      </c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147</v>
      </c>
      <c r="C31" s="12">
        <v>29</v>
      </c>
      <c r="D31" s="12" t="s">
        <v>147</v>
      </c>
      <c r="F31" s="12" t="s">
        <v>37</v>
      </c>
      <c r="G31" s="18" t="s">
        <v>49</v>
      </c>
      <c r="H31" s="11">
        <f t="shared" si="1"/>
        <v>0</v>
      </c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148</v>
      </c>
      <c r="C32" s="12">
        <v>30</v>
      </c>
      <c r="D32" s="12" t="s">
        <v>148</v>
      </c>
      <c r="F32" s="12" t="s">
        <v>37</v>
      </c>
      <c r="G32" s="18" t="s">
        <v>50</v>
      </c>
      <c r="H32" s="11">
        <f t="shared" si="1"/>
        <v>0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1"/>
        <v>0</v>
      </c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149</v>
      </c>
      <c r="C34" s="12">
        <v>32</v>
      </c>
      <c r="D34" s="12" t="s">
        <v>149</v>
      </c>
      <c r="F34" s="12" t="s">
        <v>52</v>
      </c>
      <c r="G34" s="18" t="s">
        <v>53</v>
      </c>
      <c r="H34" s="11">
        <f t="shared" si="1"/>
        <v>0</v>
      </c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1"/>
        <v>0</v>
      </c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2">SUM(I36:AM36)</f>
        <v>0</v>
      </c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2"/>
        <v>0</v>
      </c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2"/>
        <v>0</v>
      </c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150</v>
      </c>
      <c r="C39" s="12">
        <v>37</v>
      </c>
      <c r="D39" s="12" t="s">
        <v>150</v>
      </c>
      <c r="F39" s="12" t="s">
        <v>52</v>
      </c>
      <c r="G39" s="18" t="s">
        <v>58</v>
      </c>
      <c r="H39" s="11">
        <f t="shared" si="2"/>
        <v>0</v>
      </c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151</v>
      </c>
      <c r="C40" s="12">
        <v>38</v>
      </c>
      <c r="D40" s="12" t="s">
        <v>151</v>
      </c>
      <c r="E40" s="12" t="s">
        <v>152</v>
      </c>
      <c r="F40" s="12" t="s">
        <v>52</v>
      </c>
      <c r="G40" s="18" t="s">
        <v>59</v>
      </c>
      <c r="H40" s="11">
        <f t="shared" si="2"/>
        <v>0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2"/>
        <v>0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2"/>
        <v>0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2"/>
        <v>0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2"/>
        <v>0</v>
      </c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2"/>
        <v>0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153</v>
      </c>
      <c r="C46" s="12">
        <v>44</v>
      </c>
      <c r="D46" s="12" t="s">
        <v>153</v>
      </c>
      <c r="F46" s="12" t="s">
        <v>65</v>
      </c>
      <c r="G46" s="18" t="s">
        <v>66</v>
      </c>
      <c r="H46" s="11">
        <f t="shared" si="2"/>
        <v>0</v>
      </c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2"/>
        <v>0</v>
      </c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154</v>
      </c>
      <c r="C48" s="12">
        <v>46</v>
      </c>
      <c r="D48" s="12" t="s">
        <v>154</v>
      </c>
      <c r="F48" s="12" t="s">
        <v>65</v>
      </c>
      <c r="G48" s="18" t="s">
        <v>68</v>
      </c>
      <c r="H48" s="11">
        <f t="shared" si="2"/>
        <v>0</v>
      </c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155</v>
      </c>
      <c r="C49" s="12">
        <v>47</v>
      </c>
      <c r="D49" s="12" t="s">
        <v>155</v>
      </c>
      <c r="E49" s="12">
        <v>8863097933</v>
      </c>
      <c r="F49" s="12" t="s">
        <v>65</v>
      </c>
      <c r="G49" s="18" t="s">
        <v>69</v>
      </c>
      <c r="H49" s="11">
        <f t="shared" si="2"/>
        <v>0</v>
      </c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156</v>
      </c>
      <c r="C50" s="12">
        <v>48</v>
      </c>
      <c r="D50" s="12" t="s">
        <v>156</v>
      </c>
      <c r="E50" s="12">
        <v>9835443096</v>
      </c>
      <c r="F50" s="12" t="s">
        <v>65</v>
      </c>
      <c r="G50" s="18" t="s">
        <v>70</v>
      </c>
      <c r="H50" s="11">
        <f t="shared" si="2"/>
        <v>0</v>
      </c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157</v>
      </c>
      <c r="C51" s="12">
        <v>49</v>
      </c>
      <c r="D51" s="12" t="s">
        <v>157</v>
      </c>
      <c r="F51" s="12" t="s">
        <v>65</v>
      </c>
      <c r="G51" s="18" t="s">
        <v>71</v>
      </c>
      <c r="H51" s="11">
        <f t="shared" si="2"/>
        <v>0</v>
      </c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2"/>
        <v>0</v>
      </c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158</v>
      </c>
      <c r="C53" s="12">
        <v>51</v>
      </c>
      <c r="D53" s="12" t="s">
        <v>158</v>
      </c>
      <c r="F53" s="12" t="s">
        <v>65</v>
      </c>
      <c r="G53" s="18" t="s">
        <v>73</v>
      </c>
      <c r="H53" s="11">
        <f t="shared" si="2"/>
        <v>0</v>
      </c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2"/>
        <v>0</v>
      </c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159</v>
      </c>
      <c r="C55" s="12">
        <v>53</v>
      </c>
      <c r="D55" s="12" t="s">
        <v>159</v>
      </c>
      <c r="F55" s="12" t="s">
        <v>65</v>
      </c>
      <c r="G55" s="18" t="s">
        <v>75</v>
      </c>
      <c r="H55" s="11">
        <f t="shared" si="2"/>
        <v>0</v>
      </c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160</v>
      </c>
      <c r="C56" s="12">
        <v>54</v>
      </c>
      <c r="D56" s="12" t="s">
        <v>160</v>
      </c>
      <c r="F56" s="12" t="s">
        <v>65</v>
      </c>
      <c r="G56" s="18" t="s">
        <v>76</v>
      </c>
      <c r="H56" s="11">
        <f t="shared" si="2"/>
        <v>0</v>
      </c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2"/>
        <v>0</v>
      </c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2"/>
        <v>0</v>
      </c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161</v>
      </c>
      <c r="C59" s="12">
        <v>57</v>
      </c>
      <c r="D59" s="12" t="s">
        <v>161</v>
      </c>
      <c r="F59" s="12" t="s">
        <v>78</v>
      </c>
      <c r="G59" s="18" t="s">
        <v>80</v>
      </c>
      <c r="H59" s="11">
        <f t="shared" si="2"/>
        <v>0</v>
      </c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2"/>
        <v>0</v>
      </c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2"/>
        <v>0</v>
      </c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162</v>
      </c>
      <c r="C62" s="12">
        <v>60</v>
      </c>
      <c r="D62" s="12" t="s">
        <v>162</v>
      </c>
      <c r="E62" s="12">
        <v>9504958065</v>
      </c>
      <c r="F62" s="12" t="s">
        <v>83</v>
      </c>
      <c r="G62" s="18" t="s">
        <v>84</v>
      </c>
      <c r="H62" s="11">
        <f t="shared" si="2"/>
        <v>0</v>
      </c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2"/>
        <v>0</v>
      </c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163</v>
      </c>
      <c r="C64" s="12">
        <v>62</v>
      </c>
      <c r="D64" s="12" t="s">
        <v>163</v>
      </c>
      <c r="E64" s="12" t="s">
        <v>164</v>
      </c>
      <c r="F64" s="12" t="s">
        <v>83</v>
      </c>
      <c r="G64" s="18" t="s">
        <v>87</v>
      </c>
      <c r="H64" s="11">
        <f t="shared" si="2"/>
        <v>0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165</v>
      </c>
      <c r="C65" s="12">
        <v>63</v>
      </c>
      <c r="D65" s="12" t="s">
        <v>165</v>
      </c>
      <c r="E65" s="12">
        <v>7004399486</v>
      </c>
      <c r="F65" s="12" t="s">
        <v>88</v>
      </c>
      <c r="G65" s="12" t="s">
        <v>89</v>
      </c>
      <c r="H65" s="11">
        <f t="shared" si="2"/>
        <v>0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166</v>
      </c>
      <c r="C66" s="12">
        <v>64</v>
      </c>
      <c r="D66" s="12" t="s">
        <v>166</v>
      </c>
      <c r="F66" s="12" t="s">
        <v>88</v>
      </c>
      <c r="G66" s="18" t="s">
        <v>90</v>
      </c>
      <c r="H66" s="11">
        <f t="shared" si="2"/>
        <v>0</v>
      </c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2"/>
        <v>0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3">SUM(I68:AM68)</f>
        <v>0</v>
      </c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3"/>
        <v>0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3"/>
        <v>0</v>
      </c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3"/>
        <v>0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3"/>
        <v>0</v>
      </c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3"/>
        <v>0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167</v>
      </c>
      <c r="C74" s="12">
        <v>72</v>
      </c>
      <c r="D74" s="12" t="s">
        <v>167</v>
      </c>
      <c r="E74" s="12">
        <v>8825370430</v>
      </c>
      <c r="F74" s="12" t="s">
        <v>93</v>
      </c>
      <c r="G74" s="18" t="s">
        <v>100</v>
      </c>
      <c r="H74" s="11">
        <f t="shared" si="3"/>
        <v>0</v>
      </c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3"/>
        <v>0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3"/>
        <v>0</v>
      </c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168</v>
      </c>
      <c r="C77" s="12">
        <v>75</v>
      </c>
      <c r="D77" s="12" t="s">
        <v>168</v>
      </c>
      <c r="E77" s="12">
        <v>6200769032</v>
      </c>
      <c r="F77" s="12" t="s">
        <v>103</v>
      </c>
      <c r="G77" s="18" t="s">
        <v>104</v>
      </c>
      <c r="H77" s="11">
        <f t="shared" si="3"/>
        <v>0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169</v>
      </c>
      <c r="C78" s="12">
        <v>76</v>
      </c>
      <c r="D78" s="12" t="s">
        <v>169</v>
      </c>
      <c r="F78" s="12" t="s">
        <v>103</v>
      </c>
      <c r="G78" s="18" t="s">
        <v>105</v>
      </c>
      <c r="H78" s="11">
        <f t="shared" si="3"/>
        <v>0</v>
      </c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170</v>
      </c>
      <c r="C79" s="12">
        <v>77</v>
      </c>
      <c r="D79" s="12" t="s">
        <v>170</v>
      </c>
      <c r="F79" s="12" t="s">
        <v>103</v>
      </c>
      <c r="G79" s="18" t="s">
        <v>106</v>
      </c>
      <c r="H79" s="11">
        <f t="shared" si="3"/>
        <v>0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18" t="s">
        <v>107</v>
      </c>
      <c r="H80" s="11">
        <f t="shared" si="3"/>
        <v>0</v>
      </c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171</v>
      </c>
      <c r="C81" s="12">
        <v>79</v>
      </c>
      <c r="D81" s="12" t="s">
        <v>171</v>
      </c>
      <c r="E81" s="12" t="s">
        <v>172</v>
      </c>
      <c r="F81" s="12" t="s">
        <v>108</v>
      </c>
      <c r="G81" s="18" t="s">
        <v>109</v>
      </c>
      <c r="H81" s="11">
        <f t="shared" si="3"/>
        <v>0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18" t="s">
        <v>110</v>
      </c>
      <c r="H82" s="11">
        <f t="shared" si="3"/>
        <v>0</v>
      </c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3"/>
        <v>0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18" t="s">
        <v>113</v>
      </c>
      <c r="H84" s="11">
        <f t="shared" si="3"/>
        <v>0</v>
      </c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173</v>
      </c>
      <c r="C85" s="12">
        <v>83</v>
      </c>
      <c r="D85" s="12" t="s">
        <v>173</v>
      </c>
      <c r="F85" s="12" t="s">
        <v>114</v>
      </c>
      <c r="G85" s="18" t="s">
        <v>115</v>
      </c>
      <c r="H85" s="11">
        <f t="shared" si="3"/>
        <v>0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3"/>
        <v>0</v>
      </c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174</v>
      </c>
      <c r="C87" s="12">
        <v>85</v>
      </c>
      <c r="D87" s="12" t="s">
        <v>174</v>
      </c>
      <c r="E87" s="12">
        <v>7004210181</v>
      </c>
      <c r="F87" s="12" t="s">
        <v>114</v>
      </c>
      <c r="G87" s="18" t="s">
        <v>117</v>
      </c>
      <c r="H87" s="11">
        <f t="shared" si="3"/>
        <v>0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3"/>
        <v>0</v>
      </c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18" t="s">
        <v>120</v>
      </c>
      <c r="H89" s="11">
        <f t="shared" si="3"/>
        <v>0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175</v>
      </c>
      <c r="C90" s="12">
        <v>88</v>
      </c>
      <c r="D90" s="12" t="s">
        <v>175</v>
      </c>
      <c r="G90" s="18" t="s">
        <v>121</v>
      </c>
      <c r="H90" s="11">
        <f t="shared" si="3"/>
        <v>0</v>
      </c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18" t="s">
        <v>122</v>
      </c>
      <c r="H91" s="11">
        <f t="shared" si="3"/>
        <v>0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18" t="s">
        <v>124</v>
      </c>
      <c r="H92" s="11">
        <f t="shared" si="3"/>
        <v>0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18" t="s">
        <v>125</v>
      </c>
      <c r="H93" s="11">
        <f t="shared" si="3"/>
        <v>0</v>
      </c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18" t="s">
        <v>127</v>
      </c>
      <c r="H94" s="11">
        <f t="shared" si="3"/>
        <v>0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18" t="s">
        <v>128</v>
      </c>
      <c r="H95" s="11">
        <f t="shared" si="3"/>
        <v>0</v>
      </c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18" t="s">
        <v>129</v>
      </c>
      <c r="H96" s="11">
        <f t="shared" si="3"/>
        <v>0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 s="1"/>
      <c r="AW96" s="1"/>
      <c r="AX96" s="1"/>
      <c r="AY96" s="1"/>
      <c r="AZ96" s="1"/>
      <c r="BA96" s="1"/>
    </row>
    <row r="97" spans="8:53">
      <c r="H97" s="11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 s="1"/>
      <c r="AW97" s="1"/>
      <c r="AX97" s="1"/>
      <c r="AY97" s="1"/>
      <c r="AZ97" s="1"/>
      <c r="BA97" s="1"/>
    </row>
    <row r="98" spans="8:53">
      <c r="H98" s="11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 s="1"/>
      <c r="AW98" s="1"/>
      <c r="AX98" s="1"/>
      <c r="AY98" s="1"/>
      <c r="AZ98" s="1"/>
      <c r="BA98" s="1"/>
    </row>
    <row r="99" spans="8:53">
      <c r="H99" s="11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 s="1"/>
      <c r="AW99" s="1"/>
      <c r="AX99" s="1"/>
      <c r="AY99" s="1"/>
      <c r="AZ99" s="1"/>
      <c r="BA99" s="1"/>
    </row>
    <row r="100" spans="8:53">
      <c r="H100" s="11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 s="1"/>
      <c r="AW100" s="1"/>
      <c r="AX100" s="1"/>
      <c r="AY100" s="1"/>
      <c r="AZ100" s="1"/>
      <c r="BA100" s="1"/>
    </row>
    <row r="101" spans="8:53">
      <c r="H101" s="1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 s="1"/>
      <c r="AW101" s="1"/>
      <c r="AX101" s="1"/>
      <c r="AY101" s="1"/>
      <c r="AZ101" s="1"/>
      <c r="BA101" s="1"/>
    </row>
    <row r="102" spans="8:53">
      <c r="H102" s="11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 s="1"/>
      <c r="AW102" s="1"/>
      <c r="AX102" s="1"/>
      <c r="AY102" s="1"/>
      <c r="AZ102" s="1"/>
      <c r="BA102" s="1"/>
    </row>
    <row r="103" spans="8:53">
      <c r="H103" s="11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 s="1"/>
      <c r="AW103" s="1"/>
      <c r="AX103" s="1"/>
      <c r="AY103" s="1"/>
      <c r="AZ103" s="1"/>
      <c r="BA103" s="1"/>
    </row>
    <row r="104" spans="8:53">
      <c r="H104" s="11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 s="1"/>
      <c r="AW104" s="1"/>
      <c r="AX104" s="1"/>
      <c r="AY104" s="1"/>
      <c r="AZ104" s="1"/>
      <c r="BA104" s="1"/>
    </row>
    <row r="105" spans="8:53">
      <c r="H105" s="11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 s="1"/>
      <c r="AW105" s="1"/>
      <c r="AX105" s="1"/>
      <c r="AY105" s="1"/>
      <c r="AZ105" s="1"/>
      <c r="BA105" s="1"/>
    </row>
    <row r="106" spans="8:53">
      <c r="H106" s="11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 s="1"/>
      <c r="AW106" s="1"/>
      <c r="AX106" s="1"/>
      <c r="AY106" s="1"/>
      <c r="AZ106" s="1"/>
      <c r="BA106" s="1"/>
    </row>
    <row r="107" spans="8:53">
      <c r="H107" s="11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 s="1"/>
      <c r="AW107" s="1"/>
      <c r="AX107" s="1"/>
      <c r="AY107" s="1"/>
      <c r="AZ107" s="1"/>
      <c r="BA107" s="1"/>
    </row>
    <row r="108" spans="8:53">
      <c r="H108" s="11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 s="1"/>
      <c r="AW108" s="1"/>
      <c r="AX108" s="1"/>
      <c r="AY108" s="1"/>
      <c r="AZ108" s="1"/>
      <c r="BA108" s="1"/>
    </row>
    <row r="109" spans="8:53">
      <c r="H109" s="11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 s="1"/>
      <c r="AW109" s="1"/>
      <c r="AX109" s="1"/>
      <c r="AY109" s="1"/>
      <c r="AZ109" s="1"/>
      <c r="BA109" s="1"/>
    </row>
    <row r="110" spans="8:53">
      <c r="H110" s="1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/>
      <c r="AN110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8:53">
      <c r="H111" s="1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/>
      <c r="AN11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8:53">
      <c r="H112" s="1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/>
      <c r="AN112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workbookViewId="0">
      <selection activeCell="E2" sqref="E2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130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101500</v>
      </c>
      <c r="E2" s="7">
        <f>SUM(D3:D96)</f>
        <v>101500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hidden="1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hidden="1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hidden="1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hidden="1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hidden="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hidden="1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hidden="1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hidden="1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hidden="1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hidden="1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hidden="1" spans="1:4">
      <c r="A17" s="8" t="s">
        <v>24</v>
      </c>
      <c r="B17" s="8"/>
      <c r="C17" s="9" t="s">
        <v>33</v>
      </c>
      <c r="D17" s="10">
        <f>Orders!F17-Collection!H17</f>
        <v>0</v>
      </c>
    </row>
    <row r="18" hidden="1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hidden="1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hidden="1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hidden="1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hidden="1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hidden="1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hidden="1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hidden="1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hidden="1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hidden="1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hidden="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spans="1:4">
      <c r="A32" s="8" t="s">
        <v>37</v>
      </c>
      <c r="B32" s="8">
        <v>7004134938</v>
      </c>
      <c r="C32" s="9" t="s">
        <v>50</v>
      </c>
      <c r="D32" s="10">
        <f>Orders!F32-Collection!H32</f>
        <v>15000</v>
      </c>
    </row>
    <row r="33" hidden="1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hidden="1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hidden="1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hidden="1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hidden="1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1500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hidden="1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hidden="1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hidden="1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hidden="1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hidden="1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hidden="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hidden="1" spans="1:4">
      <c r="A52" s="8" t="s">
        <v>65</v>
      </c>
      <c r="B52" s="8"/>
      <c r="C52" s="9" t="s">
        <v>72</v>
      </c>
      <c r="D52" s="10">
        <f>Orders!F52-Collection!H52</f>
        <v>0</v>
      </c>
    </row>
    <row r="53" hidden="1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hidden="1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hidden="1" spans="1:4">
      <c r="A55" s="8" t="s">
        <v>65</v>
      </c>
      <c r="B55" s="8"/>
      <c r="C55" s="9" t="s">
        <v>75</v>
      </c>
      <c r="D55" s="10">
        <f>Orders!F55-Collection!H55</f>
        <v>0</v>
      </c>
    </row>
    <row r="56" hidden="1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hidden="1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9000</v>
      </c>
    </row>
    <row r="60" hidden="1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hidden="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spans="1:4">
      <c r="A62" s="8" t="s">
        <v>83</v>
      </c>
      <c r="B62" s="8">
        <v>9504958065</v>
      </c>
      <c r="C62" s="9" t="s">
        <v>84</v>
      </c>
      <c r="D62" s="10">
        <f>Orders!F62-Collection!H62</f>
        <v>3000</v>
      </c>
    </row>
    <row r="63" hidden="1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hidden="1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hidden="1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hidden="1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/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8"/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3000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hidden="1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hidden="1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hidden="1" spans="1:4">
      <c r="A80" s="8"/>
      <c r="B80" s="8"/>
      <c r="C80" s="9" t="s">
        <v>107</v>
      </c>
      <c r="D80" s="10">
        <f>Orders!F80-Collection!H80</f>
        <v>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/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hidden="1" spans="1:4">
      <c r="A92" s="8" t="s">
        <v>123</v>
      </c>
      <c r="B92" s="8">
        <v>9015378357</v>
      </c>
      <c r="C92" s="9" t="s">
        <v>124</v>
      </c>
      <c r="D92" s="10">
        <f>Orders!F92-Collection!H92</f>
        <v>0</v>
      </c>
    </row>
    <row r="93" hidden="1" spans="1:4">
      <c r="A93" s="8"/>
      <c r="B93" s="8"/>
      <c r="C93" s="9" t="s">
        <v>125</v>
      </c>
      <c r="D93" s="10">
        <f>Orders!F93-Collection!H93</f>
        <v>0</v>
      </c>
    </row>
    <row r="94" hidden="1" spans="1:4">
      <c r="A94" s="8"/>
      <c r="B94" s="8">
        <v>7254967519</v>
      </c>
      <c r="C94" s="9" t="s">
        <v>127</v>
      </c>
      <c r="D94" s="10">
        <f>Orders!F94-Collection!H94</f>
        <v>0</v>
      </c>
    </row>
    <row r="95" hidden="1" spans="1:4">
      <c r="A95" s="8"/>
      <c r="B95" s="8"/>
      <c r="C95" s="9" t="s">
        <v>128</v>
      </c>
      <c r="D95" s="10">
        <f>Orders!F95-Collection!H95</f>
        <v>0</v>
      </c>
    </row>
    <row r="96" hidden="1" spans="1:4">
      <c r="A96" s="8"/>
      <c r="B96" s="8"/>
      <c r="C96" s="9" t="s">
        <v>129</v>
      </c>
      <c r="D96" s="10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7500"/>
        <filter val="9000"/>
        <filter val="15000"/>
        <filter val="1015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2021-06-01T02:10:56Z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