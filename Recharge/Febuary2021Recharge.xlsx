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1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D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V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Z5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Y7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
</t>
        </r>
      </text>
    </comment>
  </commentList>
</comments>
</file>

<file path=xl/comments2.xml><?xml version="1.0" encoding="utf-8"?>
<comments xmlns="http://schemas.openxmlformats.org/spreadsheetml/2006/main">
  <authors>
    <author>Vijay</author>
  </authors>
  <commentList>
    <comment ref="I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700-Cash
500-Digital</t>
        </r>
      </text>
    </comment>
    <comment ref="S21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1000-Cash
3000-Digital</t>
        </r>
      </text>
    </comment>
    <comment ref="J4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2000-Cash
2000-Digital</t>
        </r>
      </text>
    </comment>
    <comment ref="I5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1500-Cash
500-Digital</t>
        </r>
      </text>
    </comment>
    <comment ref="U6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240 New Sim collect</t>
        </r>
      </text>
    </comment>
    <comment ref="AI7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1400-Digital
500-Cash</t>
        </r>
      </text>
    </comment>
  </commentList>
</comments>
</file>

<file path=xl/sharedStrings.xml><?xml version="1.0" encoding="utf-8"?>
<sst xmlns="http://schemas.openxmlformats.org/spreadsheetml/2006/main" count="650" uniqueCount="175">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</sst>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[$-409]d\-mmm;@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4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B69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8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31" borderId="6" applyNumberFormat="0" applyFon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35" borderId="2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3" fillId="17" borderId="2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7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</xf>
    <xf numFmtId="0" fontId="0" fillId="8" borderId="0" xfId="0" applyFill="1" applyAlignment="1">
      <alignment horizontal="center" vertical="center"/>
    </xf>
    <xf numFmtId="177" fontId="1" fillId="0" borderId="0" xfId="0" applyNumberFormat="1" applyFont="1" applyFill="1" applyAlignment="1" applyProtection="1">
      <alignment horizontal="center" vertical="center"/>
    </xf>
    <xf numFmtId="0" fontId="0" fillId="10" borderId="0" xfId="0" applyFill="1" applyAlignment="1" applyProtection="1">
      <alignment horizontal="center" vertical="center"/>
      <protection locked="0"/>
    </xf>
    <xf numFmtId="0" fontId="0" fillId="11" borderId="0" xfId="0" applyFill="1" applyAlignment="1" applyProtection="1">
      <alignment horizontal="center" vertical="center"/>
      <protection locked="0"/>
    </xf>
    <xf numFmtId="0" fontId="1" fillId="12" borderId="0" xfId="0" applyFont="1" applyFill="1" applyAlignment="1" applyProtection="1">
      <alignment horizontal="center" vertical="center"/>
    </xf>
    <xf numFmtId="0" fontId="1" fillId="12" borderId="0" xfId="0" applyFont="1" applyFill="1" applyAlignment="1" applyProtection="1">
      <alignment horizontal="left" vertical="center"/>
    </xf>
    <xf numFmtId="0" fontId="1" fillId="4" borderId="0" xfId="0" applyFont="1" applyFill="1" applyAlignment="1" applyProtection="1">
      <alignment horizontal="center" vertical="center"/>
    </xf>
    <xf numFmtId="0" fontId="1" fillId="13" borderId="0" xfId="0" applyFont="1" applyFill="1" applyAlignment="1" applyProtection="1">
      <alignment horizontal="center" vertical="center"/>
    </xf>
    <xf numFmtId="0" fontId="0" fillId="11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177" fontId="1" fillId="12" borderId="0" xfId="0" applyNumberFormat="1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14" borderId="0" xfId="0" applyFill="1" applyAlignment="1" applyProtection="1">
      <alignment horizontal="center" vertical="center"/>
      <protection locked="0"/>
    </xf>
    <xf numFmtId="0" fontId="0" fillId="15" borderId="0" xfId="0" applyFill="1" applyAlignment="1" applyProtection="1">
      <alignment horizontal="center" vertical="center"/>
      <protection locked="0"/>
    </xf>
    <xf numFmtId="0" fontId="0" fillId="15" borderId="0" xfId="0" applyFill="1" applyBorder="1" applyAlignment="1" applyProtection="1">
      <alignment horizontal="center" vertical="center"/>
      <protection locked="0"/>
    </xf>
    <xf numFmtId="0" fontId="0" fillId="14" borderId="0" xfId="0" applyFill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pane xSplit="7" ySplit="2" topLeftCell="AF24" activePane="bottomRight" state="frozen"/>
      <selection/>
      <selection pane="topRight"/>
      <selection pane="bottomLeft"/>
      <selection pane="bottomRight" activeCell="AJ26" sqref="AJ26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6" customWidth="1"/>
    <col min="9" max="16384" width="9.14285714285714" style="11"/>
  </cols>
  <sheetData>
    <row r="1" s="10" customFormat="1" spans="1:4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8" t="s">
        <v>7</v>
      </c>
      <c r="I1" s="36">
        <v>44228</v>
      </c>
      <c r="J1" s="36">
        <v>44229</v>
      </c>
      <c r="K1" s="36">
        <v>44230</v>
      </c>
      <c r="L1" s="36">
        <v>44231</v>
      </c>
      <c r="M1" s="36">
        <v>44232</v>
      </c>
      <c r="N1" s="36">
        <v>44233</v>
      </c>
      <c r="O1" s="36">
        <v>44234</v>
      </c>
      <c r="P1" s="36">
        <v>44235</v>
      </c>
      <c r="Q1" s="36">
        <v>44236</v>
      </c>
      <c r="R1" s="36">
        <v>44237</v>
      </c>
      <c r="S1" s="36">
        <v>44238</v>
      </c>
      <c r="T1" s="36">
        <v>44239</v>
      </c>
      <c r="U1" s="36">
        <v>44240</v>
      </c>
      <c r="V1" s="36">
        <v>44241</v>
      </c>
      <c r="W1" s="36">
        <v>44242</v>
      </c>
      <c r="X1" s="36">
        <v>44243</v>
      </c>
      <c r="Y1" s="36">
        <v>44244</v>
      </c>
      <c r="Z1" s="36">
        <v>44245</v>
      </c>
      <c r="AA1" s="36">
        <v>44246</v>
      </c>
      <c r="AB1" s="36">
        <v>44247</v>
      </c>
      <c r="AC1" s="36">
        <v>44248</v>
      </c>
      <c r="AD1" s="36">
        <v>44249</v>
      </c>
      <c r="AE1" s="36">
        <v>44250</v>
      </c>
      <c r="AF1" s="36">
        <v>44251</v>
      </c>
      <c r="AG1" s="36">
        <v>44252</v>
      </c>
      <c r="AH1" s="36">
        <v>44253</v>
      </c>
      <c r="AI1" s="36">
        <v>44254</v>
      </c>
      <c r="AJ1" s="36">
        <v>44255</v>
      </c>
      <c r="AK1" s="24"/>
      <c r="AL1" s="24"/>
      <c r="AM1" s="24"/>
      <c r="AN1" s="24"/>
      <c r="AO1" s="24"/>
      <c r="AP1" s="24"/>
      <c r="AQ1" s="24"/>
      <c r="AR1" s="24"/>
      <c r="AS1" s="24"/>
    </row>
    <row r="2" s="10" customFormat="1" spans="1:36">
      <c r="A2" s="13"/>
      <c r="B2" s="29">
        <f>SUM(F3:F121)</f>
        <v>1382700</v>
      </c>
      <c r="D2" s="16">
        <f>SUM(G3:G121)</f>
        <v>1263080</v>
      </c>
      <c r="E2" s="15" t="s">
        <v>8</v>
      </c>
      <c r="F2" s="29">
        <f t="shared" ref="F2:F18" si="0">G2/1.04+H2</f>
        <v>1382700</v>
      </c>
      <c r="G2" s="16">
        <f t="shared" ref="G2:G28" si="1">SUM(I2:AM2)</f>
        <v>1263080</v>
      </c>
      <c r="H2" s="30">
        <f t="shared" ref="H2:AJ2" si="2">SUM(H3:H121)</f>
        <v>168200</v>
      </c>
      <c r="I2" s="10">
        <f t="shared" si="2"/>
        <v>41080</v>
      </c>
      <c r="J2" s="10">
        <f t="shared" si="2"/>
        <v>53040</v>
      </c>
      <c r="K2" s="10">
        <f t="shared" si="2"/>
        <v>45760</v>
      </c>
      <c r="L2" s="10">
        <f t="shared" si="2"/>
        <v>47840</v>
      </c>
      <c r="M2" s="10">
        <f t="shared" si="2"/>
        <v>26000</v>
      </c>
      <c r="N2" s="10">
        <f t="shared" si="2"/>
        <v>45760</v>
      </c>
      <c r="O2" s="10">
        <f t="shared" si="2"/>
        <v>68640</v>
      </c>
      <c r="P2" s="10">
        <f t="shared" si="2"/>
        <v>54080</v>
      </c>
      <c r="Q2" s="10">
        <f t="shared" si="2"/>
        <v>46280</v>
      </c>
      <c r="R2" s="10">
        <f t="shared" si="2"/>
        <v>28080</v>
      </c>
      <c r="S2" s="10">
        <f t="shared" si="2"/>
        <v>42640</v>
      </c>
      <c r="T2" s="10">
        <f t="shared" si="2"/>
        <v>58760</v>
      </c>
      <c r="U2" s="10">
        <f t="shared" si="2"/>
        <v>42640</v>
      </c>
      <c r="V2" s="10">
        <f t="shared" si="2"/>
        <v>47840</v>
      </c>
      <c r="W2" s="10">
        <f t="shared" si="2"/>
        <v>48880</v>
      </c>
      <c r="X2" s="10">
        <f t="shared" si="2"/>
        <v>67600</v>
      </c>
      <c r="Y2" s="10">
        <f t="shared" si="2"/>
        <v>38480</v>
      </c>
      <c r="Z2" s="10">
        <f t="shared" si="2"/>
        <v>24960</v>
      </c>
      <c r="AA2" s="10">
        <f t="shared" si="2"/>
        <v>75920</v>
      </c>
      <c r="AB2" s="10">
        <f t="shared" si="2"/>
        <v>34320</v>
      </c>
      <c r="AC2" s="10">
        <f t="shared" si="2"/>
        <v>29120</v>
      </c>
      <c r="AD2" s="10">
        <f t="shared" si="2"/>
        <v>54080</v>
      </c>
      <c r="AE2" s="10">
        <f t="shared" si="2"/>
        <v>38480</v>
      </c>
      <c r="AF2" s="10">
        <f t="shared" si="2"/>
        <v>43680</v>
      </c>
      <c r="AG2" s="10">
        <f t="shared" si="2"/>
        <v>38480</v>
      </c>
      <c r="AH2" s="10">
        <f t="shared" si="2"/>
        <v>46800</v>
      </c>
      <c r="AI2" s="10">
        <f t="shared" si="2"/>
        <v>33280</v>
      </c>
      <c r="AJ2" s="10">
        <f t="shared" si="2"/>
        <v>40560</v>
      </c>
    </row>
    <row r="3" s="11" customFormat="1" spans="1:33">
      <c r="A3" s="11">
        <v>1</v>
      </c>
      <c r="D3" s="11" t="s">
        <v>9</v>
      </c>
      <c r="E3" s="17" t="s">
        <v>10</v>
      </c>
      <c r="F3" s="10">
        <f t="shared" si="0"/>
        <v>12000</v>
      </c>
      <c r="G3" s="10">
        <f t="shared" si="1"/>
        <v>9360</v>
      </c>
      <c r="H3" s="31">
        <v>3000</v>
      </c>
      <c r="P3" s="11">
        <v>3120</v>
      </c>
      <c r="X3" s="11">
        <v>3120</v>
      </c>
      <c r="AG3" s="11">
        <v>3120</v>
      </c>
    </row>
    <row r="4" s="11" customFormat="1" spans="1:36">
      <c r="A4" s="11">
        <v>2</v>
      </c>
      <c r="D4" s="11" t="s">
        <v>9</v>
      </c>
      <c r="E4" s="17" t="s">
        <v>11</v>
      </c>
      <c r="F4" s="10">
        <f t="shared" si="0"/>
        <v>9000</v>
      </c>
      <c r="G4" s="10">
        <f t="shared" si="1"/>
        <v>7280</v>
      </c>
      <c r="H4" s="31">
        <v>2000</v>
      </c>
      <c r="J4" s="11">
        <v>1040</v>
      </c>
      <c r="O4" s="11">
        <v>1040</v>
      </c>
      <c r="T4" s="11">
        <v>1040</v>
      </c>
      <c r="V4" s="11">
        <v>1040</v>
      </c>
      <c r="W4" s="11">
        <v>1040</v>
      </c>
      <c r="AD4" s="11">
        <v>1040</v>
      </c>
      <c r="AJ4" s="11">
        <v>1040</v>
      </c>
    </row>
    <row r="5" s="11" customFormat="1" spans="1:34">
      <c r="A5" s="11">
        <v>3</v>
      </c>
      <c r="B5" s="11" t="s">
        <v>12</v>
      </c>
      <c r="D5" s="11" t="s">
        <v>9</v>
      </c>
      <c r="E5" s="17" t="s">
        <v>13</v>
      </c>
      <c r="F5" s="10">
        <f t="shared" si="0"/>
        <v>13500</v>
      </c>
      <c r="G5" s="10">
        <f t="shared" si="1"/>
        <v>10400</v>
      </c>
      <c r="H5" s="31">
        <v>3500</v>
      </c>
      <c r="I5" s="11">
        <v>1040</v>
      </c>
      <c r="J5" s="11">
        <v>1040</v>
      </c>
      <c r="K5" s="11">
        <v>1040</v>
      </c>
      <c r="N5" s="11">
        <v>1040</v>
      </c>
      <c r="O5" s="11">
        <v>1040</v>
      </c>
      <c r="P5" s="11">
        <v>1040</v>
      </c>
      <c r="T5" s="11">
        <v>1040</v>
      </c>
      <c r="W5" s="11">
        <v>1040</v>
      </c>
      <c r="AG5" s="11">
        <v>1040</v>
      </c>
      <c r="AH5" s="11">
        <v>1040</v>
      </c>
    </row>
    <row r="6" s="11" customFormat="1" spans="1:27">
      <c r="A6" s="11">
        <v>4</v>
      </c>
      <c r="B6" s="11" t="s">
        <v>14</v>
      </c>
      <c r="D6" s="11" t="s">
        <v>9</v>
      </c>
      <c r="E6" s="17" t="s">
        <v>15</v>
      </c>
      <c r="F6" s="10">
        <f t="shared" si="0"/>
        <v>20000</v>
      </c>
      <c r="G6" s="10">
        <f t="shared" si="1"/>
        <v>15600</v>
      </c>
      <c r="H6" s="31">
        <v>5000</v>
      </c>
      <c r="N6" s="11">
        <v>5200</v>
      </c>
      <c r="U6" s="11">
        <v>5200</v>
      </c>
      <c r="AA6" s="11">
        <v>5200</v>
      </c>
    </row>
    <row r="7" s="11" customFormat="1" spans="1:36">
      <c r="A7" s="11">
        <v>5</v>
      </c>
      <c r="B7" s="11" t="s">
        <v>16</v>
      </c>
      <c r="D7" s="11" t="s">
        <v>9</v>
      </c>
      <c r="E7" s="17" t="s">
        <v>17</v>
      </c>
      <c r="F7" s="10">
        <f t="shared" si="0"/>
        <v>67000</v>
      </c>
      <c r="G7" s="10">
        <f t="shared" si="1"/>
        <v>58240</v>
      </c>
      <c r="H7" s="31">
        <v>11000</v>
      </c>
      <c r="I7" s="11">
        <v>2080</v>
      </c>
      <c r="J7" s="11">
        <v>4160</v>
      </c>
      <c r="K7" s="11">
        <v>2080</v>
      </c>
      <c r="L7" s="11">
        <v>2080</v>
      </c>
      <c r="N7" s="11">
        <v>2080</v>
      </c>
      <c r="O7" s="11">
        <v>2080</v>
      </c>
      <c r="P7" s="11">
        <v>2080</v>
      </c>
      <c r="Q7" s="11">
        <v>4160</v>
      </c>
      <c r="R7" s="11">
        <v>2080</v>
      </c>
      <c r="S7" s="11">
        <v>2080</v>
      </c>
      <c r="T7" s="11">
        <v>2080</v>
      </c>
      <c r="U7" s="11">
        <v>2080</v>
      </c>
      <c r="V7" s="11">
        <v>2080</v>
      </c>
      <c r="W7" s="11">
        <v>2080</v>
      </c>
      <c r="X7" s="11">
        <v>2080</v>
      </c>
      <c r="Y7" s="11">
        <v>2080</v>
      </c>
      <c r="Z7" s="11">
        <v>2080</v>
      </c>
      <c r="AA7" s="11">
        <v>2080</v>
      </c>
      <c r="AB7" s="11">
        <v>2080</v>
      </c>
      <c r="AC7" s="11">
        <v>2080</v>
      </c>
      <c r="AD7" s="11">
        <v>4160</v>
      </c>
      <c r="AE7" s="11">
        <v>2080</v>
      </c>
      <c r="AF7" s="11">
        <v>2080</v>
      </c>
      <c r="AH7" s="11">
        <v>2080</v>
      </c>
      <c r="AJ7" s="11">
        <v>2080</v>
      </c>
    </row>
    <row r="8" s="11" customFormat="1" spans="1:27">
      <c r="A8" s="11">
        <v>6</v>
      </c>
      <c r="B8" s="11" t="s">
        <v>18</v>
      </c>
      <c r="D8" s="11" t="s">
        <v>9</v>
      </c>
      <c r="E8" s="17" t="s">
        <v>19</v>
      </c>
      <c r="F8" s="10">
        <f t="shared" si="0"/>
        <v>6000</v>
      </c>
      <c r="G8" s="10">
        <f t="shared" si="1"/>
        <v>6240</v>
      </c>
      <c r="H8" s="31">
        <v>0</v>
      </c>
      <c r="J8" s="11">
        <v>2080</v>
      </c>
      <c r="T8" s="11">
        <v>2080</v>
      </c>
      <c r="AA8" s="11">
        <v>2080</v>
      </c>
    </row>
    <row r="9" s="11" customFormat="1" spans="1:32">
      <c r="A9" s="11">
        <v>7</v>
      </c>
      <c r="D9" s="11" t="s">
        <v>9</v>
      </c>
      <c r="E9" s="17" t="s">
        <v>20</v>
      </c>
      <c r="F9" s="10">
        <f t="shared" si="0"/>
        <v>8000</v>
      </c>
      <c r="G9" s="10">
        <f t="shared" si="1"/>
        <v>6240</v>
      </c>
      <c r="H9" s="31">
        <v>2000</v>
      </c>
      <c r="O9" s="11">
        <v>2080</v>
      </c>
      <c r="Y9" s="11">
        <v>2080</v>
      </c>
      <c r="AF9" s="11">
        <v>2080</v>
      </c>
    </row>
    <row r="10" s="11" customFormat="1" spans="1:33">
      <c r="A10" s="11">
        <v>8</v>
      </c>
      <c r="B10" s="11" t="s">
        <v>21</v>
      </c>
      <c r="D10" s="11" t="s">
        <v>9</v>
      </c>
      <c r="E10" s="17" t="s">
        <v>22</v>
      </c>
      <c r="F10" s="10">
        <f t="shared" si="0"/>
        <v>35000</v>
      </c>
      <c r="G10" s="10">
        <f t="shared" si="1"/>
        <v>31200</v>
      </c>
      <c r="H10" s="31">
        <v>5000</v>
      </c>
      <c r="L10" s="11">
        <v>5200</v>
      </c>
      <c r="Q10" s="11">
        <v>5200</v>
      </c>
      <c r="V10" s="11">
        <v>5200</v>
      </c>
      <c r="X10" s="11">
        <v>5200</v>
      </c>
      <c r="AC10" s="11">
        <v>5200</v>
      </c>
      <c r="AG10" s="11">
        <v>5200</v>
      </c>
    </row>
    <row r="11" s="11" customFormat="1" spans="1:31">
      <c r="A11" s="11">
        <v>9</v>
      </c>
      <c r="D11" s="11" t="s">
        <v>23</v>
      </c>
      <c r="E11" s="17" t="s">
        <v>24</v>
      </c>
      <c r="F11" s="10">
        <f t="shared" si="0"/>
        <v>10000</v>
      </c>
      <c r="G11" s="10">
        <f t="shared" si="1"/>
        <v>8320</v>
      </c>
      <c r="H11" s="31">
        <v>2000</v>
      </c>
      <c r="J11" s="11">
        <v>2080</v>
      </c>
      <c r="T11" s="11">
        <v>2080</v>
      </c>
      <c r="W11" s="11">
        <v>2080</v>
      </c>
      <c r="AE11" s="11">
        <v>2080</v>
      </c>
    </row>
    <row r="12" s="11" customFormat="1" spans="1:34">
      <c r="A12" s="11">
        <v>10</v>
      </c>
      <c r="D12" s="11" t="s">
        <v>23</v>
      </c>
      <c r="E12" s="17" t="s">
        <v>25</v>
      </c>
      <c r="F12" s="10">
        <f t="shared" si="0"/>
        <v>9000</v>
      </c>
      <c r="G12" s="10">
        <f t="shared" si="1"/>
        <v>9360</v>
      </c>
      <c r="H12" s="31">
        <v>0</v>
      </c>
      <c r="I12" s="11">
        <v>1040</v>
      </c>
      <c r="J12" s="11">
        <v>1040</v>
      </c>
      <c r="M12" s="11">
        <v>1040</v>
      </c>
      <c r="P12" s="11">
        <v>1040</v>
      </c>
      <c r="U12" s="11">
        <v>1040</v>
      </c>
      <c r="AB12" s="11">
        <v>1040</v>
      </c>
      <c r="AC12" s="11">
        <v>1040</v>
      </c>
      <c r="AE12" s="11">
        <v>1040</v>
      </c>
      <c r="AH12" s="11">
        <v>1040</v>
      </c>
    </row>
    <row r="13" s="11" customFormat="1" spans="1:33">
      <c r="A13" s="11">
        <v>11</v>
      </c>
      <c r="D13" s="11" t="s">
        <v>23</v>
      </c>
      <c r="E13" s="17" t="s">
        <v>26</v>
      </c>
      <c r="F13" s="10">
        <f t="shared" si="0"/>
        <v>30000</v>
      </c>
      <c r="G13" s="10">
        <f t="shared" si="1"/>
        <v>31200</v>
      </c>
      <c r="H13" s="31">
        <v>0</v>
      </c>
      <c r="K13" s="11">
        <v>5200</v>
      </c>
      <c r="O13" s="11">
        <v>5200</v>
      </c>
      <c r="T13" s="11">
        <v>5200</v>
      </c>
      <c r="Y13" s="11">
        <v>5200</v>
      </c>
      <c r="AD13" s="11">
        <v>5200</v>
      </c>
      <c r="AG13" s="11">
        <v>5200</v>
      </c>
    </row>
    <row r="14" s="11" customFormat="1" spans="1:34">
      <c r="A14" s="11">
        <v>12</v>
      </c>
      <c r="D14" s="11" t="s">
        <v>23</v>
      </c>
      <c r="E14" s="17" t="s">
        <v>27</v>
      </c>
      <c r="F14" s="10">
        <f t="shared" si="0"/>
        <v>55500</v>
      </c>
      <c r="G14" s="10">
        <f t="shared" si="1"/>
        <v>46800</v>
      </c>
      <c r="H14" s="31">
        <v>10500</v>
      </c>
      <c r="K14" s="11">
        <v>5200</v>
      </c>
      <c r="N14" s="11">
        <v>5200</v>
      </c>
      <c r="Q14" s="11">
        <v>5200</v>
      </c>
      <c r="T14" s="11">
        <v>5200</v>
      </c>
      <c r="W14" s="11">
        <v>5200</v>
      </c>
      <c r="Y14" s="11">
        <v>5200</v>
      </c>
      <c r="AB14" s="11">
        <v>5200</v>
      </c>
      <c r="AF14" s="11">
        <v>5200</v>
      </c>
      <c r="AH14" s="11">
        <v>5200</v>
      </c>
    </row>
    <row r="15" s="11" customFormat="1" spans="1:35">
      <c r="A15" s="11">
        <v>13</v>
      </c>
      <c r="B15" s="11" t="s">
        <v>28</v>
      </c>
      <c r="D15" s="11" t="s">
        <v>23</v>
      </c>
      <c r="E15" s="17" t="s">
        <v>29</v>
      </c>
      <c r="F15" s="10">
        <f t="shared" si="0"/>
        <v>14000</v>
      </c>
      <c r="G15" s="10">
        <f t="shared" si="1"/>
        <v>12480</v>
      </c>
      <c r="H15" s="31">
        <v>2000</v>
      </c>
      <c r="M15" s="11">
        <v>2080</v>
      </c>
      <c r="P15" s="11">
        <v>2080</v>
      </c>
      <c r="V15" s="11">
        <v>2080</v>
      </c>
      <c r="AA15" s="11">
        <v>2080</v>
      </c>
      <c r="AF15" s="11">
        <v>2080</v>
      </c>
      <c r="AI15" s="11">
        <v>2080</v>
      </c>
    </row>
    <row r="16" s="11" customFormat="1" spans="1:31">
      <c r="A16" s="11">
        <v>14</v>
      </c>
      <c r="D16" s="11" t="s">
        <v>23</v>
      </c>
      <c r="E16" s="17" t="s">
        <v>30</v>
      </c>
      <c r="F16" s="10">
        <f t="shared" si="0"/>
        <v>6200</v>
      </c>
      <c r="G16" s="10">
        <f t="shared" si="1"/>
        <v>4160</v>
      </c>
      <c r="H16" s="31">
        <v>2200</v>
      </c>
      <c r="Q16" s="11">
        <v>1040</v>
      </c>
      <c r="V16" s="11">
        <v>2080</v>
      </c>
      <c r="AE16" s="11">
        <v>1040</v>
      </c>
    </row>
    <row r="17" s="11" customFormat="1" spans="1:21">
      <c r="A17" s="11">
        <v>15</v>
      </c>
      <c r="B17" s="32" t="s">
        <v>31</v>
      </c>
      <c r="D17" s="11" t="s">
        <v>23</v>
      </c>
      <c r="E17" s="17" t="s">
        <v>32</v>
      </c>
      <c r="F17" s="10">
        <f t="shared" si="0"/>
        <v>2000</v>
      </c>
      <c r="G17" s="10">
        <f t="shared" si="1"/>
        <v>1040</v>
      </c>
      <c r="H17" s="31">
        <v>1000</v>
      </c>
      <c r="U17" s="11">
        <v>1040</v>
      </c>
    </row>
    <row r="18" s="11" customFormat="1" spans="1:27">
      <c r="A18" s="11">
        <v>16</v>
      </c>
      <c r="B18" s="33" t="s">
        <v>33</v>
      </c>
      <c r="C18" s="11">
        <v>683909556</v>
      </c>
      <c r="D18" s="11" t="s">
        <v>23</v>
      </c>
      <c r="E18" s="34" t="s">
        <v>34</v>
      </c>
      <c r="F18" s="10">
        <f t="shared" si="0"/>
        <v>3000</v>
      </c>
      <c r="G18" s="10">
        <f t="shared" si="1"/>
        <v>3120</v>
      </c>
      <c r="H18" s="31">
        <v>0</v>
      </c>
      <c r="I18" s="37"/>
      <c r="J18" s="37"/>
      <c r="K18" s="37"/>
      <c r="L18" s="37"/>
      <c r="M18" s="35">
        <v>1040</v>
      </c>
      <c r="N18" s="37"/>
      <c r="O18" s="37"/>
      <c r="P18" s="37"/>
      <c r="Q18" s="37"/>
      <c r="R18" s="37"/>
      <c r="S18" s="37"/>
      <c r="T18" s="37"/>
      <c r="U18" s="37">
        <v>1040</v>
      </c>
      <c r="V18" s="37"/>
      <c r="W18" s="37"/>
      <c r="X18" s="35">
        <v>1040</v>
      </c>
      <c r="Y18" s="37"/>
      <c r="Z18" s="37"/>
      <c r="AA18" s="37"/>
    </row>
    <row r="19" s="11" customFormat="1" spans="1:32">
      <c r="A19" s="11">
        <v>17</v>
      </c>
      <c r="D19" s="11" t="s">
        <v>23</v>
      </c>
      <c r="E19" s="17" t="s">
        <v>35</v>
      </c>
      <c r="F19" s="10">
        <f t="shared" ref="F19:F82" si="3">G19/1.04+H19</f>
        <v>14000</v>
      </c>
      <c r="G19" s="10">
        <f t="shared" si="1"/>
        <v>15600</v>
      </c>
      <c r="H19" s="31">
        <v>-1000</v>
      </c>
      <c r="J19" s="11">
        <v>3120</v>
      </c>
      <c r="P19" s="11">
        <v>3120</v>
      </c>
      <c r="V19" s="11">
        <v>3120</v>
      </c>
      <c r="AA19" s="11">
        <v>3120</v>
      </c>
      <c r="AF19" s="11">
        <v>3120</v>
      </c>
    </row>
    <row r="20" s="11" customFormat="1" spans="1:34">
      <c r="A20" s="11">
        <v>18</v>
      </c>
      <c r="D20" s="11" t="s">
        <v>36</v>
      </c>
      <c r="E20" s="17" t="s">
        <v>37</v>
      </c>
      <c r="F20" s="10">
        <f t="shared" si="3"/>
        <v>30000</v>
      </c>
      <c r="G20" s="10">
        <f t="shared" si="1"/>
        <v>26000</v>
      </c>
      <c r="H20" s="31">
        <v>5000</v>
      </c>
      <c r="K20" s="11">
        <v>5200</v>
      </c>
      <c r="O20" s="11">
        <v>5200</v>
      </c>
      <c r="U20" s="11">
        <v>5200</v>
      </c>
      <c r="AA20" s="11">
        <v>5200</v>
      </c>
      <c r="AH20" s="11">
        <v>5200</v>
      </c>
    </row>
    <row r="21" s="11" customFormat="1" spans="1:32">
      <c r="A21" s="11">
        <v>19</v>
      </c>
      <c r="D21" s="11" t="s">
        <v>36</v>
      </c>
      <c r="E21" s="17" t="s">
        <v>38</v>
      </c>
      <c r="F21" s="10">
        <f t="shared" si="3"/>
        <v>10000</v>
      </c>
      <c r="G21" s="10">
        <f t="shared" si="1"/>
        <v>10400</v>
      </c>
      <c r="H21" s="31">
        <v>0</v>
      </c>
      <c r="L21" s="11">
        <v>2080</v>
      </c>
      <c r="Q21" s="11">
        <v>2080</v>
      </c>
      <c r="T21" s="11">
        <v>2080</v>
      </c>
      <c r="W21" s="11">
        <v>2080</v>
      </c>
      <c r="AF21" s="11">
        <v>2080</v>
      </c>
    </row>
    <row r="22" s="11" customFormat="1" spans="1:35">
      <c r="A22" s="11">
        <v>20</v>
      </c>
      <c r="D22" s="11" t="s">
        <v>36</v>
      </c>
      <c r="E22" s="17" t="s">
        <v>39</v>
      </c>
      <c r="F22" s="10">
        <f t="shared" si="3"/>
        <v>6000</v>
      </c>
      <c r="G22" s="10">
        <f t="shared" si="1"/>
        <v>5200</v>
      </c>
      <c r="H22" s="31">
        <v>1000</v>
      </c>
      <c r="J22" s="11">
        <v>1040</v>
      </c>
      <c r="N22" s="11">
        <v>1040</v>
      </c>
      <c r="W22" s="11">
        <v>1040</v>
      </c>
      <c r="AB22" s="11">
        <v>1040</v>
      </c>
      <c r="AI22" s="11">
        <v>1040</v>
      </c>
    </row>
    <row r="23" s="11" customFormat="1" spans="1:35">
      <c r="A23" s="11">
        <v>21</v>
      </c>
      <c r="D23" s="11" t="s">
        <v>36</v>
      </c>
      <c r="E23" s="17" t="s">
        <v>40</v>
      </c>
      <c r="F23" s="10">
        <f t="shared" si="3"/>
        <v>30000</v>
      </c>
      <c r="G23" s="10">
        <f t="shared" si="1"/>
        <v>31200</v>
      </c>
      <c r="H23" s="31">
        <v>0</v>
      </c>
      <c r="I23" s="11">
        <v>5200</v>
      </c>
      <c r="M23" s="11">
        <v>5200</v>
      </c>
      <c r="R23" s="11">
        <v>5200</v>
      </c>
      <c r="X23" s="11">
        <v>5200</v>
      </c>
      <c r="AB23" s="11">
        <v>5200</v>
      </c>
      <c r="AI23" s="11">
        <v>5200</v>
      </c>
    </row>
    <row r="24" s="11" customFormat="1" spans="1:32">
      <c r="A24" s="11">
        <v>22</v>
      </c>
      <c r="D24" s="11" t="s">
        <v>36</v>
      </c>
      <c r="E24" s="17" t="s">
        <v>41</v>
      </c>
      <c r="F24" s="10">
        <f t="shared" si="3"/>
        <v>9000</v>
      </c>
      <c r="G24" s="10">
        <f t="shared" si="1"/>
        <v>8320</v>
      </c>
      <c r="H24" s="31">
        <v>1000</v>
      </c>
      <c r="J24" s="11">
        <v>1040</v>
      </c>
      <c r="O24" s="11">
        <v>1040</v>
      </c>
      <c r="R24" s="11">
        <v>1040</v>
      </c>
      <c r="T24" s="11">
        <v>1040</v>
      </c>
      <c r="W24" s="11">
        <v>1040</v>
      </c>
      <c r="AA24" s="11">
        <v>1040</v>
      </c>
      <c r="AC24" s="11">
        <v>1040</v>
      </c>
      <c r="AF24" s="11">
        <v>1040</v>
      </c>
    </row>
    <row r="25" s="11" customFormat="1" spans="1:30">
      <c r="A25" s="11">
        <v>23</v>
      </c>
      <c r="D25" s="11" t="s">
        <v>36</v>
      </c>
      <c r="E25" s="17" t="s">
        <v>42</v>
      </c>
      <c r="F25" s="10">
        <f t="shared" si="3"/>
        <v>18000</v>
      </c>
      <c r="G25" s="10">
        <f t="shared" si="1"/>
        <v>18720</v>
      </c>
      <c r="H25" s="31">
        <v>0</v>
      </c>
      <c r="J25" s="11">
        <v>3120</v>
      </c>
      <c r="L25" s="11">
        <v>3120</v>
      </c>
      <c r="O25" s="11">
        <v>3120</v>
      </c>
      <c r="T25" s="11">
        <v>3120</v>
      </c>
      <c r="W25" s="11">
        <v>3120</v>
      </c>
      <c r="AD25" s="11">
        <v>3120</v>
      </c>
    </row>
    <row r="26" s="11" customFormat="1" spans="1:36">
      <c r="A26" s="11">
        <v>24</v>
      </c>
      <c r="D26" s="11" t="s">
        <v>36</v>
      </c>
      <c r="E26" s="17" t="s">
        <v>43</v>
      </c>
      <c r="F26" s="10">
        <f t="shared" si="3"/>
        <v>40000</v>
      </c>
      <c r="G26" s="10">
        <f t="shared" si="1"/>
        <v>41600</v>
      </c>
      <c r="H26" s="31">
        <v>0</v>
      </c>
      <c r="I26" s="11">
        <v>5200</v>
      </c>
      <c r="L26" s="11">
        <v>5200</v>
      </c>
      <c r="P26" s="11">
        <v>5200</v>
      </c>
      <c r="S26" s="11">
        <v>5200</v>
      </c>
      <c r="X26" s="11">
        <v>5200</v>
      </c>
      <c r="AA26" s="11">
        <v>5200</v>
      </c>
      <c r="AD26" s="11">
        <v>5200</v>
      </c>
      <c r="AJ26" s="11">
        <v>5200</v>
      </c>
    </row>
    <row r="27" s="11" customFormat="1" spans="1:36">
      <c r="A27" s="11">
        <v>25</v>
      </c>
      <c r="D27" s="11" t="s">
        <v>36</v>
      </c>
      <c r="E27" s="17" t="s">
        <v>44</v>
      </c>
      <c r="F27" s="10">
        <f t="shared" si="3"/>
        <v>18000</v>
      </c>
      <c r="G27" s="10">
        <f t="shared" si="1"/>
        <v>15600</v>
      </c>
      <c r="H27" s="31">
        <v>3000</v>
      </c>
      <c r="O27" s="11">
        <v>3120</v>
      </c>
      <c r="Y27" s="11">
        <v>3120</v>
      </c>
      <c r="AB27" s="11">
        <v>3120</v>
      </c>
      <c r="AG27" s="11">
        <v>3120</v>
      </c>
      <c r="AJ27" s="11">
        <v>3120</v>
      </c>
    </row>
    <row r="28" s="11" customFormat="1" spans="1:36">
      <c r="A28" s="11">
        <v>26</v>
      </c>
      <c r="D28" s="11" t="s">
        <v>36</v>
      </c>
      <c r="E28" s="17" t="s">
        <v>45</v>
      </c>
      <c r="F28" s="10">
        <f t="shared" si="3"/>
        <v>16500</v>
      </c>
      <c r="G28" s="10">
        <f t="shared" si="1"/>
        <v>14560</v>
      </c>
      <c r="H28" s="31">
        <v>2500</v>
      </c>
      <c r="K28" s="11">
        <v>2080</v>
      </c>
      <c r="O28" s="11">
        <v>2080</v>
      </c>
      <c r="S28" s="11">
        <v>2080</v>
      </c>
      <c r="V28" s="11">
        <v>2080</v>
      </c>
      <c r="Z28" s="11">
        <v>2080</v>
      </c>
      <c r="AE28" s="11">
        <v>2080</v>
      </c>
      <c r="AJ28" s="11">
        <v>2080</v>
      </c>
    </row>
    <row r="29" s="11" customFormat="1" spans="1:30">
      <c r="A29" s="11">
        <v>27</v>
      </c>
      <c r="D29" s="11" t="s">
        <v>36</v>
      </c>
      <c r="E29" s="17" t="s">
        <v>46</v>
      </c>
      <c r="F29" s="10">
        <f t="shared" si="3"/>
        <v>8000</v>
      </c>
      <c r="G29" s="10">
        <f>SUM(J29:AM29)</f>
        <v>8320</v>
      </c>
      <c r="H29" s="31">
        <v>0</v>
      </c>
      <c r="J29" s="11">
        <v>2080</v>
      </c>
      <c r="R29" s="11">
        <v>2080</v>
      </c>
      <c r="Y29" s="11">
        <v>2080</v>
      </c>
      <c r="AD29" s="11">
        <v>2080</v>
      </c>
    </row>
    <row r="30" s="11" customFormat="1" spans="1:35">
      <c r="A30" s="11">
        <v>28</v>
      </c>
      <c r="D30" s="11" t="s">
        <v>36</v>
      </c>
      <c r="E30" s="17" t="s">
        <v>47</v>
      </c>
      <c r="F30" s="10">
        <f t="shared" si="3"/>
        <v>8000</v>
      </c>
      <c r="G30" s="10">
        <f t="shared" ref="G30:G42" si="4">SUM(I30:AM30)</f>
        <v>6240</v>
      </c>
      <c r="H30" s="31">
        <v>2000</v>
      </c>
      <c r="S30" s="11">
        <v>2080</v>
      </c>
      <c r="Y30" s="11">
        <v>2080</v>
      </c>
      <c r="AI30" s="11">
        <v>2080</v>
      </c>
    </row>
    <row r="31" s="11" customFormat="1" spans="1:36">
      <c r="A31" s="11">
        <v>29</v>
      </c>
      <c r="D31" s="11" t="s">
        <v>36</v>
      </c>
      <c r="E31" s="17" t="s">
        <v>48</v>
      </c>
      <c r="F31" s="10">
        <f t="shared" si="3"/>
        <v>26000</v>
      </c>
      <c r="G31" s="10">
        <f t="shared" si="4"/>
        <v>27040</v>
      </c>
      <c r="H31" s="31">
        <v>0</v>
      </c>
      <c r="I31" s="38">
        <v>520</v>
      </c>
      <c r="J31" s="11">
        <v>5200</v>
      </c>
      <c r="O31" s="11">
        <v>5200</v>
      </c>
      <c r="T31" s="38">
        <v>520</v>
      </c>
      <c r="U31" s="11">
        <v>5200</v>
      </c>
      <c r="AF31" s="11">
        <v>5200</v>
      </c>
      <c r="AJ31" s="11">
        <v>5200</v>
      </c>
    </row>
    <row r="32" s="11" customFormat="1" spans="1:34">
      <c r="A32" s="11">
        <v>30</v>
      </c>
      <c r="D32" s="11" t="s">
        <v>36</v>
      </c>
      <c r="E32" s="17" t="s">
        <v>49</v>
      </c>
      <c r="F32" s="10">
        <f t="shared" si="3"/>
        <v>45000</v>
      </c>
      <c r="G32" s="10">
        <f t="shared" si="4"/>
        <v>46800</v>
      </c>
      <c r="H32" s="31">
        <v>0</v>
      </c>
      <c r="I32" s="11">
        <v>5200</v>
      </c>
      <c r="M32" s="11">
        <v>5200</v>
      </c>
      <c r="P32" s="11">
        <v>5200</v>
      </c>
      <c r="S32" s="11">
        <v>5200</v>
      </c>
      <c r="V32" s="11">
        <v>5200</v>
      </c>
      <c r="X32" s="11">
        <v>5200</v>
      </c>
      <c r="AA32" s="11">
        <v>5200</v>
      </c>
      <c r="AE32" s="11">
        <v>5200</v>
      </c>
      <c r="AH32" s="11">
        <v>5200</v>
      </c>
    </row>
    <row r="33" s="11" customFormat="1" spans="1:30">
      <c r="A33" s="11">
        <v>31</v>
      </c>
      <c r="D33" s="11" t="s">
        <v>36</v>
      </c>
      <c r="E33" s="17" t="s">
        <v>50</v>
      </c>
      <c r="F33" s="10">
        <f t="shared" si="3"/>
        <v>13000</v>
      </c>
      <c r="G33" s="10">
        <f t="shared" si="4"/>
        <v>12480</v>
      </c>
      <c r="H33" s="31">
        <v>1000</v>
      </c>
      <c r="L33" s="11">
        <v>2080</v>
      </c>
      <c r="O33" s="11">
        <v>2080</v>
      </c>
      <c r="S33" s="11">
        <v>2080</v>
      </c>
      <c r="V33" s="11">
        <v>2080</v>
      </c>
      <c r="Y33" s="11">
        <v>2080</v>
      </c>
      <c r="AD33" s="11">
        <v>2080</v>
      </c>
    </row>
    <row r="34" s="11" customFormat="1" spans="1:36">
      <c r="A34" s="11">
        <v>32</v>
      </c>
      <c r="D34" s="11" t="s">
        <v>51</v>
      </c>
      <c r="E34" s="17" t="s">
        <v>52</v>
      </c>
      <c r="F34" s="10">
        <f t="shared" si="3"/>
        <v>10000</v>
      </c>
      <c r="G34" s="10">
        <f t="shared" si="4"/>
        <v>9360</v>
      </c>
      <c r="H34" s="31">
        <v>1000</v>
      </c>
      <c r="J34" s="11">
        <v>1040</v>
      </c>
      <c r="L34" s="11">
        <v>1040</v>
      </c>
      <c r="O34" s="11">
        <v>1040</v>
      </c>
      <c r="P34" s="11">
        <v>1040</v>
      </c>
      <c r="V34" s="11">
        <v>1040</v>
      </c>
      <c r="AB34" s="11">
        <v>1040</v>
      </c>
      <c r="AD34" s="11">
        <v>1040</v>
      </c>
      <c r="AH34" s="11">
        <v>1040</v>
      </c>
      <c r="AJ34" s="11">
        <v>1040</v>
      </c>
    </row>
    <row r="35" s="11" customFormat="1" spans="1:35">
      <c r="A35" s="11">
        <v>33</v>
      </c>
      <c r="D35" s="11" t="s">
        <v>51</v>
      </c>
      <c r="E35" s="17" t="s">
        <v>53</v>
      </c>
      <c r="F35" s="10">
        <f t="shared" si="3"/>
        <v>8000</v>
      </c>
      <c r="G35" s="10">
        <f t="shared" si="4"/>
        <v>8320</v>
      </c>
      <c r="H35" s="31">
        <v>0</v>
      </c>
      <c r="I35" s="11">
        <v>1040</v>
      </c>
      <c r="O35" s="11">
        <v>1040</v>
      </c>
      <c r="P35" s="11">
        <v>1040</v>
      </c>
      <c r="R35" s="11">
        <v>1040</v>
      </c>
      <c r="W35" s="11">
        <v>1040</v>
      </c>
      <c r="AB35" s="11">
        <v>1040</v>
      </c>
      <c r="AE35" s="11">
        <v>1040</v>
      </c>
      <c r="AI35" s="11">
        <v>1040</v>
      </c>
    </row>
    <row r="36" s="11" customFormat="1" spans="1:15">
      <c r="A36" s="11">
        <v>34</v>
      </c>
      <c r="D36" s="11" t="s">
        <v>51</v>
      </c>
      <c r="E36" s="17" t="s">
        <v>54</v>
      </c>
      <c r="F36" s="10">
        <f t="shared" si="3"/>
        <v>4000</v>
      </c>
      <c r="G36" s="10">
        <f t="shared" si="4"/>
        <v>2080</v>
      </c>
      <c r="H36" s="31">
        <v>2000</v>
      </c>
      <c r="O36" s="11">
        <v>2080</v>
      </c>
    </row>
    <row r="37" s="11" customFormat="1" spans="1:35">
      <c r="A37" s="11">
        <v>35</v>
      </c>
      <c r="D37" s="11" t="s">
        <v>51</v>
      </c>
      <c r="E37" s="17" t="s">
        <v>55</v>
      </c>
      <c r="F37" s="10">
        <f t="shared" si="3"/>
        <v>30000</v>
      </c>
      <c r="G37" s="10">
        <f t="shared" si="4"/>
        <v>31200</v>
      </c>
      <c r="H37" s="31">
        <v>0</v>
      </c>
      <c r="I37" s="11">
        <v>3120</v>
      </c>
      <c r="K37" s="11">
        <v>3120</v>
      </c>
      <c r="M37" s="11">
        <v>3120</v>
      </c>
      <c r="R37" s="11">
        <v>3120</v>
      </c>
      <c r="T37" s="11">
        <v>3120</v>
      </c>
      <c r="V37" s="11">
        <v>3120</v>
      </c>
      <c r="Z37" s="11">
        <v>3120</v>
      </c>
      <c r="AA37" s="11">
        <v>3120</v>
      </c>
      <c r="AD37" s="11">
        <v>3120</v>
      </c>
      <c r="AI37" s="11">
        <v>3120</v>
      </c>
    </row>
    <row r="38" s="11" customFormat="1" spans="1:16">
      <c r="A38" s="11">
        <v>36</v>
      </c>
      <c r="D38" s="11" t="s">
        <v>51</v>
      </c>
      <c r="E38" s="17" t="s">
        <v>56</v>
      </c>
      <c r="F38" s="10">
        <f t="shared" si="3"/>
        <v>1000</v>
      </c>
      <c r="G38" s="10">
        <f t="shared" si="4"/>
        <v>1040</v>
      </c>
      <c r="H38" s="31">
        <v>0</v>
      </c>
      <c r="P38" s="11">
        <v>1040</v>
      </c>
    </row>
    <row r="39" s="11" customFormat="1" spans="1:35">
      <c r="A39" s="11">
        <v>37</v>
      </c>
      <c r="D39" s="11" t="s">
        <v>51</v>
      </c>
      <c r="E39" s="17" t="s">
        <v>57</v>
      </c>
      <c r="F39" s="10">
        <f t="shared" si="3"/>
        <v>15000</v>
      </c>
      <c r="G39" s="10">
        <f t="shared" si="4"/>
        <v>15600</v>
      </c>
      <c r="H39" s="31">
        <v>0</v>
      </c>
      <c r="J39" s="11">
        <v>3120</v>
      </c>
      <c r="P39" s="11">
        <v>3120</v>
      </c>
      <c r="V39" s="11">
        <v>3120</v>
      </c>
      <c r="AB39" s="11">
        <v>3120</v>
      </c>
      <c r="AI39" s="11">
        <v>3120</v>
      </c>
    </row>
    <row r="40" s="11" customFormat="1" spans="1:36">
      <c r="A40" s="11">
        <v>38</v>
      </c>
      <c r="C40" s="11">
        <v>684087396</v>
      </c>
      <c r="D40" s="11" t="s">
        <v>51</v>
      </c>
      <c r="E40" s="17" t="s">
        <v>58</v>
      </c>
      <c r="F40" s="10">
        <f t="shared" si="3"/>
        <v>6000</v>
      </c>
      <c r="G40" s="10">
        <f t="shared" si="4"/>
        <v>4160</v>
      </c>
      <c r="H40" s="31">
        <v>2000</v>
      </c>
      <c r="U40" s="11">
        <v>2080</v>
      </c>
      <c r="AJ40" s="11">
        <v>2080</v>
      </c>
    </row>
    <row r="41" s="11" customFormat="1" spans="1:34">
      <c r="A41" s="11">
        <v>39</v>
      </c>
      <c r="D41" s="11" t="s">
        <v>51</v>
      </c>
      <c r="E41" s="17" t="s">
        <v>59</v>
      </c>
      <c r="F41" s="10">
        <f t="shared" si="3"/>
        <v>12000</v>
      </c>
      <c r="G41" s="10">
        <f t="shared" si="4"/>
        <v>10400</v>
      </c>
      <c r="H41" s="31">
        <v>2000</v>
      </c>
      <c r="I41" s="11">
        <v>2080</v>
      </c>
      <c r="S41" s="11">
        <v>2080</v>
      </c>
      <c r="W41" s="11">
        <v>2080</v>
      </c>
      <c r="AA41" s="11">
        <v>2080</v>
      </c>
      <c r="AH41" s="11">
        <v>2080</v>
      </c>
    </row>
    <row r="42" s="11" customFormat="1" spans="1:31">
      <c r="A42" s="11">
        <v>40</v>
      </c>
      <c r="D42" s="11" t="s">
        <v>51</v>
      </c>
      <c r="E42" s="17" t="s">
        <v>60</v>
      </c>
      <c r="F42" s="10">
        <f t="shared" si="3"/>
        <v>6000</v>
      </c>
      <c r="G42" s="10">
        <f t="shared" si="4"/>
        <v>6240</v>
      </c>
      <c r="H42" s="31">
        <v>0</v>
      </c>
      <c r="L42" s="11">
        <v>2080</v>
      </c>
      <c r="X42" s="11">
        <v>2080</v>
      </c>
      <c r="AE42" s="11">
        <v>2080</v>
      </c>
    </row>
    <row r="43" s="11" customFormat="1" spans="1:34">
      <c r="A43" s="11">
        <v>41</v>
      </c>
      <c r="D43" s="11" t="s">
        <v>51</v>
      </c>
      <c r="E43" s="17" t="s">
        <v>61</v>
      </c>
      <c r="F43" s="10">
        <f t="shared" si="3"/>
        <v>40500</v>
      </c>
      <c r="G43" s="10">
        <f t="shared" ref="G43:G84" si="5">SUM(I43:AM43)</f>
        <v>40560</v>
      </c>
      <c r="H43" s="31">
        <v>1500</v>
      </c>
      <c r="I43" s="11">
        <v>3120</v>
      </c>
      <c r="J43" s="11">
        <v>3120</v>
      </c>
      <c r="L43" s="11">
        <v>3120</v>
      </c>
      <c r="O43" s="11">
        <v>3120</v>
      </c>
      <c r="Q43" s="11">
        <v>3120</v>
      </c>
      <c r="S43" s="11">
        <v>3120</v>
      </c>
      <c r="U43" s="11">
        <v>3120</v>
      </c>
      <c r="W43" s="11">
        <v>3120</v>
      </c>
      <c r="X43" s="11">
        <v>3120</v>
      </c>
      <c r="AA43" s="11">
        <v>3120</v>
      </c>
      <c r="AC43" s="11">
        <v>3120</v>
      </c>
      <c r="AF43" s="11">
        <v>3120</v>
      </c>
      <c r="AH43" s="11">
        <v>3120</v>
      </c>
    </row>
    <row r="44" s="11" customFormat="1" spans="1:31">
      <c r="A44" s="11">
        <v>42</v>
      </c>
      <c r="D44" s="11" t="s">
        <v>51</v>
      </c>
      <c r="E44" s="17" t="s">
        <v>62</v>
      </c>
      <c r="F44" s="10">
        <f t="shared" si="3"/>
        <v>4000</v>
      </c>
      <c r="G44" s="10">
        <f t="shared" si="5"/>
        <v>4160</v>
      </c>
      <c r="H44" s="31">
        <v>0</v>
      </c>
      <c r="T44" s="11">
        <v>2080</v>
      </c>
      <c r="AE44" s="11">
        <v>2080</v>
      </c>
    </row>
    <row r="45" s="11" customFormat="1" spans="1:32">
      <c r="A45" s="11">
        <v>43</v>
      </c>
      <c r="D45" s="11" t="s">
        <v>51</v>
      </c>
      <c r="E45" s="17" t="s">
        <v>63</v>
      </c>
      <c r="F45" s="10">
        <f t="shared" si="3"/>
        <v>21000</v>
      </c>
      <c r="G45" s="10">
        <f t="shared" si="5"/>
        <v>21840</v>
      </c>
      <c r="H45" s="31">
        <v>0</v>
      </c>
      <c r="J45" s="11">
        <v>3120</v>
      </c>
      <c r="N45" s="11">
        <v>3120</v>
      </c>
      <c r="R45" s="11">
        <v>3120</v>
      </c>
      <c r="V45" s="11">
        <v>3120</v>
      </c>
      <c r="X45" s="11">
        <v>3120</v>
      </c>
      <c r="Z45" s="11">
        <v>3120</v>
      </c>
      <c r="AF45" s="11">
        <v>3120</v>
      </c>
    </row>
    <row r="46" s="11" customFormat="1" spans="1:33">
      <c r="A46" s="11">
        <v>44</v>
      </c>
      <c r="D46" s="11" t="s">
        <v>64</v>
      </c>
      <c r="E46" s="17" t="s">
        <v>65</v>
      </c>
      <c r="F46" s="10">
        <f t="shared" si="3"/>
        <v>21000</v>
      </c>
      <c r="G46" s="10">
        <f t="shared" si="5"/>
        <v>18720</v>
      </c>
      <c r="H46" s="31">
        <v>3000</v>
      </c>
      <c r="K46" s="11">
        <v>3120</v>
      </c>
      <c r="O46" s="11">
        <v>3120</v>
      </c>
      <c r="U46" s="11">
        <v>3120</v>
      </c>
      <c r="Y46" s="11">
        <v>3120</v>
      </c>
      <c r="AD46" s="11">
        <v>3120</v>
      </c>
      <c r="AG46" s="11">
        <v>3120</v>
      </c>
    </row>
    <row r="47" s="11" customFormat="1" spans="1:34">
      <c r="A47" s="11">
        <v>45</v>
      </c>
      <c r="D47" s="11" t="s">
        <v>64</v>
      </c>
      <c r="E47" s="17" t="s">
        <v>66</v>
      </c>
      <c r="F47" s="10">
        <f t="shared" si="3"/>
        <v>18000</v>
      </c>
      <c r="G47" s="10">
        <f t="shared" si="5"/>
        <v>18720</v>
      </c>
      <c r="H47" s="31">
        <v>0</v>
      </c>
      <c r="L47" s="11">
        <v>3120</v>
      </c>
      <c r="O47" s="11">
        <v>3120</v>
      </c>
      <c r="S47" s="11">
        <v>3120</v>
      </c>
      <c r="X47" s="11">
        <v>3120</v>
      </c>
      <c r="AD47" s="11">
        <v>3120</v>
      </c>
      <c r="AH47" s="11">
        <v>3120</v>
      </c>
    </row>
    <row r="48" s="11" customFormat="1" spans="1:27">
      <c r="A48" s="11">
        <v>46</v>
      </c>
      <c r="D48" s="11" t="s">
        <v>64</v>
      </c>
      <c r="E48" s="17" t="s">
        <v>67</v>
      </c>
      <c r="F48" s="10">
        <f t="shared" si="3"/>
        <v>4000</v>
      </c>
      <c r="G48" s="10">
        <f t="shared" si="5"/>
        <v>4160</v>
      </c>
      <c r="H48" s="31">
        <v>0</v>
      </c>
      <c r="K48" s="11">
        <v>2080</v>
      </c>
      <c r="AA48" s="11">
        <v>2080</v>
      </c>
    </row>
    <row r="49" s="11" customFormat="1" spans="1:36">
      <c r="A49" s="11">
        <v>47</v>
      </c>
      <c r="D49" s="11" t="s">
        <v>64</v>
      </c>
      <c r="E49" s="17" t="s">
        <v>68</v>
      </c>
      <c r="F49" s="10">
        <f t="shared" si="3"/>
        <v>36000</v>
      </c>
      <c r="G49" s="10">
        <f t="shared" si="5"/>
        <v>34320</v>
      </c>
      <c r="H49" s="31">
        <v>3000</v>
      </c>
      <c r="I49" s="11">
        <v>3120</v>
      </c>
      <c r="L49" s="11">
        <v>3120</v>
      </c>
      <c r="N49" s="11">
        <v>3120</v>
      </c>
      <c r="P49" s="11">
        <v>3120</v>
      </c>
      <c r="U49" s="11">
        <v>3120</v>
      </c>
      <c r="W49" s="11">
        <v>3120</v>
      </c>
      <c r="Y49" s="11">
        <v>3120</v>
      </c>
      <c r="AA49" s="11">
        <v>3120</v>
      </c>
      <c r="AD49" s="11">
        <v>3120</v>
      </c>
      <c r="AH49" s="11">
        <v>3120</v>
      </c>
      <c r="AJ49" s="11">
        <v>3120</v>
      </c>
    </row>
    <row r="50" s="11" customFormat="1" spans="1:36">
      <c r="A50" s="11">
        <v>48</v>
      </c>
      <c r="D50" s="11" t="s">
        <v>64</v>
      </c>
      <c r="E50" s="17" t="s">
        <v>69</v>
      </c>
      <c r="F50" s="10">
        <f t="shared" si="3"/>
        <v>30000</v>
      </c>
      <c r="G50" s="10">
        <f t="shared" si="5"/>
        <v>28080</v>
      </c>
      <c r="H50" s="31">
        <v>3000</v>
      </c>
      <c r="K50" s="11">
        <v>3120</v>
      </c>
      <c r="O50" s="11">
        <v>3120</v>
      </c>
      <c r="Q50" s="11">
        <v>3120</v>
      </c>
      <c r="T50" s="11">
        <v>3120</v>
      </c>
      <c r="V50" s="11">
        <v>3120</v>
      </c>
      <c r="X50" s="11">
        <v>3120</v>
      </c>
      <c r="AB50" s="11">
        <v>3120</v>
      </c>
      <c r="AE50" s="11">
        <v>3120</v>
      </c>
      <c r="AJ50" s="11">
        <v>3120</v>
      </c>
    </row>
    <row r="51" s="11" customFormat="1" spans="1:36">
      <c r="A51" s="11">
        <v>49</v>
      </c>
      <c r="D51" s="11" t="s">
        <v>64</v>
      </c>
      <c r="E51" s="17" t="s">
        <v>70</v>
      </c>
      <c r="F51" s="10">
        <f t="shared" si="3"/>
        <v>10000</v>
      </c>
      <c r="G51" s="10">
        <f t="shared" si="5"/>
        <v>10400</v>
      </c>
      <c r="H51" s="31">
        <v>0</v>
      </c>
      <c r="M51" s="11">
        <v>2080</v>
      </c>
      <c r="O51" s="11">
        <v>2080</v>
      </c>
      <c r="U51" s="11">
        <v>2080</v>
      </c>
      <c r="AB51" s="11">
        <v>2080</v>
      </c>
      <c r="AJ51" s="11">
        <v>2080</v>
      </c>
    </row>
    <row r="52" s="11" customFormat="1" spans="1:8">
      <c r="A52" s="11">
        <v>50</v>
      </c>
      <c r="D52" s="11" t="s">
        <v>64</v>
      </c>
      <c r="E52" s="17" t="s">
        <v>71</v>
      </c>
      <c r="F52" s="10">
        <f t="shared" si="3"/>
        <v>0</v>
      </c>
      <c r="G52" s="10">
        <f t="shared" si="5"/>
        <v>0</v>
      </c>
      <c r="H52" s="31">
        <v>0</v>
      </c>
    </row>
    <row r="53" s="11" customFormat="1" spans="1:35">
      <c r="A53" s="11">
        <v>51</v>
      </c>
      <c r="D53" s="11" t="s">
        <v>64</v>
      </c>
      <c r="E53" s="17" t="s">
        <v>72</v>
      </c>
      <c r="F53" s="10">
        <f t="shared" si="3"/>
        <v>18000</v>
      </c>
      <c r="G53" s="10">
        <f t="shared" si="5"/>
        <v>18720</v>
      </c>
      <c r="H53" s="31">
        <v>0</v>
      </c>
      <c r="J53" s="11">
        <v>1040</v>
      </c>
      <c r="L53" s="11">
        <v>1040</v>
      </c>
      <c r="N53" s="11">
        <v>1040</v>
      </c>
      <c r="O53" s="11">
        <v>1040</v>
      </c>
      <c r="P53" s="11">
        <v>1040</v>
      </c>
      <c r="Q53" s="11">
        <v>1040</v>
      </c>
      <c r="S53" s="11">
        <v>1040</v>
      </c>
      <c r="V53" s="11">
        <v>1040</v>
      </c>
      <c r="W53" s="11">
        <v>1040</v>
      </c>
      <c r="X53" s="11">
        <v>1040</v>
      </c>
      <c r="Y53" s="11">
        <v>1040</v>
      </c>
      <c r="Z53" s="11">
        <v>2080</v>
      </c>
      <c r="AB53" s="11">
        <v>1040</v>
      </c>
      <c r="AD53" s="11">
        <v>1040</v>
      </c>
      <c r="AG53" s="11">
        <v>1040</v>
      </c>
      <c r="AH53" s="11">
        <v>1040</v>
      </c>
      <c r="AI53" s="11">
        <v>1040</v>
      </c>
    </row>
    <row r="54" s="11" customFormat="1" spans="1:36">
      <c r="A54" s="11">
        <v>52</v>
      </c>
      <c r="D54" s="11" t="s">
        <v>64</v>
      </c>
      <c r="E54" s="17" t="s">
        <v>73</v>
      </c>
      <c r="F54" s="10">
        <f t="shared" si="3"/>
        <v>16000</v>
      </c>
      <c r="G54" s="10">
        <f t="shared" si="5"/>
        <v>14560</v>
      </c>
      <c r="H54" s="31">
        <v>2000</v>
      </c>
      <c r="L54" s="38">
        <v>2080</v>
      </c>
      <c r="S54" s="11">
        <v>2080</v>
      </c>
      <c r="T54" s="11">
        <v>2080</v>
      </c>
      <c r="X54" s="11">
        <v>2080</v>
      </c>
      <c r="Z54" s="11">
        <v>2080</v>
      </c>
      <c r="AF54" s="11">
        <v>2080</v>
      </c>
      <c r="AJ54" s="11">
        <v>2080</v>
      </c>
    </row>
    <row r="55" s="11" customFormat="1" spans="1:21">
      <c r="A55" s="11">
        <v>53</v>
      </c>
      <c r="B55" s="35"/>
      <c r="D55" s="11" t="s">
        <v>64</v>
      </c>
      <c r="E55" s="34" t="s">
        <v>74</v>
      </c>
      <c r="F55" s="10">
        <f t="shared" si="3"/>
        <v>2000</v>
      </c>
      <c r="G55" s="10">
        <f t="shared" si="5"/>
        <v>2080</v>
      </c>
      <c r="H55" s="31">
        <v>0</v>
      </c>
      <c r="U55" s="38">
        <v>2080</v>
      </c>
    </row>
    <row r="56" s="11" customFormat="1" spans="1:33">
      <c r="A56" s="11">
        <v>54</v>
      </c>
      <c r="B56" s="35"/>
      <c r="D56" s="11" t="s">
        <v>64</v>
      </c>
      <c r="E56" s="34" t="s">
        <v>75</v>
      </c>
      <c r="F56" s="10">
        <f t="shared" si="3"/>
        <v>5000</v>
      </c>
      <c r="G56" s="10">
        <f t="shared" si="5"/>
        <v>5200</v>
      </c>
      <c r="H56" s="31">
        <v>0</v>
      </c>
      <c r="N56" s="11">
        <v>1040</v>
      </c>
      <c r="Z56" s="11">
        <v>1040</v>
      </c>
      <c r="AC56" s="11">
        <v>1040</v>
      </c>
      <c r="AD56" s="11">
        <v>1040</v>
      </c>
      <c r="AG56" s="11">
        <v>1040</v>
      </c>
    </row>
    <row r="57" s="11" customFormat="1" spans="1:8">
      <c r="A57" s="11">
        <v>55</v>
      </c>
      <c r="B57" s="35"/>
      <c r="D57" s="11" t="s">
        <v>64</v>
      </c>
      <c r="E57" s="34" t="s">
        <v>76</v>
      </c>
      <c r="F57" s="10">
        <f t="shared" si="3"/>
        <v>0</v>
      </c>
      <c r="G57" s="10">
        <f t="shared" si="5"/>
        <v>0</v>
      </c>
      <c r="H57" s="31">
        <v>0</v>
      </c>
    </row>
    <row r="58" s="11" customFormat="1" spans="1:31">
      <c r="A58" s="11">
        <v>56</v>
      </c>
      <c r="D58" s="11" t="s">
        <v>77</v>
      </c>
      <c r="E58" s="17" t="s">
        <v>78</v>
      </c>
      <c r="F58" s="10">
        <f t="shared" si="3"/>
        <v>12000</v>
      </c>
      <c r="G58" s="10">
        <f t="shared" si="5"/>
        <v>12480</v>
      </c>
      <c r="H58" s="31">
        <v>0</v>
      </c>
      <c r="J58" s="11">
        <v>2080</v>
      </c>
      <c r="Q58" s="11">
        <v>2080</v>
      </c>
      <c r="T58" s="11">
        <v>2080</v>
      </c>
      <c r="X58" s="11">
        <v>2080</v>
      </c>
      <c r="Y58" s="11">
        <v>2080</v>
      </c>
      <c r="AE58" s="11">
        <v>2080</v>
      </c>
    </row>
    <row r="59" s="11" customFormat="1" spans="1:36">
      <c r="A59" s="11">
        <v>57</v>
      </c>
      <c r="D59" s="11" t="s">
        <v>77</v>
      </c>
      <c r="E59" s="17" t="s">
        <v>79</v>
      </c>
      <c r="F59" s="10">
        <f t="shared" si="3"/>
        <v>40000</v>
      </c>
      <c r="G59" s="10">
        <f t="shared" si="5"/>
        <v>36400</v>
      </c>
      <c r="H59" s="31">
        <v>5000</v>
      </c>
      <c r="L59" s="11">
        <v>5200</v>
      </c>
      <c r="P59" s="38">
        <v>5200</v>
      </c>
      <c r="Q59" s="11">
        <v>5200</v>
      </c>
      <c r="T59" s="11">
        <v>5200</v>
      </c>
      <c r="AA59" s="11">
        <v>5200</v>
      </c>
      <c r="AD59" s="11">
        <v>5200</v>
      </c>
      <c r="AJ59" s="11">
        <v>5200</v>
      </c>
    </row>
    <row r="60" s="11" customFormat="1" spans="1:33">
      <c r="A60" s="11">
        <v>58</v>
      </c>
      <c r="D60" s="11" t="s">
        <v>77</v>
      </c>
      <c r="E60" s="17" t="s">
        <v>80</v>
      </c>
      <c r="F60" s="10">
        <f t="shared" si="3"/>
        <v>15000</v>
      </c>
      <c r="G60" s="10">
        <f t="shared" si="5"/>
        <v>15600</v>
      </c>
      <c r="H60" s="31">
        <v>0</v>
      </c>
      <c r="K60" s="11">
        <v>5200</v>
      </c>
      <c r="T60" s="11">
        <v>5200</v>
      </c>
      <c r="AG60" s="11">
        <v>5200</v>
      </c>
    </row>
    <row r="61" s="11" customFormat="1" spans="1:27">
      <c r="A61" s="11">
        <v>59</v>
      </c>
      <c r="D61" s="11" t="s">
        <v>77</v>
      </c>
      <c r="E61" s="17" t="s">
        <v>81</v>
      </c>
      <c r="F61" s="10">
        <f t="shared" si="3"/>
        <v>12000</v>
      </c>
      <c r="G61" s="10">
        <f t="shared" si="5"/>
        <v>12480</v>
      </c>
      <c r="H61" s="31">
        <v>0</v>
      </c>
      <c r="I61" s="11">
        <v>2080</v>
      </c>
      <c r="P61" s="11">
        <v>2080</v>
      </c>
      <c r="S61" s="11">
        <v>2080</v>
      </c>
      <c r="W61" s="39">
        <v>2080</v>
      </c>
      <c r="X61" s="11">
        <v>2080</v>
      </c>
      <c r="AA61" s="11">
        <v>2080</v>
      </c>
    </row>
    <row r="62" s="11" customFormat="1" spans="1:32">
      <c r="A62" s="11">
        <v>60</v>
      </c>
      <c r="B62" s="35"/>
      <c r="D62" s="11" t="s">
        <v>82</v>
      </c>
      <c r="E62" s="34" t="s">
        <v>83</v>
      </c>
      <c r="F62" s="10">
        <f t="shared" si="3"/>
        <v>30000</v>
      </c>
      <c r="G62" s="10">
        <f t="shared" si="5"/>
        <v>26000</v>
      </c>
      <c r="H62" s="31">
        <v>5000</v>
      </c>
      <c r="N62" s="11">
        <v>5200</v>
      </c>
      <c r="R62" s="11">
        <v>5200</v>
      </c>
      <c r="X62" s="11">
        <v>5200</v>
      </c>
      <c r="AB62" s="11">
        <v>5200</v>
      </c>
      <c r="AF62" s="11">
        <v>5200</v>
      </c>
    </row>
    <row r="63" s="11" customFormat="1" spans="1:17">
      <c r="A63" s="11">
        <v>61</v>
      </c>
      <c r="B63" s="35"/>
      <c r="D63" s="11" t="s">
        <v>82</v>
      </c>
      <c r="E63" s="34" t="s">
        <v>84</v>
      </c>
      <c r="F63" s="10">
        <f t="shared" si="3"/>
        <v>3500</v>
      </c>
      <c r="G63" s="10">
        <f t="shared" si="5"/>
        <v>520</v>
      </c>
      <c r="H63" s="31">
        <v>3000</v>
      </c>
      <c r="Q63" s="38">
        <v>520</v>
      </c>
    </row>
    <row r="64" s="11" customFormat="1" spans="1:29">
      <c r="A64" s="11">
        <v>62</v>
      </c>
      <c r="C64" s="32" t="s">
        <v>85</v>
      </c>
      <c r="D64" s="11" t="s">
        <v>82</v>
      </c>
      <c r="E64" s="17" t="s">
        <v>86</v>
      </c>
      <c r="F64" s="10">
        <f t="shared" si="3"/>
        <v>10000</v>
      </c>
      <c r="G64" s="10">
        <f t="shared" si="5"/>
        <v>10400</v>
      </c>
      <c r="H64" s="31">
        <v>0</v>
      </c>
      <c r="O64" s="11">
        <v>5200</v>
      </c>
      <c r="AC64" s="11">
        <v>5200</v>
      </c>
    </row>
    <row r="65" s="11" customFormat="1" spans="1:30">
      <c r="A65" s="11">
        <v>63</v>
      </c>
      <c r="C65" s="11">
        <v>685671039</v>
      </c>
      <c r="D65" s="11" t="s">
        <v>87</v>
      </c>
      <c r="E65" s="11" t="s">
        <v>88</v>
      </c>
      <c r="F65" s="10">
        <f t="shared" si="3"/>
        <v>8000</v>
      </c>
      <c r="G65" s="10">
        <f t="shared" si="5"/>
        <v>6240</v>
      </c>
      <c r="H65" s="26">
        <v>2000</v>
      </c>
      <c r="O65" s="11">
        <v>2080</v>
      </c>
      <c r="Z65" s="11">
        <v>2080</v>
      </c>
      <c r="AD65" s="11">
        <v>2080</v>
      </c>
    </row>
    <row r="66" s="11" customFormat="1" spans="1:33">
      <c r="A66" s="11">
        <v>64</v>
      </c>
      <c r="B66" s="35"/>
      <c r="D66" s="11" t="s">
        <v>87</v>
      </c>
      <c r="E66" s="34" t="s">
        <v>89</v>
      </c>
      <c r="F66" s="10">
        <f t="shared" si="3"/>
        <v>18000</v>
      </c>
      <c r="G66" s="10">
        <f t="shared" si="5"/>
        <v>16640</v>
      </c>
      <c r="H66" s="31">
        <v>2000</v>
      </c>
      <c r="L66" s="11">
        <v>2080</v>
      </c>
      <c r="N66" s="11">
        <v>2080</v>
      </c>
      <c r="P66" s="11">
        <v>2080</v>
      </c>
      <c r="S66" s="11">
        <v>2080</v>
      </c>
      <c r="U66" s="11">
        <v>2080</v>
      </c>
      <c r="AA66" s="11">
        <v>2080</v>
      </c>
      <c r="AE66" s="11">
        <v>2080</v>
      </c>
      <c r="AG66" s="11">
        <v>2080</v>
      </c>
    </row>
    <row r="67" s="11" customFormat="1" spans="1:26">
      <c r="A67" s="11">
        <v>65</v>
      </c>
      <c r="B67" s="35"/>
      <c r="D67" s="11" t="s">
        <v>90</v>
      </c>
      <c r="E67" s="34" t="s">
        <v>91</v>
      </c>
      <c r="F67" s="10">
        <f t="shared" si="3"/>
        <v>6000</v>
      </c>
      <c r="G67" s="10">
        <f t="shared" si="5"/>
        <v>4160</v>
      </c>
      <c r="H67" s="31">
        <v>2000</v>
      </c>
      <c r="T67" s="11">
        <v>2080</v>
      </c>
      <c r="Z67" s="11">
        <v>2080</v>
      </c>
    </row>
    <row r="68" s="11" customFormat="1" spans="1:34">
      <c r="A68" s="11">
        <v>66</v>
      </c>
      <c r="D68" s="11" t="s">
        <v>92</v>
      </c>
      <c r="E68" s="17" t="s">
        <v>93</v>
      </c>
      <c r="F68" s="10">
        <f t="shared" si="3"/>
        <v>12000</v>
      </c>
      <c r="G68" s="10">
        <f t="shared" si="5"/>
        <v>10400</v>
      </c>
      <c r="H68" s="31">
        <v>2000</v>
      </c>
      <c r="L68" s="11">
        <v>2080</v>
      </c>
      <c r="S68" s="11">
        <v>2080</v>
      </c>
      <c r="X68" s="11">
        <v>2080</v>
      </c>
      <c r="AC68" s="11">
        <v>2080</v>
      </c>
      <c r="AH68" s="11">
        <v>2080</v>
      </c>
    </row>
    <row r="69" s="11" customFormat="1" spans="1:35">
      <c r="A69" s="11">
        <v>67</v>
      </c>
      <c r="D69" s="11" t="s">
        <v>92</v>
      </c>
      <c r="E69" s="17" t="s">
        <v>94</v>
      </c>
      <c r="F69" s="10">
        <f t="shared" si="3"/>
        <v>6000</v>
      </c>
      <c r="G69" s="10">
        <f t="shared" si="5"/>
        <v>8320</v>
      </c>
      <c r="H69" s="31">
        <v>-2000</v>
      </c>
      <c r="N69" s="11">
        <v>2080</v>
      </c>
      <c r="X69" s="11">
        <v>2080</v>
      </c>
      <c r="AC69" s="11">
        <v>2080</v>
      </c>
      <c r="AI69" s="11">
        <v>2080</v>
      </c>
    </row>
    <row r="70" s="11" customFormat="1" spans="1:27">
      <c r="A70" s="11">
        <v>68</v>
      </c>
      <c r="D70" s="11" t="s">
        <v>92</v>
      </c>
      <c r="E70" s="17" t="s">
        <v>95</v>
      </c>
      <c r="F70" s="10">
        <f t="shared" si="3"/>
        <v>6000</v>
      </c>
      <c r="G70" s="10">
        <f t="shared" si="5"/>
        <v>6240</v>
      </c>
      <c r="H70" s="31">
        <v>0</v>
      </c>
      <c r="I70" s="11">
        <v>2080</v>
      </c>
      <c r="O70" s="11">
        <v>2080</v>
      </c>
      <c r="AA70" s="11">
        <v>2080</v>
      </c>
    </row>
    <row r="71" s="11" customFormat="1" spans="1:32">
      <c r="A71" s="11">
        <v>69</v>
      </c>
      <c r="D71" s="11" t="s">
        <v>92</v>
      </c>
      <c r="E71" s="17" t="s">
        <v>96</v>
      </c>
      <c r="F71" s="10">
        <f t="shared" si="3"/>
        <v>5000</v>
      </c>
      <c r="G71" s="10">
        <f t="shared" si="5"/>
        <v>5200</v>
      </c>
      <c r="H71" s="31">
        <v>0</v>
      </c>
      <c r="J71" s="11">
        <v>1040</v>
      </c>
      <c r="R71" s="11">
        <v>1040</v>
      </c>
      <c r="W71" s="11">
        <v>1040</v>
      </c>
      <c r="AC71" s="11">
        <v>1040</v>
      </c>
      <c r="AF71" s="11">
        <v>1040</v>
      </c>
    </row>
    <row r="72" s="11" customFormat="1" spans="1:34">
      <c r="A72" s="11">
        <v>70</v>
      </c>
      <c r="D72" s="11" t="s">
        <v>92</v>
      </c>
      <c r="E72" s="17" t="s">
        <v>97</v>
      </c>
      <c r="F72" s="10">
        <f t="shared" si="3"/>
        <v>50000</v>
      </c>
      <c r="G72" s="10">
        <f t="shared" si="5"/>
        <v>46800</v>
      </c>
      <c r="H72" s="31">
        <v>5000</v>
      </c>
      <c r="K72" s="11">
        <v>5200</v>
      </c>
      <c r="N72" s="11">
        <v>5200</v>
      </c>
      <c r="Q72" s="11">
        <v>5200</v>
      </c>
      <c r="T72" s="11">
        <v>5200</v>
      </c>
      <c r="W72" s="11">
        <v>5200</v>
      </c>
      <c r="AA72" s="11">
        <v>5200</v>
      </c>
      <c r="AD72" s="11">
        <v>5200</v>
      </c>
      <c r="AE72" s="11">
        <v>5200</v>
      </c>
      <c r="AH72" s="11">
        <v>5200</v>
      </c>
    </row>
    <row r="73" s="11" customFormat="1" spans="1:35">
      <c r="A73" s="11">
        <v>71</v>
      </c>
      <c r="D73" s="11" t="s">
        <v>92</v>
      </c>
      <c r="E73" s="17" t="s">
        <v>98</v>
      </c>
      <c r="F73" s="10">
        <f t="shared" si="3"/>
        <v>21000</v>
      </c>
      <c r="G73" s="10">
        <f t="shared" si="5"/>
        <v>21840</v>
      </c>
      <c r="H73" s="31">
        <v>0</v>
      </c>
      <c r="J73" s="11">
        <v>3120</v>
      </c>
      <c r="O73" s="11">
        <v>3120</v>
      </c>
      <c r="S73" s="11">
        <v>3120</v>
      </c>
      <c r="W73" s="11">
        <v>3120</v>
      </c>
      <c r="Z73" s="11">
        <v>3120</v>
      </c>
      <c r="AG73" s="11">
        <v>3120</v>
      </c>
      <c r="AI73" s="11">
        <v>3120</v>
      </c>
    </row>
    <row r="74" s="11" customFormat="1" spans="1:34">
      <c r="A74" s="11">
        <v>72</v>
      </c>
      <c r="B74" s="35"/>
      <c r="D74" s="11" t="s">
        <v>92</v>
      </c>
      <c r="E74" s="34" t="s">
        <v>99</v>
      </c>
      <c r="F74" s="10">
        <f t="shared" si="3"/>
        <v>10000</v>
      </c>
      <c r="G74" s="10">
        <f t="shared" si="5"/>
        <v>10400</v>
      </c>
      <c r="H74" s="31">
        <v>0</v>
      </c>
      <c r="O74" s="11">
        <v>2080</v>
      </c>
      <c r="R74" s="11">
        <v>2080</v>
      </c>
      <c r="X74" s="11">
        <v>2080</v>
      </c>
      <c r="AC74" s="11">
        <v>2080</v>
      </c>
      <c r="AH74" s="11">
        <v>2080</v>
      </c>
    </row>
    <row r="75" s="11" customFormat="1" spans="1:8">
      <c r="A75" s="11">
        <v>73</v>
      </c>
      <c r="C75" s="11">
        <v>683909558</v>
      </c>
      <c r="D75" s="11" t="s">
        <v>92</v>
      </c>
      <c r="E75" s="17" t="s">
        <v>100</v>
      </c>
      <c r="F75" s="10">
        <f t="shared" si="3"/>
        <v>0</v>
      </c>
      <c r="G75" s="10">
        <f t="shared" si="5"/>
        <v>0</v>
      </c>
      <c r="H75" s="31">
        <v>0</v>
      </c>
    </row>
    <row r="76" s="11" customFormat="1" spans="1:34">
      <c r="A76" s="11">
        <v>74</v>
      </c>
      <c r="B76" s="35"/>
      <c r="D76" s="11" t="s">
        <v>92</v>
      </c>
      <c r="E76" s="34" t="s">
        <v>101</v>
      </c>
      <c r="F76" s="10">
        <f t="shared" si="3"/>
        <v>6000</v>
      </c>
      <c r="G76" s="10">
        <f t="shared" si="5"/>
        <v>4160</v>
      </c>
      <c r="H76" s="31">
        <v>2000</v>
      </c>
      <c r="Z76" s="11">
        <v>2080</v>
      </c>
      <c r="AH76" s="11">
        <v>2080</v>
      </c>
    </row>
    <row r="77" s="11" customFormat="1" spans="1:36">
      <c r="A77" s="11">
        <v>75</v>
      </c>
      <c r="D77" s="11" t="s">
        <v>102</v>
      </c>
      <c r="E77" s="17" t="s">
        <v>103</v>
      </c>
      <c r="F77" s="10">
        <f t="shared" si="3"/>
        <v>16000</v>
      </c>
      <c r="G77" s="10">
        <f t="shared" si="5"/>
        <v>14560</v>
      </c>
      <c r="H77" s="31">
        <v>2000</v>
      </c>
      <c r="I77" s="11">
        <v>1040</v>
      </c>
      <c r="J77" s="11">
        <v>1040</v>
      </c>
      <c r="M77" s="11">
        <v>1040</v>
      </c>
      <c r="O77" s="11">
        <v>1040</v>
      </c>
      <c r="R77" s="11">
        <v>1040</v>
      </c>
      <c r="T77" s="11">
        <v>1040</v>
      </c>
      <c r="U77" s="11">
        <v>1040</v>
      </c>
      <c r="Y77" s="11">
        <v>2080</v>
      </c>
      <c r="AA77" s="11">
        <v>1040</v>
      </c>
      <c r="AC77" s="11">
        <v>1040</v>
      </c>
      <c r="AE77" s="11">
        <v>1040</v>
      </c>
      <c r="AG77" s="11">
        <v>1040</v>
      </c>
      <c r="AJ77" s="11">
        <v>1040</v>
      </c>
    </row>
    <row r="78" s="11" customFormat="1" spans="1:35">
      <c r="A78" s="11">
        <v>76</v>
      </c>
      <c r="D78" s="11" t="s">
        <v>102</v>
      </c>
      <c r="E78" s="17" t="s">
        <v>104</v>
      </c>
      <c r="F78" s="10">
        <f t="shared" si="3"/>
        <v>36000</v>
      </c>
      <c r="G78" s="10">
        <f t="shared" si="5"/>
        <v>31200</v>
      </c>
      <c r="H78" s="31">
        <v>6000</v>
      </c>
      <c r="L78" s="11">
        <v>3120</v>
      </c>
      <c r="N78" s="11">
        <v>3120</v>
      </c>
      <c r="P78" s="11">
        <v>3120</v>
      </c>
      <c r="Q78" s="11">
        <v>3120</v>
      </c>
      <c r="U78" s="11">
        <v>3120</v>
      </c>
      <c r="V78" s="11">
        <v>3120</v>
      </c>
      <c r="X78" s="11">
        <v>3120</v>
      </c>
      <c r="AA78" s="11">
        <v>3120</v>
      </c>
      <c r="AG78" s="11">
        <v>3120</v>
      </c>
      <c r="AI78" s="11">
        <v>3120</v>
      </c>
    </row>
    <row r="79" s="11" customFormat="1" spans="1:36">
      <c r="A79" s="11">
        <v>77</v>
      </c>
      <c r="D79" s="11" t="s">
        <v>102</v>
      </c>
      <c r="E79" s="17" t="s">
        <v>105</v>
      </c>
      <c r="F79" s="10">
        <f t="shared" si="3"/>
        <v>21000</v>
      </c>
      <c r="G79" s="10">
        <f t="shared" si="5"/>
        <v>18720</v>
      </c>
      <c r="H79" s="31">
        <v>3000</v>
      </c>
      <c r="K79" s="11">
        <v>2080</v>
      </c>
      <c r="N79" s="11">
        <v>2080</v>
      </c>
      <c r="P79" s="11">
        <v>2080</v>
      </c>
      <c r="T79" s="11">
        <v>2080</v>
      </c>
      <c r="W79" s="11">
        <v>2080</v>
      </c>
      <c r="Y79" s="11">
        <v>2080</v>
      </c>
      <c r="AD79" s="11">
        <v>2080</v>
      </c>
      <c r="AE79" s="11">
        <v>2080</v>
      </c>
      <c r="AJ79" s="11">
        <v>2080</v>
      </c>
    </row>
    <row r="80" s="11" customFormat="1" spans="1:29">
      <c r="A80" s="11">
        <v>78</v>
      </c>
      <c r="B80" s="35"/>
      <c r="E80" s="34" t="s">
        <v>106</v>
      </c>
      <c r="F80" s="10">
        <f t="shared" si="3"/>
        <v>58000</v>
      </c>
      <c r="G80" s="10">
        <f t="shared" si="5"/>
        <v>9360</v>
      </c>
      <c r="H80" s="31">
        <v>49000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V80" s="37"/>
      <c r="W80" s="40">
        <v>5200</v>
      </c>
      <c r="X80" s="37"/>
      <c r="Y80" s="37"/>
      <c r="AA80" s="11">
        <v>2080</v>
      </c>
      <c r="AC80" s="11">
        <v>2080</v>
      </c>
    </row>
    <row r="81" s="11" customFormat="1" spans="1:35">
      <c r="A81" s="11">
        <v>79</v>
      </c>
      <c r="B81" s="35"/>
      <c r="D81" s="11" t="s">
        <v>107</v>
      </c>
      <c r="E81" s="34" t="s">
        <v>108</v>
      </c>
      <c r="F81" s="10">
        <f t="shared" si="3"/>
        <v>10000</v>
      </c>
      <c r="G81" s="10">
        <f t="shared" si="5"/>
        <v>10400</v>
      </c>
      <c r="H81" s="31">
        <v>0</v>
      </c>
      <c r="I81" s="11">
        <v>1040</v>
      </c>
      <c r="K81" s="11">
        <v>1040</v>
      </c>
      <c r="P81" s="11">
        <v>1040</v>
      </c>
      <c r="S81" s="11">
        <v>1040</v>
      </c>
      <c r="W81" s="11">
        <v>1040</v>
      </c>
      <c r="Y81" s="11">
        <v>1040</v>
      </c>
      <c r="AA81" s="11">
        <v>1040</v>
      </c>
      <c r="AF81" s="11">
        <v>1040</v>
      </c>
      <c r="AG81" s="11">
        <v>1040</v>
      </c>
      <c r="AI81" s="11">
        <v>1040</v>
      </c>
    </row>
    <row r="82" s="11" customFormat="1" spans="1:8">
      <c r="A82" s="11">
        <v>80</v>
      </c>
      <c r="B82" s="35"/>
      <c r="E82" s="34" t="s">
        <v>109</v>
      </c>
      <c r="F82" s="10">
        <f t="shared" si="3"/>
        <v>0</v>
      </c>
      <c r="G82" s="10">
        <f t="shared" si="5"/>
        <v>0</v>
      </c>
      <c r="H82" s="31">
        <v>0</v>
      </c>
    </row>
    <row r="83" s="11" customFormat="1" spans="1:31">
      <c r="A83" s="11">
        <v>81</v>
      </c>
      <c r="B83" s="35"/>
      <c r="D83" s="11" t="s">
        <v>110</v>
      </c>
      <c r="E83" s="34" t="s">
        <v>111</v>
      </c>
      <c r="F83" s="10">
        <f t="shared" ref="F83:F96" si="6">G83/1.04+H83</f>
        <v>4000</v>
      </c>
      <c r="G83" s="10">
        <f t="shared" si="5"/>
        <v>6240</v>
      </c>
      <c r="H83" s="31">
        <v>-2000</v>
      </c>
      <c r="J83" s="11">
        <v>2080</v>
      </c>
      <c r="X83" s="11">
        <v>2080</v>
      </c>
      <c r="AE83" s="11">
        <v>2080</v>
      </c>
    </row>
    <row r="84" s="11" customFormat="1" spans="1:20">
      <c r="A84" s="11">
        <v>82</v>
      </c>
      <c r="B84" s="35"/>
      <c r="E84" s="34" t="s">
        <v>112</v>
      </c>
      <c r="F84" s="10">
        <f t="shared" si="6"/>
        <v>0</v>
      </c>
      <c r="G84" s="10">
        <f t="shared" si="5"/>
        <v>0</v>
      </c>
      <c r="H84" s="31">
        <v>0</v>
      </c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="11" customFormat="1" spans="1:32">
      <c r="A85" s="11">
        <v>83</v>
      </c>
      <c r="B85" s="35"/>
      <c r="D85" s="11" t="s">
        <v>113</v>
      </c>
      <c r="E85" s="34" t="s">
        <v>114</v>
      </c>
      <c r="F85" s="10">
        <f t="shared" si="6"/>
        <v>30000</v>
      </c>
      <c r="G85" s="10">
        <f>SUM(J85:AM85)</f>
        <v>31200</v>
      </c>
      <c r="H85" s="31">
        <v>0</v>
      </c>
      <c r="J85" s="11">
        <v>5200</v>
      </c>
      <c r="M85" s="11">
        <v>5200</v>
      </c>
      <c r="Q85" s="11">
        <v>5200</v>
      </c>
      <c r="V85" s="11">
        <v>5200</v>
      </c>
      <c r="AA85" s="11">
        <v>5200</v>
      </c>
      <c r="AF85" s="11">
        <v>5200</v>
      </c>
    </row>
    <row r="86" s="11" customFormat="1" spans="1:35">
      <c r="A86" s="11">
        <v>84</v>
      </c>
      <c r="D86" s="11" t="s">
        <v>113</v>
      </c>
      <c r="E86" s="17" t="s">
        <v>115</v>
      </c>
      <c r="F86" s="10">
        <f t="shared" si="6"/>
        <v>10000</v>
      </c>
      <c r="G86" s="10">
        <f t="shared" ref="G86:G96" si="7">SUM(I86:AM86)</f>
        <v>10400</v>
      </c>
      <c r="H86" s="31">
        <v>0</v>
      </c>
      <c r="P86" s="11">
        <v>5200</v>
      </c>
      <c r="AI86" s="11">
        <v>5200</v>
      </c>
    </row>
    <row r="87" s="11" customFormat="1" spans="1:31">
      <c r="A87" s="11">
        <v>85</v>
      </c>
      <c r="B87" s="35"/>
      <c r="C87" s="11">
        <v>683879115</v>
      </c>
      <c r="D87" s="11" t="s">
        <v>113</v>
      </c>
      <c r="E87" s="34" t="s">
        <v>116</v>
      </c>
      <c r="F87" s="10">
        <f t="shared" si="6"/>
        <v>8000</v>
      </c>
      <c r="G87" s="10">
        <f t="shared" si="7"/>
        <v>8320</v>
      </c>
      <c r="H87" s="31">
        <v>0</v>
      </c>
      <c r="I87" s="38">
        <v>2080</v>
      </c>
      <c r="N87" s="38">
        <v>2080</v>
      </c>
      <c r="AA87" s="39">
        <v>2080</v>
      </c>
      <c r="AE87" s="39">
        <v>2080</v>
      </c>
    </row>
    <row r="88" s="11" customFormat="1" spans="1:34">
      <c r="A88" s="11">
        <v>86</v>
      </c>
      <c r="B88" s="35"/>
      <c r="D88" s="11" t="s">
        <v>117</v>
      </c>
      <c r="E88" s="34" t="s">
        <v>118</v>
      </c>
      <c r="F88" s="10">
        <f t="shared" si="6"/>
        <v>6000</v>
      </c>
      <c r="G88" s="10">
        <f t="shared" si="7"/>
        <v>6240</v>
      </c>
      <c r="H88" s="31">
        <v>0</v>
      </c>
      <c r="I88" s="37"/>
      <c r="J88" s="37"/>
      <c r="K88" s="37"/>
      <c r="L88" s="37"/>
      <c r="M88" s="37"/>
      <c r="N88" s="37"/>
      <c r="O88" s="35"/>
      <c r="P88" s="37"/>
      <c r="Q88" s="37"/>
      <c r="R88" s="37"/>
      <c r="S88" s="37">
        <v>2080</v>
      </c>
      <c r="T88" s="37"/>
      <c r="U88" s="37"/>
      <c r="V88" s="37"/>
      <c r="W88" s="35"/>
      <c r="X88" s="37">
        <v>2080</v>
      </c>
      <c r="Y88" s="37"/>
      <c r="Z88" s="37"/>
      <c r="AH88" s="11">
        <v>2080</v>
      </c>
    </row>
    <row r="89" s="11" customFormat="1" spans="1:8">
      <c r="A89" s="11">
        <v>87</v>
      </c>
      <c r="B89" s="35"/>
      <c r="E89" s="34" t="s">
        <v>119</v>
      </c>
      <c r="F89" s="10">
        <f t="shared" si="6"/>
        <v>0</v>
      </c>
      <c r="G89" s="10">
        <f t="shared" si="7"/>
        <v>0</v>
      </c>
      <c r="H89" s="31">
        <v>0</v>
      </c>
    </row>
    <row r="90" s="11" customFormat="1" spans="1:19">
      <c r="A90" s="11">
        <v>88</v>
      </c>
      <c r="B90" s="35"/>
      <c r="E90" s="34" t="s">
        <v>120</v>
      </c>
      <c r="F90" s="10">
        <f t="shared" si="6"/>
        <v>1000</v>
      </c>
      <c r="G90" s="10">
        <f t="shared" si="7"/>
        <v>1040</v>
      </c>
      <c r="H90" s="31">
        <v>0</v>
      </c>
      <c r="I90" s="37"/>
      <c r="J90" s="37"/>
      <c r="K90" s="37"/>
      <c r="L90" s="37"/>
      <c r="M90" s="37"/>
      <c r="N90" s="37"/>
      <c r="O90" s="37"/>
      <c r="P90" s="37"/>
      <c r="Q90" s="37"/>
      <c r="R90" s="41">
        <v>1040</v>
      </c>
      <c r="S90" s="37"/>
    </row>
    <row r="91" s="11" customFormat="1" spans="1:24">
      <c r="A91" s="11">
        <v>89</v>
      </c>
      <c r="B91" s="35"/>
      <c r="E91" s="34" t="s">
        <v>121</v>
      </c>
      <c r="F91" s="10">
        <f t="shared" si="6"/>
        <v>0</v>
      </c>
      <c r="G91" s="10">
        <f t="shared" si="7"/>
        <v>0</v>
      </c>
      <c r="H91" s="31">
        <v>0</v>
      </c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="11" customFormat="1" spans="1:8">
      <c r="A92" s="11">
        <v>90</v>
      </c>
      <c r="E92" s="17" t="s">
        <v>122</v>
      </c>
      <c r="F92" s="10">
        <f t="shared" si="6"/>
        <v>1000</v>
      </c>
      <c r="G92" s="10">
        <f t="shared" si="7"/>
        <v>0</v>
      </c>
      <c r="H92" s="31">
        <v>1000</v>
      </c>
    </row>
    <row r="93" s="11" customFormat="1" spans="1:8">
      <c r="A93" s="11">
        <v>91</v>
      </c>
      <c r="E93" s="17" t="s">
        <v>123</v>
      </c>
      <c r="F93" s="10">
        <f t="shared" si="6"/>
        <v>0</v>
      </c>
      <c r="G93" s="10">
        <f t="shared" si="7"/>
        <v>0</v>
      </c>
      <c r="H93" s="31">
        <v>0</v>
      </c>
    </row>
    <row r="94" s="11" customFormat="1" spans="1:30">
      <c r="A94" s="11">
        <v>92</v>
      </c>
      <c r="D94" s="11" t="s">
        <v>124</v>
      </c>
      <c r="E94" s="17" t="s">
        <v>125</v>
      </c>
      <c r="F94" s="10">
        <f t="shared" si="6"/>
        <v>2000</v>
      </c>
      <c r="G94" s="10">
        <f t="shared" si="7"/>
        <v>2080</v>
      </c>
      <c r="H94" s="31">
        <v>0</v>
      </c>
      <c r="N94" s="11">
        <v>1040</v>
      </c>
      <c r="AD94" s="11">
        <v>1040</v>
      </c>
    </row>
    <row r="95" s="11" customFormat="1" spans="1:8">
      <c r="A95" s="11">
        <v>93</v>
      </c>
      <c r="E95" s="17" t="s">
        <v>126</v>
      </c>
      <c r="F95" s="10">
        <f t="shared" si="6"/>
        <v>0</v>
      </c>
      <c r="G95" s="10">
        <f t="shared" si="7"/>
        <v>0</v>
      </c>
      <c r="H95" s="31">
        <v>0</v>
      </c>
    </row>
    <row r="96" s="11" customFormat="1" spans="1:8">
      <c r="A96" s="11">
        <v>94</v>
      </c>
      <c r="E96" s="17" t="s">
        <v>127</v>
      </c>
      <c r="F96" s="10">
        <f t="shared" si="6"/>
        <v>0</v>
      </c>
      <c r="G96" s="10">
        <f t="shared" si="7"/>
        <v>0</v>
      </c>
      <c r="H96" s="31">
        <v>0</v>
      </c>
    </row>
    <row r="97" s="11" customFormat="1" spans="8:8">
      <c r="H97" s="26"/>
    </row>
    <row r="98" s="11" customFormat="1" spans="8:8">
      <c r="H98" s="26"/>
    </row>
    <row r="99" s="11" customFormat="1" spans="8:8">
      <c r="H99" s="26"/>
    </row>
    <row r="100" s="11" customFormat="1" spans="8:8">
      <c r="H100" s="26"/>
    </row>
    <row r="101" s="11" customFormat="1" spans="8:8">
      <c r="H101" s="26"/>
    </row>
    <row r="102" s="11" customFormat="1" spans="8:8">
      <c r="H102" s="26"/>
    </row>
    <row r="103" s="11" customFormat="1" spans="8:8">
      <c r="H103" s="26"/>
    </row>
    <row r="104" s="11" customFormat="1" spans="8:8">
      <c r="H104" s="26"/>
    </row>
    <row r="105" s="11" customFormat="1" spans="8:8">
      <c r="H105" s="26"/>
    </row>
    <row r="106" s="11" customFormat="1" spans="8:8">
      <c r="H106" s="26"/>
    </row>
    <row r="107" s="11" customFormat="1" spans="8:8">
      <c r="H107" s="26"/>
    </row>
    <row r="108" s="11" customFormat="1" spans="8:8">
      <c r="H108" s="26"/>
    </row>
    <row r="109" s="11" customFormat="1" spans="8:8">
      <c r="H109" s="26"/>
    </row>
    <row r="110" s="11" customFormat="1" spans="8:8">
      <c r="H110" s="26"/>
    </row>
    <row r="111" s="11" customFormat="1" spans="8:8">
      <c r="H111" s="26"/>
    </row>
    <row r="112" s="11" customFormat="1" spans="8:8">
      <c r="H112" s="26"/>
    </row>
    <row r="113" s="11" customFormat="1" spans="8:8">
      <c r="H113" s="26"/>
    </row>
    <row r="114" s="11" customFormat="1" spans="8:8">
      <c r="H114" s="26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96"/>
  <sheetViews>
    <sheetView tabSelected="1" topLeftCell="C1" workbookViewId="0">
      <pane xSplit="6" ySplit="2" topLeftCell="AD22" activePane="bottomRight" state="frozen"/>
      <selection/>
      <selection pane="topRight"/>
      <selection pane="bottomLeft"/>
      <selection pane="bottomRight" activeCell="AF42" sqref="AF42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9" width="7.14285714285714" style="11" customWidth="1"/>
    <col min="40" max="16384" width="9.14285714285714" style="11"/>
  </cols>
  <sheetData>
    <row r="1" s="10" customFormat="1" spans="1:39">
      <c r="A1" s="12" t="s">
        <v>0</v>
      </c>
      <c r="B1" s="12" t="s">
        <v>1</v>
      </c>
      <c r="C1" s="12" t="s">
        <v>0</v>
      </c>
      <c r="D1" s="12" t="s">
        <v>1</v>
      </c>
      <c r="E1" s="12" t="s">
        <v>128</v>
      </c>
      <c r="F1" s="12" t="s">
        <v>3</v>
      </c>
      <c r="G1" s="12" t="s">
        <v>4</v>
      </c>
      <c r="H1" s="12" t="s">
        <v>129</v>
      </c>
      <c r="I1" s="18">
        <v>44228</v>
      </c>
      <c r="J1" s="18">
        <v>44229</v>
      </c>
      <c r="K1" s="18">
        <v>44230</v>
      </c>
      <c r="L1" s="18">
        <v>44231</v>
      </c>
      <c r="M1" s="18">
        <v>44232</v>
      </c>
      <c r="N1" s="18">
        <v>44233</v>
      </c>
      <c r="O1" s="18">
        <v>44234</v>
      </c>
      <c r="P1" s="18">
        <v>44235</v>
      </c>
      <c r="Q1" s="18">
        <v>44236</v>
      </c>
      <c r="R1" s="18">
        <v>44237</v>
      </c>
      <c r="S1" s="18">
        <v>44238</v>
      </c>
      <c r="T1" s="18">
        <v>44239</v>
      </c>
      <c r="U1" s="18">
        <v>44240</v>
      </c>
      <c r="V1" s="18">
        <v>44241</v>
      </c>
      <c r="W1" s="18">
        <v>44242</v>
      </c>
      <c r="X1" s="18">
        <v>44243</v>
      </c>
      <c r="Y1" s="18">
        <v>44244</v>
      </c>
      <c r="Z1" s="18">
        <v>44245</v>
      </c>
      <c r="AA1" s="18">
        <v>44246</v>
      </c>
      <c r="AB1" s="18">
        <v>44247</v>
      </c>
      <c r="AC1" s="18">
        <v>44248</v>
      </c>
      <c r="AD1" s="18">
        <v>44249</v>
      </c>
      <c r="AE1" s="18">
        <v>44250</v>
      </c>
      <c r="AF1" s="18">
        <v>44251</v>
      </c>
      <c r="AG1" s="18">
        <v>44252</v>
      </c>
      <c r="AH1" s="18">
        <v>44253</v>
      </c>
      <c r="AI1" s="18">
        <v>44254</v>
      </c>
      <c r="AJ1" s="18">
        <v>44255</v>
      </c>
      <c r="AK1" s="24"/>
      <c r="AL1" s="24"/>
      <c r="AM1" s="24"/>
    </row>
    <row r="2" s="10" customFormat="1" spans="1:36">
      <c r="A2" s="13"/>
      <c r="B2" s="13"/>
      <c r="C2" s="13"/>
      <c r="D2" s="13"/>
      <c r="E2" s="13"/>
      <c r="F2" s="14">
        <f>SUM(H3:H121)</f>
        <v>1208800</v>
      </c>
      <c r="G2" s="15" t="s">
        <v>8</v>
      </c>
      <c r="H2" s="16">
        <f t="shared" ref="H2:H65" si="0">SUM(I2:AM2)</f>
        <v>1208800</v>
      </c>
      <c r="I2" s="10">
        <f t="shared" ref="I2:AB2" si="1">SUM(I3:I121)</f>
        <v>58700</v>
      </c>
      <c r="J2" s="10">
        <f t="shared" si="1"/>
        <v>37820</v>
      </c>
      <c r="K2" s="10">
        <f t="shared" si="1"/>
        <v>37300</v>
      </c>
      <c r="L2" s="10">
        <f t="shared" si="1"/>
        <v>58980</v>
      </c>
      <c r="M2" s="10">
        <f t="shared" si="1"/>
        <v>26900</v>
      </c>
      <c r="N2" s="10">
        <f t="shared" si="1"/>
        <v>40000</v>
      </c>
      <c r="O2" s="10">
        <f t="shared" si="1"/>
        <v>0</v>
      </c>
      <c r="P2" s="10">
        <f t="shared" si="1"/>
        <v>97100</v>
      </c>
      <c r="Q2" s="10">
        <f t="shared" si="1"/>
        <v>9000</v>
      </c>
      <c r="R2" s="10">
        <f t="shared" si="1"/>
        <v>66500</v>
      </c>
      <c r="S2" s="10">
        <f t="shared" si="1"/>
        <v>75500</v>
      </c>
      <c r="T2" s="10">
        <f t="shared" si="1"/>
        <v>20000</v>
      </c>
      <c r="U2" s="10">
        <f t="shared" si="1"/>
        <v>68300</v>
      </c>
      <c r="V2" s="10">
        <f t="shared" si="1"/>
        <v>3000</v>
      </c>
      <c r="W2" s="10">
        <f t="shared" si="1"/>
        <v>46500</v>
      </c>
      <c r="X2" s="10">
        <f t="shared" si="1"/>
        <v>7000</v>
      </c>
      <c r="Y2" s="10">
        <f t="shared" si="1"/>
        <v>114600</v>
      </c>
      <c r="Z2" s="10">
        <f t="shared" si="1"/>
        <v>36500</v>
      </c>
      <c r="AA2" s="10">
        <f t="shared" si="1"/>
        <v>12000</v>
      </c>
      <c r="AB2" s="22">
        <f t="shared" si="1"/>
        <v>57000</v>
      </c>
      <c r="AC2" s="10">
        <f t="shared" ref="AC2:AJ2" si="2">SUM(AC3:AC121)</f>
        <v>8000</v>
      </c>
      <c r="AD2" s="10">
        <f t="shared" si="2"/>
        <v>79000</v>
      </c>
      <c r="AE2" s="10">
        <f t="shared" si="2"/>
        <v>77700</v>
      </c>
      <c r="AF2" s="10">
        <f t="shared" si="2"/>
        <v>28500</v>
      </c>
      <c r="AG2" s="10">
        <f t="shared" si="2"/>
        <v>30500</v>
      </c>
      <c r="AH2" s="10">
        <f t="shared" si="2"/>
        <v>64500</v>
      </c>
      <c r="AI2" s="10">
        <f t="shared" si="2"/>
        <v>23900</v>
      </c>
      <c r="AJ2" s="10">
        <f t="shared" si="2"/>
        <v>24000</v>
      </c>
    </row>
    <row r="3" s="11" customFormat="1" spans="1:33">
      <c r="A3" s="11">
        <v>1</v>
      </c>
      <c r="B3" s="11" t="s">
        <v>130</v>
      </c>
      <c r="C3" s="11">
        <v>1</v>
      </c>
      <c r="D3" s="11" t="s">
        <v>130</v>
      </c>
      <c r="E3" s="11">
        <v>9334066332</v>
      </c>
      <c r="F3" s="11" t="s">
        <v>9</v>
      </c>
      <c r="G3" s="17" t="s">
        <v>10</v>
      </c>
      <c r="H3" s="10">
        <f t="shared" si="0"/>
        <v>12000</v>
      </c>
      <c r="I3" s="19">
        <v>3000</v>
      </c>
      <c r="R3" s="19">
        <v>3000</v>
      </c>
      <c r="Y3" s="20">
        <v>3000</v>
      </c>
      <c r="AB3" s="1"/>
      <c r="AG3" s="20">
        <v>3000</v>
      </c>
    </row>
    <row r="4" s="11" customFormat="1" spans="1:31">
      <c r="A4" s="11">
        <v>2</v>
      </c>
      <c r="B4" s="11" t="s">
        <v>131</v>
      </c>
      <c r="C4" s="11">
        <v>2</v>
      </c>
      <c r="D4" s="11" t="s">
        <v>131</v>
      </c>
      <c r="E4" s="11" t="s">
        <v>132</v>
      </c>
      <c r="F4" s="11" t="s">
        <v>9</v>
      </c>
      <c r="G4" s="17" t="s">
        <v>11</v>
      </c>
      <c r="H4" s="10">
        <f t="shared" si="0"/>
        <v>8000</v>
      </c>
      <c r="I4" s="19">
        <v>2000</v>
      </c>
      <c r="W4" s="20">
        <v>4000</v>
      </c>
      <c r="AB4" s="1"/>
      <c r="AE4" s="20">
        <v>2000</v>
      </c>
    </row>
    <row r="5" s="11" customFormat="1" spans="1:28">
      <c r="A5" s="11">
        <v>3</v>
      </c>
      <c r="C5" s="11">
        <v>3</v>
      </c>
      <c r="E5" s="11">
        <v>8340365412</v>
      </c>
      <c r="F5" s="11" t="s">
        <v>9</v>
      </c>
      <c r="G5" s="17" t="s">
        <v>13</v>
      </c>
      <c r="H5" s="10">
        <f t="shared" si="0"/>
        <v>11000</v>
      </c>
      <c r="I5" s="11">
        <v>2500</v>
      </c>
      <c r="K5" s="11">
        <v>2000</v>
      </c>
      <c r="M5" s="11">
        <v>2000</v>
      </c>
      <c r="P5" s="11">
        <v>1000</v>
      </c>
      <c r="R5" s="11">
        <v>2000</v>
      </c>
      <c r="W5" s="11">
        <v>1500</v>
      </c>
      <c r="AB5" s="1"/>
    </row>
    <row r="6" s="11" customFormat="1" spans="1:32">
      <c r="A6" s="11">
        <v>4</v>
      </c>
      <c r="B6" s="11" t="s">
        <v>133</v>
      </c>
      <c r="C6" s="11">
        <v>4</v>
      </c>
      <c r="D6" s="11" t="s">
        <v>133</v>
      </c>
      <c r="E6" s="11">
        <v>9102317719</v>
      </c>
      <c r="F6" s="11" t="s">
        <v>9</v>
      </c>
      <c r="G6" s="17" t="s">
        <v>15</v>
      </c>
      <c r="H6" s="10">
        <f t="shared" si="0"/>
        <v>20000</v>
      </c>
      <c r="I6" s="19">
        <v>3000</v>
      </c>
      <c r="K6" s="19">
        <v>2000</v>
      </c>
      <c r="P6" s="19">
        <v>3000</v>
      </c>
      <c r="R6" s="19">
        <v>2000</v>
      </c>
      <c r="U6" s="19">
        <v>3000</v>
      </c>
      <c r="W6" s="20">
        <v>2000</v>
      </c>
      <c r="AB6" s="23">
        <v>2000</v>
      </c>
      <c r="AF6" s="20">
        <v>3000</v>
      </c>
    </row>
    <row r="7" s="11" customFormat="1" spans="1:34">
      <c r="A7" s="11">
        <v>5</v>
      </c>
      <c r="B7" s="11" t="s">
        <v>134</v>
      </c>
      <c r="C7" s="11">
        <v>5</v>
      </c>
      <c r="D7" s="11" t="s">
        <v>134</v>
      </c>
      <c r="E7" s="11">
        <v>8210924561</v>
      </c>
      <c r="F7" s="11" t="s">
        <v>9</v>
      </c>
      <c r="G7" s="17" t="s">
        <v>17</v>
      </c>
      <c r="H7" s="10">
        <f t="shared" si="0"/>
        <v>55000</v>
      </c>
      <c r="J7" s="19">
        <v>620</v>
      </c>
      <c r="L7" s="19">
        <v>7380</v>
      </c>
      <c r="P7" s="19">
        <v>8000</v>
      </c>
      <c r="T7" s="19">
        <v>7000</v>
      </c>
      <c r="U7" s="19">
        <v>4000</v>
      </c>
      <c r="Y7" s="20">
        <v>8000</v>
      </c>
      <c r="AB7" s="1"/>
      <c r="AD7" s="20">
        <v>10000</v>
      </c>
      <c r="AH7" s="11">
        <v>10000</v>
      </c>
    </row>
    <row r="8" s="11" customFormat="1" spans="1:30">
      <c r="A8" s="11">
        <v>6</v>
      </c>
      <c r="C8" s="11">
        <v>6</v>
      </c>
      <c r="E8" s="11">
        <v>9110978139</v>
      </c>
      <c r="F8" s="11" t="s">
        <v>9</v>
      </c>
      <c r="G8" s="17" t="s">
        <v>19</v>
      </c>
      <c r="H8" s="10">
        <f t="shared" si="0"/>
        <v>6000</v>
      </c>
      <c r="K8" s="11">
        <v>2000</v>
      </c>
      <c r="Z8" s="11">
        <v>2000</v>
      </c>
      <c r="AB8" s="1"/>
      <c r="AD8" s="11">
        <v>2000</v>
      </c>
    </row>
    <row r="9" s="11" customFormat="1" spans="1:33">
      <c r="A9" s="11">
        <v>7</v>
      </c>
      <c r="C9" s="11">
        <v>7</v>
      </c>
      <c r="E9" s="11">
        <v>8340201321</v>
      </c>
      <c r="F9" s="11" t="s">
        <v>9</v>
      </c>
      <c r="G9" s="17" t="s">
        <v>20</v>
      </c>
      <c r="H9" s="10">
        <f t="shared" si="0"/>
        <v>8000</v>
      </c>
      <c r="I9" s="11">
        <v>2000</v>
      </c>
      <c r="R9" s="11">
        <v>2000</v>
      </c>
      <c r="Z9" s="11">
        <v>2000</v>
      </c>
      <c r="AB9" s="1"/>
      <c r="AG9" s="11">
        <v>2000</v>
      </c>
    </row>
    <row r="10" s="11" customFormat="1" spans="1:34">
      <c r="A10" s="11">
        <v>8</v>
      </c>
      <c r="C10" s="11">
        <v>8</v>
      </c>
      <c r="E10" s="11">
        <v>7004365158</v>
      </c>
      <c r="F10" s="11" t="s">
        <v>9</v>
      </c>
      <c r="G10" s="17" t="s">
        <v>22</v>
      </c>
      <c r="H10" s="10">
        <f t="shared" si="0"/>
        <v>35000</v>
      </c>
      <c r="I10" s="11">
        <v>5000</v>
      </c>
      <c r="M10" s="11">
        <v>5000</v>
      </c>
      <c r="R10" s="11">
        <v>2500</v>
      </c>
      <c r="U10" s="11">
        <v>2500</v>
      </c>
      <c r="Y10" s="11">
        <v>7000</v>
      </c>
      <c r="AB10" s="1">
        <v>3000</v>
      </c>
      <c r="AD10" s="11">
        <v>5000</v>
      </c>
      <c r="AH10" s="11">
        <v>5000</v>
      </c>
    </row>
    <row r="11" s="11" customFormat="1" spans="1:33">
      <c r="A11" s="11">
        <v>9</v>
      </c>
      <c r="B11" s="11" t="s">
        <v>135</v>
      </c>
      <c r="C11" s="11">
        <v>9</v>
      </c>
      <c r="D11" s="11" t="s">
        <v>135</v>
      </c>
      <c r="E11" s="11">
        <v>9973022718</v>
      </c>
      <c r="F11" s="11" t="s">
        <v>23</v>
      </c>
      <c r="G11" s="17" t="s">
        <v>24</v>
      </c>
      <c r="H11" s="10">
        <f t="shared" si="0"/>
        <v>10000</v>
      </c>
      <c r="W11" s="20">
        <v>6000</v>
      </c>
      <c r="AB11" s="1"/>
      <c r="AG11" s="20">
        <v>4000</v>
      </c>
    </row>
    <row r="12" s="11" customFormat="1" spans="1:34">
      <c r="A12" s="11">
        <v>10</v>
      </c>
      <c r="C12" s="11">
        <v>10</v>
      </c>
      <c r="E12" s="11">
        <v>7004923653</v>
      </c>
      <c r="F12" s="11" t="s">
        <v>23</v>
      </c>
      <c r="G12" s="17" t="s">
        <v>25</v>
      </c>
      <c r="H12" s="10">
        <f t="shared" si="0"/>
        <v>9000</v>
      </c>
      <c r="J12" s="11">
        <v>1500</v>
      </c>
      <c r="K12" s="11">
        <v>500</v>
      </c>
      <c r="M12" s="11">
        <v>1000</v>
      </c>
      <c r="R12" s="11">
        <v>1000</v>
      </c>
      <c r="W12" s="11">
        <v>1000</v>
      </c>
      <c r="AB12" s="1"/>
      <c r="AD12" s="11">
        <v>2000</v>
      </c>
      <c r="AE12" s="11">
        <v>1000</v>
      </c>
      <c r="AH12" s="11">
        <v>1000</v>
      </c>
    </row>
    <row r="13" s="11" customFormat="1" spans="1:34">
      <c r="A13" s="11">
        <v>11</v>
      </c>
      <c r="C13" s="11">
        <v>11</v>
      </c>
      <c r="E13" s="11">
        <v>8340182577</v>
      </c>
      <c r="F13" s="11" t="s">
        <v>23</v>
      </c>
      <c r="G13" s="17" t="s">
        <v>26</v>
      </c>
      <c r="H13" s="10">
        <f t="shared" si="0"/>
        <v>30000</v>
      </c>
      <c r="L13" s="11">
        <v>5000</v>
      </c>
      <c r="P13" s="11">
        <v>5000</v>
      </c>
      <c r="U13" s="11">
        <v>5000</v>
      </c>
      <c r="Z13" s="20">
        <v>5000</v>
      </c>
      <c r="AB13" s="1"/>
      <c r="AD13" s="20">
        <v>5000</v>
      </c>
      <c r="AH13" s="11">
        <v>5000</v>
      </c>
    </row>
    <row r="14" s="11" customFormat="1" spans="1:34">
      <c r="A14" s="11">
        <v>12</v>
      </c>
      <c r="B14" s="11" t="s">
        <v>136</v>
      </c>
      <c r="C14" s="11">
        <v>12</v>
      </c>
      <c r="D14" s="11" t="s">
        <v>136</v>
      </c>
      <c r="E14" s="11">
        <v>7004740439</v>
      </c>
      <c r="F14" s="11" t="s">
        <v>23</v>
      </c>
      <c r="G14" s="17" t="s">
        <v>27</v>
      </c>
      <c r="H14" s="10">
        <f t="shared" si="0"/>
        <v>50500</v>
      </c>
      <c r="I14" s="11">
        <v>4500</v>
      </c>
      <c r="J14" s="11">
        <v>2000</v>
      </c>
      <c r="K14" s="11">
        <v>2000</v>
      </c>
      <c r="L14" s="11">
        <v>2000</v>
      </c>
      <c r="M14" s="11">
        <v>2000</v>
      </c>
      <c r="P14" s="11">
        <v>4000</v>
      </c>
      <c r="R14" s="11">
        <v>3500</v>
      </c>
      <c r="S14" s="11">
        <v>1500</v>
      </c>
      <c r="U14" s="11">
        <v>4000</v>
      </c>
      <c r="W14" s="11">
        <v>4000</v>
      </c>
      <c r="Y14" s="11">
        <v>4000</v>
      </c>
      <c r="Z14" s="11">
        <v>3000</v>
      </c>
      <c r="AB14" s="1">
        <v>3000</v>
      </c>
      <c r="AD14" s="11">
        <v>2000</v>
      </c>
      <c r="AE14" s="11">
        <v>2000</v>
      </c>
      <c r="AF14" s="11">
        <v>2000</v>
      </c>
      <c r="AG14" s="11">
        <v>2000</v>
      </c>
      <c r="AH14" s="11">
        <v>3000</v>
      </c>
    </row>
    <row r="15" s="11" customFormat="1" spans="1:34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7" t="s">
        <v>29</v>
      </c>
      <c r="H15" s="10">
        <f t="shared" si="0"/>
        <v>12000</v>
      </c>
      <c r="I15" s="11">
        <v>2000</v>
      </c>
      <c r="P15" s="11">
        <v>2000</v>
      </c>
      <c r="R15" s="11">
        <v>2000</v>
      </c>
      <c r="Y15" s="20">
        <v>2000</v>
      </c>
      <c r="AB15" s="1"/>
      <c r="AE15" s="11">
        <v>2000</v>
      </c>
      <c r="AH15" s="11">
        <v>2000</v>
      </c>
    </row>
    <row r="16" s="11" customFormat="1" spans="1:32">
      <c r="A16" s="11">
        <v>14</v>
      </c>
      <c r="B16" s="11" t="s">
        <v>137</v>
      </c>
      <c r="C16" s="11">
        <v>14</v>
      </c>
      <c r="D16" s="11" t="s">
        <v>137</v>
      </c>
      <c r="E16" s="11">
        <v>7321004323</v>
      </c>
      <c r="F16" s="11" t="s">
        <v>23</v>
      </c>
      <c r="G16" s="17" t="s">
        <v>30</v>
      </c>
      <c r="H16" s="10">
        <f t="shared" si="0"/>
        <v>4200</v>
      </c>
      <c r="I16" s="19">
        <v>1200</v>
      </c>
      <c r="K16" s="11">
        <v>1000</v>
      </c>
      <c r="W16" s="20">
        <v>1000</v>
      </c>
      <c r="AB16" s="1"/>
      <c r="AF16" s="20">
        <v>1000</v>
      </c>
    </row>
    <row r="17" s="11" customFormat="1" spans="1:28">
      <c r="A17" s="11">
        <v>15</v>
      </c>
      <c r="C17" s="11">
        <v>15</v>
      </c>
      <c r="F17" s="11" t="s">
        <v>23</v>
      </c>
      <c r="G17" s="17" t="s">
        <v>32</v>
      </c>
      <c r="H17" s="10">
        <f t="shared" si="0"/>
        <v>0</v>
      </c>
      <c r="AB17" s="1"/>
    </row>
    <row r="18" s="11" customFormat="1" spans="1:28">
      <c r="A18" s="11">
        <v>16</v>
      </c>
      <c r="C18" s="11">
        <v>16</v>
      </c>
      <c r="F18" s="11" t="s">
        <v>23</v>
      </c>
      <c r="G18" s="17" t="s">
        <v>34</v>
      </c>
      <c r="H18" s="10">
        <f t="shared" si="0"/>
        <v>2000</v>
      </c>
      <c r="T18" s="11">
        <v>1000</v>
      </c>
      <c r="Z18" s="11">
        <v>1000</v>
      </c>
      <c r="AB18" s="1"/>
    </row>
    <row r="19" s="11" customFormat="1" spans="1:34">
      <c r="A19" s="11">
        <v>17</v>
      </c>
      <c r="B19" s="11" t="s">
        <v>138</v>
      </c>
      <c r="C19" s="11">
        <v>17</v>
      </c>
      <c r="D19" s="11" t="s">
        <v>138</v>
      </c>
      <c r="E19" s="11">
        <v>9608475282</v>
      </c>
      <c r="F19" s="11" t="s">
        <v>23</v>
      </c>
      <c r="G19" s="17" t="s">
        <v>35</v>
      </c>
      <c r="H19" s="10">
        <f t="shared" si="0"/>
        <v>12500</v>
      </c>
      <c r="J19" s="11">
        <v>1000</v>
      </c>
      <c r="P19" s="11">
        <v>1000</v>
      </c>
      <c r="R19" s="11">
        <v>2000</v>
      </c>
      <c r="W19" s="11">
        <v>2000</v>
      </c>
      <c r="Y19" s="11">
        <v>2000</v>
      </c>
      <c r="AB19" s="1"/>
      <c r="AF19" s="11">
        <v>3000</v>
      </c>
      <c r="AH19" s="11">
        <v>1500</v>
      </c>
    </row>
    <row r="20" s="11" customFormat="1" spans="1:32">
      <c r="A20" s="11">
        <v>18</v>
      </c>
      <c r="B20" s="11" t="s">
        <v>139</v>
      </c>
      <c r="C20" s="11">
        <v>18</v>
      </c>
      <c r="D20" s="11" t="s">
        <v>139</v>
      </c>
      <c r="E20" s="11">
        <v>9661555592</v>
      </c>
      <c r="F20" s="11" t="s">
        <v>36</v>
      </c>
      <c r="G20" s="17" t="s">
        <v>37</v>
      </c>
      <c r="H20" s="10">
        <f t="shared" si="0"/>
        <v>25000</v>
      </c>
      <c r="L20" s="19">
        <v>5000</v>
      </c>
      <c r="N20" s="19">
        <v>5000</v>
      </c>
      <c r="S20" s="11">
        <v>5000</v>
      </c>
      <c r="Y20" s="11">
        <v>5000</v>
      </c>
      <c r="AB20" s="1"/>
      <c r="AF20" s="20">
        <v>5000</v>
      </c>
    </row>
    <row r="21" s="11" customFormat="1" spans="1:33">
      <c r="A21" s="11">
        <v>19</v>
      </c>
      <c r="B21" s="11" t="s">
        <v>140</v>
      </c>
      <c r="C21" s="11">
        <v>19</v>
      </c>
      <c r="D21" s="11" t="s">
        <v>140</v>
      </c>
      <c r="E21" s="11">
        <v>8340523512</v>
      </c>
      <c r="F21" s="11" t="s">
        <v>36</v>
      </c>
      <c r="G21" s="17" t="s">
        <v>38</v>
      </c>
      <c r="H21" s="10">
        <f t="shared" si="0"/>
        <v>10000</v>
      </c>
      <c r="M21" s="11">
        <v>2000</v>
      </c>
      <c r="S21" s="19">
        <v>4000</v>
      </c>
      <c r="Y21" s="11">
        <v>2000</v>
      </c>
      <c r="AB21" s="1"/>
      <c r="AG21" s="20">
        <v>2000</v>
      </c>
    </row>
    <row r="22" s="11" customFormat="1" spans="1:30">
      <c r="A22" s="11">
        <v>20</v>
      </c>
      <c r="C22" s="11">
        <v>20</v>
      </c>
      <c r="E22" s="11">
        <v>8825310472</v>
      </c>
      <c r="F22" s="11" t="s">
        <v>36</v>
      </c>
      <c r="G22" s="17" t="s">
        <v>39</v>
      </c>
      <c r="H22" s="10">
        <f t="shared" si="0"/>
        <v>5000</v>
      </c>
      <c r="J22" s="11">
        <v>1000</v>
      </c>
      <c r="N22" s="11">
        <v>1000</v>
      </c>
      <c r="Q22" s="11">
        <v>1000</v>
      </c>
      <c r="W22" s="11">
        <v>1000</v>
      </c>
      <c r="AB22" s="1"/>
      <c r="AD22" s="11">
        <v>1000</v>
      </c>
    </row>
    <row r="23" s="11" customFormat="1" spans="1:30">
      <c r="A23" s="11">
        <v>21</v>
      </c>
      <c r="B23" s="11" t="s">
        <v>141</v>
      </c>
      <c r="C23" s="11">
        <v>21</v>
      </c>
      <c r="D23" s="11" t="s">
        <v>141</v>
      </c>
      <c r="E23" s="11">
        <v>7004478123</v>
      </c>
      <c r="F23" s="11" t="s">
        <v>36</v>
      </c>
      <c r="G23" s="17" t="s">
        <v>40</v>
      </c>
      <c r="H23" s="10">
        <f t="shared" si="0"/>
        <v>25000</v>
      </c>
      <c r="Q23" s="19">
        <v>5000</v>
      </c>
      <c r="S23" s="19">
        <v>10000</v>
      </c>
      <c r="AB23" s="1"/>
      <c r="AD23" s="20">
        <v>10000</v>
      </c>
    </row>
    <row r="24" s="11" customFormat="1" spans="1:33">
      <c r="A24" s="11">
        <v>22</v>
      </c>
      <c r="C24" s="11">
        <v>22</v>
      </c>
      <c r="E24" s="11">
        <v>7667895364</v>
      </c>
      <c r="F24" s="11" t="s">
        <v>36</v>
      </c>
      <c r="G24" s="17" t="s">
        <v>41</v>
      </c>
      <c r="H24" s="10">
        <f t="shared" si="0"/>
        <v>9000</v>
      </c>
      <c r="I24" s="11">
        <v>1000</v>
      </c>
      <c r="K24" s="11">
        <v>1000</v>
      </c>
      <c r="P24" s="11">
        <v>1000</v>
      </c>
      <c r="S24" s="11">
        <v>1000</v>
      </c>
      <c r="T24" s="11">
        <v>1000</v>
      </c>
      <c r="Y24" s="11">
        <v>500</v>
      </c>
      <c r="Z24" s="11">
        <v>500</v>
      </c>
      <c r="AB24" s="1">
        <v>1000</v>
      </c>
      <c r="AD24" s="11">
        <v>1000</v>
      </c>
      <c r="AG24" s="11">
        <v>1000</v>
      </c>
    </row>
    <row r="25" s="11" customFormat="1" spans="1:30">
      <c r="A25" s="11">
        <v>23</v>
      </c>
      <c r="B25" s="11" t="s">
        <v>142</v>
      </c>
      <c r="C25" s="11">
        <v>23</v>
      </c>
      <c r="D25" s="11" t="s">
        <v>142</v>
      </c>
      <c r="E25" s="11">
        <v>7006041121</v>
      </c>
      <c r="F25" s="11" t="s">
        <v>36</v>
      </c>
      <c r="G25" s="17" t="s">
        <v>42</v>
      </c>
      <c r="H25" s="10">
        <f t="shared" si="0"/>
        <v>18000</v>
      </c>
      <c r="K25" s="11">
        <v>3000</v>
      </c>
      <c r="M25" s="11">
        <v>3000</v>
      </c>
      <c r="P25" s="11">
        <v>3000</v>
      </c>
      <c r="U25" s="11">
        <v>3000</v>
      </c>
      <c r="Y25" s="11">
        <v>3000</v>
      </c>
      <c r="AB25" s="1"/>
      <c r="AD25" s="11">
        <v>3000</v>
      </c>
    </row>
    <row r="26" s="11" customFormat="1" spans="1:36">
      <c r="A26" s="11">
        <v>24</v>
      </c>
      <c r="B26" s="11" t="s">
        <v>143</v>
      </c>
      <c r="C26" s="11">
        <v>24</v>
      </c>
      <c r="D26" s="11" t="s">
        <v>143</v>
      </c>
      <c r="E26" s="11">
        <v>8709658240</v>
      </c>
      <c r="F26" s="11" t="s">
        <v>36</v>
      </c>
      <c r="G26" s="17" t="s">
        <v>43</v>
      </c>
      <c r="H26" s="10">
        <f t="shared" si="0"/>
        <v>40000</v>
      </c>
      <c r="I26" s="19">
        <v>5000</v>
      </c>
      <c r="L26" s="19">
        <v>5000</v>
      </c>
      <c r="P26" s="19">
        <v>5000</v>
      </c>
      <c r="T26" s="19">
        <v>5000</v>
      </c>
      <c r="X26" s="20">
        <v>5000</v>
      </c>
      <c r="AA26" s="20">
        <v>5000</v>
      </c>
      <c r="AB26" s="1"/>
      <c r="AD26" s="20">
        <v>5000</v>
      </c>
      <c r="AJ26" s="25">
        <v>5000</v>
      </c>
    </row>
    <row r="27" s="11" customFormat="1" spans="1:34">
      <c r="A27" s="11">
        <v>25</v>
      </c>
      <c r="C27" s="11">
        <v>25</v>
      </c>
      <c r="E27" s="11">
        <v>8709612020</v>
      </c>
      <c r="F27" s="11" t="s">
        <v>36</v>
      </c>
      <c r="G27" s="17" t="s">
        <v>44</v>
      </c>
      <c r="H27" s="10">
        <f t="shared" si="0"/>
        <v>15000</v>
      </c>
      <c r="I27" s="11">
        <v>3000</v>
      </c>
      <c r="Y27" s="11">
        <v>2000</v>
      </c>
      <c r="AB27" s="1">
        <v>2500</v>
      </c>
      <c r="AD27" s="20">
        <v>3000</v>
      </c>
      <c r="AE27" s="11">
        <v>1500</v>
      </c>
      <c r="AG27" s="11">
        <v>2000</v>
      </c>
      <c r="AH27" s="11">
        <v>1000</v>
      </c>
    </row>
    <row r="28" s="11" customFormat="1" spans="1:32">
      <c r="A28" s="11">
        <v>26</v>
      </c>
      <c r="C28" s="11">
        <v>26</v>
      </c>
      <c r="E28" s="11">
        <v>9973040600</v>
      </c>
      <c r="F28" s="11" t="s">
        <v>36</v>
      </c>
      <c r="G28" s="17" t="s">
        <v>45</v>
      </c>
      <c r="H28" s="10">
        <f t="shared" si="0"/>
        <v>13500</v>
      </c>
      <c r="K28" s="11">
        <v>1500</v>
      </c>
      <c r="L28" s="11">
        <v>1000</v>
      </c>
      <c r="M28" s="19">
        <v>1000</v>
      </c>
      <c r="N28" s="19">
        <v>1000</v>
      </c>
      <c r="R28" s="11">
        <v>1000</v>
      </c>
      <c r="S28" s="11">
        <v>1000</v>
      </c>
      <c r="T28" s="11">
        <v>1000</v>
      </c>
      <c r="U28" s="11">
        <v>1000</v>
      </c>
      <c r="Y28" s="20">
        <v>1000</v>
      </c>
      <c r="AB28" s="1">
        <v>2000</v>
      </c>
      <c r="AD28" s="11">
        <v>1000</v>
      </c>
      <c r="AF28" s="20">
        <v>1000</v>
      </c>
    </row>
    <row r="29" s="11" customFormat="1" spans="1:31">
      <c r="A29" s="11">
        <v>27</v>
      </c>
      <c r="C29" s="11">
        <v>27</v>
      </c>
      <c r="E29" s="11">
        <v>9973345687</v>
      </c>
      <c r="F29" s="11" t="s">
        <v>36</v>
      </c>
      <c r="G29" s="17" t="s">
        <v>46</v>
      </c>
      <c r="H29" s="10">
        <f t="shared" si="0"/>
        <v>8000</v>
      </c>
      <c r="L29" s="11">
        <v>2000</v>
      </c>
      <c r="T29" s="11">
        <v>2000</v>
      </c>
      <c r="AB29" s="1">
        <v>2000</v>
      </c>
      <c r="AE29" s="11">
        <v>2000</v>
      </c>
    </row>
    <row r="30" s="11" customFormat="1" spans="1:28">
      <c r="A30" s="11">
        <v>28</v>
      </c>
      <c r="C30" s="11">
        <v>28</v>
      </c>
      <c r="E30" s="11">
        <v>9631391206</v>
      </c>
      <c r="F30" s="11" t="s">
        <v>36</v>
      </c>
      <c r="G30" s="17" t="s">
        <v>47</v>
      </c>
      <c r="H30" s="10">
        <f t="shared" si="0"/>
        <v>6000</v>
      </c>
      <c r="I30" s="11">
        <v>1000</v>
      </c>
      <c r="J30" s="11">
        <v>1000</v>
      </c>
      <c r="T30" s="11">
        <v>2000</v>
      </c>
      <c r="Y30" s="11">
        <v>2000</v>
      </c>
      <c r="AB30" s="1"/>
    </row>
    <row r="31" s="11" customFormat="1" spans="1:32">
      <c r="A31" s="11">
        <v>29</v>
      </c>
      <c r="B31" s="11" t="s">
        <v>144</v>
      </c>
      <c r="C31" s="11">
        <v>29</v>
      </c>
      <c r="D31" s="11" t="s">
        <v>144</v>
      </c>
      <c r="F31" s="11" t="s">
        <v>36</v>
      </c>
      <c r="G31" s="17" t="s">
        <v>48</v>
      </c>
      <c r="H31" s="10">
        <f t="shared" si="0"/>
        <v>21000</v>
      </c>
      <c r="J31" s="11">
        <v>5500</v>
      </c>
      <c r="P31" s="11">
        <v>5000</v>
      </c>
      <c r="U31" s="19">
        <v>5500</v>
      </c>
      <c r="AB31" s="1"/>
      <c r="AF31" s="11">
        <v>5000</v>
      </c>
    </row>
    <row r="32" s="11" customFormat="1" spans="1:34">
      <c r="A32" s="11">
        <v>30</v>
      </c>
      <c r="B32" s="11" t="s">
        <v>145</v>
      </c>
      <c r="C32" s="11">
        <v>30</v>
      </c>
      <c r="D32" s="11" t="s">
        <v>145</v>
      </c>
      <c r="F32" s="11" t="s">
        <v>36</v>
      </c>
      <c r="G32" s="17" t="s">
        <v>49</v>
      </c>
      <c r="H32" s="10">
        <f t="shared" si="0"/>
        <v>45000</v>
      </c>
      <c r="N32" s="19">
        <v>10000</v>
      </c>
      <c r="S32" s="19">
        <v>10000</v>
      </c>
      <c r="Y32" s="20">
        <v>10000</v>
      </c>
      <c r="AB32" s="1"/>
      <c r="AE32" s="11">
        <v>10000</v>
      </c>
      <c r="AH32" s="11">
        <v>5000</v>
      </c>
    </row>
    <row r="33" s="11" customFormat="1" spans="1:33">
      <c r="A33" s="11">
        <v>31</v>
      </c>
      <c r="C33" s="11">
        <v>31</v>
      </c>
      <c r="F33" s="11" t="s">
        <v>36</v>
      </c>
      <c r="G33" s="17" t="s">
        <v>50</v>
      </c>
      <c r="H33" s="10">
        <f t="shared" si="0"/>
        <v>13000</v>
      </c>
      <c r="I33" s="11">
        <v>1000</v>
      </c>
      <c r="M33" s="11">
        <v>1000</v>
      </c>
      <c r="N33" s="11">
        <v>500</v>
      </c>
      <c r="P33" s="11">
        <v>1500</v>
      </c>
      <c r="Q33" s="11">
        <v>1000</v>
      </c>
      <c r="S33" s="11">
        <v>1000</v>
      </c>
      <c r="T33" s="11">
        <v>1000</v>
      </c>
      <c r="W33" s="11">
        <v>1000</v>
      </c>
      <c r="Y33" s="11">
        <v>1000</v>
      </c>
      <c r="Z33" s="11">
        <v>1000</v>
      </c>
      <c r="AB33" s="1">
        <v>1000</v>
      </c>
      <c r="AE33" s="11">
        <v>1000</v>
      </c>
      <c r="AF33" s="11">
        <v>500</v>
      </c>
      <c r="AG33" s="11">
        <v>500</v>
      </c>
    </row>
    <row r="34" s="11" customFormat="1" spans="1:31">
      <c r="A34" s="11">
        <v>32</v>
      </c>
      <c r="B34" s="11" t="s">
        <v>146</v>
      </c>
      <c r="C34" s="11">
        <v>32</v>
      </c>
      <c r="D34" s="11" t="s">
        <v>146</v>
      </c>
      <c r="F34" s="11" t="s">
        <v>51</v>
      </c>
      <c r="G34" s="17" t="s">
        <v>52</v>
      </c>
      <c r="H34" s="10">
        <f t="shared" si="0"/>
        <v>8000</v>
      </c>
      <c r="I34" s="11">
        <v>1000</v>
      </c>
      <c r="K34" s="11">
        <v>1000</v>
      </c>
      <c r="L34" s="11">
        <v>1000</v>
      </c>
      <c r="P34" s="11">
        <v>1000</v>
      </c>
      <c r="R34" s="11">
        <v>1000</v>
      </c>
      <c r="W34" s="11">
        <v>1000</v>
      </c>
      <c r="AB34" s="1">
        <v>1000</v>
      </c>
      <c r="AE34" s="11">
        <v>1000</v>
      </c>
    </row>
    <row r="35" s="11" customFormat="1" spans="1:31">
      <c r="A35" s="11">
        <v>33</v>
      </c>
      <c r="C35" s="11">
        <v>33</v>
      </c>
      <c r="F35" s="11" t="s">
        <v>51</v>
      </c>
      <c r="G35" s="17" t="s">
        <v>53</v>
      </c>
      <c r="H35" s="10">
        <f t="shared" si="0"/>
        <v>7000</v>
      </c>
      <c r="K35" s="11">
        <v>1000</v>
      </c>
      <c r="P35" s="11">
        <v>1000</v>
      </c>
      <c r="S35" s="11">
        <v>2000</v>
      </c>
      <c r="Y35" s="11">
        <v>1000</v>
      </c>
      <c r="AB35" s="1"/>
      <c r="AE35" s="11">
        <v>2000</v>
      </c>
    </row>
    <row r="36" s="11" customFormat="1" spans="1:28">
      <c r="A36" s="11">
        <v>34</v>
      </c>
      <c r="C36" s="11">
        <v>34</v>
      </c>
      <c r="E36" s="11">
        <v>7654800030</v>
      </c>
      <c r="F36" s="11" t="s">
        <v>51</v>
      </c>
      <c r="G36" s="17" t="s">
        <v>54</v>
      </c>
      <c r="H36" s="10">
        <f t="shared" si="0"/>
        <v>4000</v>
      </c>
      <c r="K36" s="11">
        <v>1500</v>
      </c>
      <c r="P36" s="11">
        <v>2500</v>
      </c>
      <c r="AB36" s="1"/>
    </row>
    <row r="37" s="11" customFormat="1" spans="1:30">
      <c r="A37" s="11">
        <v>35</v>
      </c>
      <c r="C37" s="11">
        <v>35</v>
      </c>
      <c r="F37" s="11" t="s">
        <v>51</v>
      </c>
      <c r="G37" s="17" t="s">
        <v>55</v>
      </c>
      <c r="H37" s="10">
        <f t="shared" si="0"/>
        <v>27000</v>
      </c>
      <c r="J37" s="19">
        <v>3000</v>
      </c>
      <c r="L37" s="19">
        <v>3000</v>
      </c>
      <c r="N37" s="19">
        <v>3000</v>
      </c>
      <c r="R37" s="19">
        <v>3000</v>
      </c>
      <c r="U37" s="19">
        <v>3000</v>
      </c>
      <c r="Y37" s="20">
        <v>3000</v>
      </c>
      <c r="Z37" s="20">
        <v>3000</v>
      </c>
      <c r="AB37" s="1"/>
      <c r="AC37" s="20">
        <v>3000</v>
      </c>
      <c r="AD37" s="20">
        <v>3000</v>
      </c>
    </row>
    <row r="38" s="11" customFormat="1" spans="1:28">
      <c r="A38" s="11">
        <v>36</v>
      </c>
      <c r="C38" s="11">
        <v>36</v>
      </c>
      <c r="F38" s="11" t="s">
        <v>51</v>
      </c>
      <c r="G38" s="17" t="s">
        <v>56</v>
      </c>
      <c r="H38" s="10">
        <f t="shared" si="0"/>
        <v>1000</v>
      </c>
      <c r="R38" s="11">
        <v>1000</v>
      </c>
      <c r="AB38" s="1"/>
    </row>
    <row r="39" s="11" customFormat="1" spans="1:35">
      <c r="A39" s="11">
        <v>37</v>
      </c>
      <c r="B39" s="11" t="s">
        <v>147</v>
      </c>
      <c r="C39" s="11">
        <v>37</v>
      </c>
      <c r="D39" s="11" t="s">
        <v>147</v>
      </c>
      <c r="F39" s="11" t="s">
        <v>51</v>
      </c>
      <c r="G39" s="17" t="s">
        <v>57</v>
      </c>
      <c r="H39" s="10">
        <f t="shared" si="0"/>
        <v>15000</v>
      </c>
      <c r="K39" s="19">
        <v>3000</v>
      </c>
      <c r="R39" s="19">
        <v>3000</v>
      </c>
      <c r="W39" s="20">
        <v>3000</v>
      </c>
      <c r="AB39" s="1"/>
      <c r="AD39" s="20">
        <v>3000</v>
      </c>
      <c r="AI39" s="25">
        <v>3000</v>
      </c>
    </row>
    <row r="40" s="11" customFormat="1" spans="1:36">
      <c r="A40" s="11">
        <v>38</v>
      </c>
      <c r="B40" s="11" t="s">
        <v>148</v>
      </c>
      <c r="C40" s="11">
        <v>38</v>
      </c>
      <c r="D40" s="11" t="s">
        <v>148</v>
      </c>
      <c r="E40" s="11" t="s">
        <v>149</v>
      </c>
      <c r="F40" s="11" t="s">
        <v>51</v>
      </c>
      <c r="G40" s="17" t="s">
        <v>58</v>
      </c>
      <c r="H40" s="10">
        <f t="shared" si="0"/>
        <v>6000</v>
      </c>
      <c r="I40" s="19">
        <v>2000</v>
      </c>
      <c r="V40" s="20">
        <v>2000</v>
      </c>
      <c r="AB40" s="1"/>
      <c r="AJ40" s="20">
        <v>2000</v>
      </c>
    </row>
    <row r="41" s="11" customFormat="1" spans="1:30">
      <c r="A41" s="11">
        <v>39</v>
      </c>
      <c r="C41" s="11">
        <v>39</v>
      </c>
      <c r="F41" s="11" t="s">
        <v>51</v>
      </c>
      <c r="G41" s="17" t="s">
        <v>59</v>
      </c>
      <c r="H41" s="10">
        <f t="shared" si="0"/>
        <v>10000</v>
      </c>
      <c r="P41" s="11">
        <v>4000</v>
      </c>
      <c r="Z41" s="11">
        <v>4000</v>
      </c>
      <c r="AB41" s="1"/>
      <c r="AD41" s="11">
        <v>2000</v>
      </c>
    </row>
    <row r="42" s="11" customFormat="1" spans="1:34">
      <c r="A42" s="11">
        <v>40</v>
      </c>
      <c r="C42" s="11">
        <v>40</v>
      </c>
      <c r="F42" s="11" t="s">
        <v>51</v>
      </c>
      <c r="G42" s="17" t="s">
        <v>60</v>
      </c>
      <c r="H42" s="10">
        <f t="shared" si="0"/>
        <v>6000</v>
      </c>
      <c r="M42" s="11">
        <v>2000</v>
      </c>
      <c r="Y42" s="11">
        <v>2000</v>
      </c>
      <c r="AB42" s="1"/>
      <c r="AG42" s="11">
        <v>1000</v>
      </c>
      <c r="AH42" s="11">
        <v>1000</v>
      </c>
    </row>
    <row r="43" s="11" customFormat="1" spans="1:34">
      <c r="A43" s="11">
        <v>41</v>
      </c>
      <c r="C43" s="11">
        <v>41</v>
      </c>
      <c r="E43" s="11">
        <v>8210095108</v>
      </c>
      <c r="F43" s="11" t="s">
        <v>51</v>
      </c>
      <c r="G43" s="17" t="s">
        <v>61</v>
      </c>
      <c r="H43" s="10">
        <f t="shared" si="0"/>
        <v>37500</v>
      </c>
      <c r="J43" s="11">
        <v>1500</v>
      </c>
      <c r="L43" s="11">
        <v>3000</v>
      </c>
      <c r="M43" s="11">
        <v>3000</v>
      </c>
      <c r="P43" s="11">
        <v>3000</v>
      </c>
      <c r="R43" s="11">
        <v>3000</v>
      </c>
      <c r="S43" s="11">
        <v>3000</v>
      </c>
      <c r="W43" s="11">
        <v>6000</v>
      </c>
      <c r="Y43" s="11">
        <v>3000</v>
      </c>
      <c r="AA43" s="11">
        <v>3000</v>
      </c>
      <c r="AB43" s="1"/>
      <c r="AD43" s="11">
        <v>3000</v>
      </c>
      <c r="AG43" s="11">
        <v>3000</v>
      </c>
      <c r="AH43" s="11">
        <v>3000</v>
      </c>
    </row>
    <row r="44" s="11" customFormat="1" spans="1:31">
      <c r="A44" s="11">
        <v>42</v>
      </c>
      <c r="C44" s="11">
        <v>42</v>
      </c>
      <c r="F44" s="11" t="s">
        <v>51</v>
      </c>
      <c r="G44" s="17" t="s">
        <v>62</v>
      </c>
      <c r="H44" s="10">
        <f t="shared" si="0"/>
        <v>4000</v>
      </c>
      <c r="R44" s="11">
        <v>2000</v>
      </c>
      <c r="AB44" s="1"/>
      <c r="AE44" s="11">
        <v>2000</v>
      </c>
    </row>
    <row r="45" s="11" customFormat="1" spans="1:33">
      <c r="A45" s="11">
        <v>43</v>
      </c>
      <c r="C45" s="11">
        <v>43</v>
      </c>
      <c r="F45" s="11" t="s">
        <v>51</v>
      </c>
      <c r="G45" s="17" t="s">
        <v>63</v>
      </c>
      <c r="H45" s="10">
        <f t="shared" si="0"/>
        <v>21000</v>
      </c>
      <c r="K45" s="11">
        <v>3000</v>
      </c>
      <c r="P45" s="19">
        <v>3000</v>
      </c>
      <c r="S45" s="19">
        <v>3000</v>
      </c>
      <c r="W45" s="20">
        <v>3000</v>
      </c>
      <c r="Y45" s="11">
        <v>3000</v>
      </c>
      <c r="AB45" s="23">
        <v>3000</v>
      </c>
      <c r="AG45" s="11">
        <v>3000</v>
      </c>
    </row>
    <row r="46" s="11" customFormat="1" spans="1:34">
      <c r="A46" s="11">
        <v>44</v>
      </c>
      <c r="B46" s="11" t="s">
        <v>150</v>
      </c>
      <c r="C46" s="11">
        <v>44</v>
      </c>
      <c r="D46" s="11" t="s">
        <v>150</v>
      </c>
      <c r="F46" s="11" t="s">
        <v>64</v>
      </c>
      <c r="G46" s="17" t="s">
        <v>65</v>
      </c>
      <c r="H46" s="10">
        <f t="shared" si="0"/>
        <v>21000</v>
      </c>
      <c r="J46" s="11">
        <v>3000</v>
      </c>
      <c r="N46" s="11">
        <v>3000</v>
      </c>
      <c r="R46" s="11">
        <v>6000</v>
      </c>
      <c r="Z46" s="20">
        <v>3000</v>
      </c>
      <c r="AB46" s="1"/>
      <c r="AH46" s="11">
        <v>6000</v>
      </c>
    </row>
    <row r="47" s="11" customFormat="1" spans="1:34">
      <c r="A47" s="11">
        <v>45</v>
      </c>
      <c r="C47" s="11">
        <v>45</v>
      </c>
      <c r="F47" s="11" t="s">
        <v>64</v>
      </c>
      <c r="G47" s="17" t="s">
        <v>66</v>
      </c>
      <c r="H47" s="10">
        <f t="shared" si="0"/>
        <v>18000</v>
      </c>
      <c r="L47" s="11">
        <v>2100</v>
      </c>
      <c r="M47" s="11">
        <v>900</v>
      </c>
      <c r="P47" s="11">
        <v>3000</v>
      </c>
      <c r="U47" s="11">
        <v>3000</v>
      </c>
      <c r="Y47" s="11">
        <v>3000</v>
      </c>
      <c r="AB47" s="1"/>
      <c r="AE47" s="11">
        <v>3000</v>
      </c>
      <c r="AH47" s="11">
        <v>3000</v>
      </c>
    </row>
    <row r="48" s="11" customFormat="1" spans="1:28">
      <c r="A48" s="11">
        <v>46</v>
      </c>
      <c r="B48" s="11" t="s">
        <v>151</v>
      </c>
      <c r="C48" s="11">
        <v>46</v>
      </c>
      <c r="D48" s="11" t="s">
        <v>151</v>
      </c>
      <c r="F48" s="11" t="s">
        <v>64</v>
      </c>
      <c r="G48" s="17" t="s">
        <v>67</v>
      </c>
      <c r="H48" s="10">
        <f t="shared" si="0"/>
        <v>4000</v>
      </c>
      <c r="N48" s="19">
        <v>2000</v>
      </c>
      <c r="AB48" s="23">
        <v>2000</v>
      </c>
    </row>
    <row r="49" s="11" customFormat="1" spans="1:33">
      <c r="A49" s="11">
        <v>47</v>
      </c>
      <c r="B49" s="11" t="s">
        <v>152</v>
      </c>
      <c r="C49" s="11">
        <v>47</v>
      </c>
      <c r="D49" s="11" t="s">
        <v>152</v>
      </c>
      <c r="E49" s="11">
        <v>8863097933</v>
      </c>
      <c r="F49" s="11" t="s">
        <v>64</v>
      </c>
      <c r="G49" s="17" t="s">
        <v>68</v>
      </c>
      <c r="H49" s="10">
        <f t="shared" si="0"/>
        <v>30000</v>
      </c>
      <c r="J49" s="19">
        <v>4000</v>
      </c>
      <c r="M49" s="11">
        <v>2000</v>
      </c>
      <c r="N49" s="11">
        <v>3000</v>
      </c>
      <c r="R49" s="11">
        <v>3000</v>
      </c>
      <c r="W49" s="20">
        <v>4000</v>
      </c>
      <c r="Y49" s="11">
        <v>3500</v>
      </c>
      <c r="AB49" s="1">
        <v>4500</v>
      </c>
      <c r="AD49" s="11">
        <v>3000</v>
      </c>
      <c r="AG49" s="11">
        <v>3000</v>
      </c>
    </row>
    <row r="50" s="11" customFormat="1" spans="1:31">
      <c r="A50" s="11">
        <v>48</v>
      </c>
      <c r="B50" s="11" t="s">
        <v>153</v>
      </c>
      <c r="C50" s="11">
        <v>48</v>
      </c>
      <c r="D50" s="11" t="s">
        <v>153</v>
      </c>
      <c r="E50" s="11">
        <v>9835443096</v>
      </c>
      <c r="F50" s="11" t="s">
        <v>64</v>
      </c>
      <c r="G50" s="17" t="s">
        <v>69</v>
      </c>
      <c r="H50" s="10">
        <f t="shared" si="0"/>
        <v>24000</v>
      </c>
      <c r="K50" s="19">
        <v>3000</v>
      </c>
      <c r="L50" s="19">
        <v>3000</v>
      </c>
      <c r="P50" s="11">
        <v>3000</v>
      </c>
      <c r="U50" s="19">
        <v>6000</v>
      </c>
      <c r="W50" s="11">
        <v>3000</v>
      </c>
      <c r="AB50" s="1"/>
      <c r="AE50" s="11">
        <v>6000</v>
      </c>
    </row>
    <row r="51" s="11" customFormat="1" spans="1:30">
      <c r="A51" s="11">
        <v>49</v>
      </c>
      <c r="B51" s="11" t="s">
        <v>154</v>
      </c>
      <c r="C51" s="11">
        <v>49</v>
      </c>
      <c r="D51" s="11" t="s">
        <v>154</v>
      </c>
      <c r="F51" s="11" t="s">
        <v>64</v>
      </c>
      <c r="G51" s="17" t="s">
        <v>70</v>
      </c>
      <c r="H51" s="10">
        <f t="shared" si="0"/>
        <v>8000</v>
      </c>
      <c r="M51" s="11">
        <v>2000</v>
      </c>
      <c r="R51" s="11">
        <v>2000</v>
      </c>
      <c r="Y51" s="11">
        <v>2000</v>
      </c>
      <c r="AB51" s="1"/>
      <c r="AD51" s="20">
        <v>2000</v>
      </c>
    </row>
    <row r="52" s="11" customFormat="1" spans="1:28">
      <c r="A52" s="11">
        <v>50</v>
      </c>
      <c r="C52" s="11">
        <v>50</v>
      </c>
      <c r="F52" s="11" t="s">
        <v>64</v>
      </c>
      <c r="G52" s="17" t="s">
        <v>71</v>
      </c>
      <c r="H52" s="10">
        <f t="shared" si="0"/>
        <v>0</v>
      </c>
      <c r="AB52" s="1"/>
    </row>
    <row r="53" s="11" customFormat="1" spans="1:36">
      <c r="A53" s="11">
        <v>51</v>
      </c>
      <c r="B53" s="11" t="s">
        <v>155</v>
      </c>
      <c r="C53" s="11">
        <v>51</v>
      </c>
      <c r="D53" s="11" t="s">
        <v>155</v>
      </c>
      <c r="F53" s="11" t="s">
        <v>64</v>
      </c>
      <c r="G53" s="17" t="s">
        <v>72</v>
      </c>
      <c r="H53" s="10">
        <f t="shared" si="0"/>
        <v>17000</v>
      </c>
      <c r="K53" s="19">
        <v>1000</v>
      </c>
      <c r="N53" s="11">
        <v>1000</v>
      </c>
      <c r="Q53" s="19">
        <v>2000</v>
      </c>
      <c r="R53" s="19">
        <v>2000</v>
      </c>
      <c r="V53" s="20">
        <v>1000</v>
      </c>
      <c r="X53" s="20">
        <v>2000</v>
      </c>
      <c r="Y53" s="20">
        <v>1000</v>
      </c>
      <c r="AB53" s="23">
        <v>3000</v>
      </c>
      <c r="AG53" s="20">
        <v>2000</v>
      </c>
      <c r="AJ53" s="20">
        <v>2000</v>
      </c>
    </row>
    <row r="54" s="11" customFormat="1" spans="1:34">
      <c r="A54" s="11">
        <v>52</v>
      </c>
      <c r="C54" s="11">
        <v>52</v>
      </c>
      <c r="F54" s="11" t="s">
        <v>64</v>
      </c>
      <c r="G54" s="17" t="s">
        <v>73</v>
      </c>
      <c r="H54" s="10">
        <f t="shared" si="0"/>
        <v>14000</v>
      </c>
      <c r="I54" s="19">
        <v>2000</v>
      </c>
      <c r="N54" s="11">
        <v>2000</v>
      </c>
      <c r="R54" s="11">
        <v>1000</v>
      </c>
      <c r="Y54" s="20">
        <v>5000</v>
      </c>
      <c r="Z54" s="20">
        <v>2000</v>
      </c>
      <c r="AB54" s="1"/>
      <c r="AH54" s="11">
        <v>2000</v>
      </c>
    </row>
    <row r="55" s="11" customFormat="1" spans="1:28">
      <c r="A55" s="11">
        <v>53</v>
      </c>
      <c r="B55" s="11" t="s">
        <v>156</v>
      </c>
      <c r="C55" s="11">
        <v>53</v>
      </c>
      <c r="D55" s="11" t="s">
        <v>156</v>
      </c>
      <c r="F55" s="11" t="s">
        <v>64</v>
      </c>
      <c r="G55" s="17" t="s">
        <v>74</v>
      </c>
      <c r="H55" s="10">
        <f t="shared" si="0"/>
        <v>2000</v>
      </c>
      <c r="U55" s="19">
        <v>2000</v>
      </c>
      <c r="AB55" s="1"/>
    </row>
    <row r="56" s="11" customFormat="1" spans="1:31">
      <c r="A56" s="11">
        <v>54</v>
      </c>
      <c r="B56" s="11" t="s">
        <v>157</v>
      </c>
      <c r="C56" s="11">
        <v>54</v>
      </c>
      <c r="D56" s="11" t="s">
        <v>157</v>
      </c>
      <c r="F56" s="11" t="s">
        <v>64</v>
      </c>
      <c r="G56" s="17" t="s">
        <v>75</v>
      </c>
      <c r="H56" s="10">
        <f t="shared" si="0"/>
        <v>4000</v>
      </c>
      <c r="N56" s="19">
        <v>1000</v>
      </c>
      <c r="AB56" s="1"/>
      <c r="AE56" s="20">
        <v>3000</v>
      </c>
    </row>
    <row r="57" s="11" customFormat="1" spans="1:28">
      <c r="A57" s="11">
        <v>55</v>
      </c>
      <c r="C57" s="11">
        <v>55</v>
      </c>
      <c r="E57" s="11">
        <v>6202424016</v>
      </c>
      <c r="F57" s="11" t="s">
        <v>64</v>
      </c>
      <c r="G57" s="17" t="s">
        <v>76</v>
      </c>
      <c r="H57" s="10">
        <f t="shared" si="0"/>
        <v>0</v>
      </c>
      <c r="AB57" s="1"/>
    </row>
    <row r="58" s="11" customFormat="1" spans="1:31">
      <c r="A58" s="11">
        <v>56</v>
      </c>
      <c r="C58" s="11">
        <v>56</v>
      </c>
      <c r="E58" s="11">
        <v>7004211364</v>
      </c>
      <c r="F58" s="11" t="s">
        <v>77</v>
      </c>
      <c r="G58" s="17" t="s">
        <v>78</v>
      </c>
      <c r="H58" s="10">
        <f t="shared" si="0"/>
        <v>12000</v>
      </c>
      <c r="J58" s="11">
        <v>2000</v>
      </c>
      <c r="U58" s="11">
        <v>4000</v>
      </c>
      <c r="Y58" s="11">
        <v>4000</v>
      </c>
      <c r="AB58" s="1"/>
      <c r="AE58" s="11">
        <v>2000</v>
      </c>
    </row>
    <row r="59" s="11" customFormat="1" spans="1:31">
      <c r="A59" s="11">
        <v>57</v>
      </c>
      <c r="B59" s="11" t="s">
        <v>158</v>
      </c>
      <c r="C59" s="11">
        <v>57</v>
      </c>
      <c r="D59" s="11" t="s">
        <v>158</v>
      </c>
      <c r="F59" s="11" t="s">
        <v>77</v>
      </c>
      <c r="G59" s="17" t="s">
        <v>79</v>
      </c>
      <c r="H59" s="10">
        <f t="shared" si="0"/>
        <v>35000</v>
      </c>
      <c r="P59" s="19">
        <v>15000</v>
      </c>
      <c r="Y59" s="11">
        <v>10000</v>
      </c>
      <c r="AB59" s="1"/>
      <c r="AE59" s="11">
        <v>10000</v>
      </c>
    </row>
    <row r="60" s="11" customFormat="1" spans="1:34">
      <c r="A60" s="11">
        <v>58</v>
      </c>
      <c r="C60" s="11">
        <v>58</v>
      </c>
      <c r="F60" s="11" t="s">
        <v>77</v>
      </c>
      <c r="G60" s="17" t="s">
        <v>80</v>
      </c>
      <c r="H60" s="10">
        <f t="shared" si="0"/>
        <v>15000</v>
      </c>
      <c r="J60" s="11">
        <v>5000</v>
      </c>
      <c r="U60" s="11">
        <v>5000</v>
      </c>
      <c r="AB60" s="1"/>
      <c r="AH60" s="11">
        <v>5000</v>
      </c>
    </row>
    <row r="61" s="11" customFormat="1" spans="1:31">
      <c r="A61" s="11">
        <v>59</v>
      </c>
      <c r="C61" s="11">
        <v>59</v>
      </c>
      <c r="F61" s="11" t="s">
        <v>77</v>
      </c>
      <c r="G61" s="17" t="s">
        <v>81</v>
      </c>
      <c r="H61" s="10">
        <f t="shared" si="0"/>
        <v>12000</v>
      </c>
      <c r="J61" s="11">
        <v>2000</v>
      </c>
      <c r="P61" s="11">
        <v>2000</v>
      </c>
      <c r="U61" s="11">
        <v>2000</v>
      </c>
      <c r="Y61" s="11">
        <v>4000</v>
      </c>
      <c r="AB61" s="1"/>
      <c r="AE61" s="11">
        <v>2000</v>
      </c>
    </row>
    <row r="62" s="11" customFormat="1" spans="1:36">
      <c r="A62" s="11">
        <v>60</v>
      </c>
      <c r="B62" s="11" t="s">
        <v>159</v>
      </c>
      <c r="C62" s="11">
        <v>60</v>
      </c>
      <c r="D62" s="11" t="s">
        <v>159</v>
      </c>
      <c r="E62" s="11">
        <v>9504958065</v>
      </c>
      <c r="F62" s="11" t="s">
        <v>82</v>
      </c>
      <c r="G62" s="17" t="s">
        <v>83</v>
      </c>
      <c r="H62" s="10">
        <f t="shared" si="0"/>
        <v>30000</v>
      </c>
      <c r="I62" s="11">
        <v>5000</v>
      </c>
      <c r="S62" s="19">
        <v>10000</v>
      </c>
      <c r="AB62" s="1"/>
      <c r="AD62" s="20">
        <v>5000</v>
      </c>
      <c r="AJ62" s="11">
        <v>10000</v>
      </c>
    </row>
    <row r="63" s="11" customFormat="1" spans="1:28">
      <c r="A63" s="11">
        <v>61</v>
      </c>
      <c r="C63" s="11">
        <v>61</v>
      </c>
      <c r="E63" s="11">
        <v>9852299192</v>
      </c>
      <c r="F63" s="11" t="s">
        <v>82</v>
      </c>
      <c r="G63" s="17" t="s">
        <v>84</v>
      </c>
      <c r="H63" s="10">
        <f t="shared" si="0"/>
        <v>2400</v>
      </c>
      <c r="U63" s="21">
        <v>2400</v>
      </c>
      <c r="AB63" s="1"/>
    </row>
    <row r="64" s="11" customFormat="1" spans="1:30">
      <c r="A64" s="11">
        <v>62</v>
      </c>
      <c r="B64" s="11" t="s">
        <v>160</v>
      </c>
      <c r="C64" s="11">
        <v>62</v>
      </c>
      <c r="D64" s="11" t="s">
        <v>160</v>
      </c>
      <c r="E64" s="11" t="s">
        <v>161</v>
      </c>
      <c r="F64" s="11" t="s">
        <v>82</v>
      </c>
      <c r="G64" s="17" t="s">
        <v>86</v>
      </c>
      <c r="H64" s="10">
        <f t="shared" si="0"/>
        <v>10000</v>
      </c>
      <c r="P64" s="19">
        <v>5000</v>
      </c>
      <c r="AB64" s="1"/>
      <c r="AD64" s="20">
        <v>5000</v>
      </c>
    </row>
    <row r="65" s="11" customFormat="1" spans="1:34">
      <c r="A65" s="11">
        <v>63</v>
      </c>
      <c r="B65" s="11" t="s">
        <v>162</v>
      </c>
      <c r="C65" s="11">
        <v>63</v>
      </c>
      <c r="D65" s="11" t="s">
        <v>162</v>
      </c>
      <c r="E65" s="11">
        <v>7004399486</v>
      </c>
      <c r="F65" s="11" t="s">
        <v>87</v>
      </c>
      <c r="G65" s="11" t="s">
        <v>88</v>
      </c>
      <c r="H65" s="10">
        <f t="shared" si="0"/>
        <v>9000</v>
      </c>
      <c r="J65" s="19">
        <v>2000</v>
      </c>
      <c r="P65" s="19">
        <v>2000</v>
      </c>
      <c r="AA65" s="20">
        <v>2000</v>
      </c>
      <c r="AB65" s="1"/>
      <c r="AE65" s="20">
        <v>2000</v>
      </c>
      <c r="AH65" s="20">
        <v>1000</v>
      </c>
    </row>
    <row r="66" s="11" customFormat="1" spans="1:29">
      <c r="A66" s="11">
        <v>64</v>
      </c>
      <c r="B66" s="11" t="s">
        <v>163</v>
      </c>
      <c r="C66" s="11">
        <v>64</v>
      </c>
      <c r="D66" s="11" t="s">
        <v>163</v>
      </c>
      <c r="F66" s="11" t="s">
        <v>87</v>
      </c>
      <c r="G66" s="17" t="s">
        <v>89</v>
      </c>
      <c r="H66" s="10">
        <f t="shared" ref="H66:H96" si="3">SUM(I66:AM66)</f>
        <v>11000</v>
      </c>
      <c r="I66" s="19">
        <v>2000</v>
      </c>
      <c r="S66" s="19">
        <v>6000</v>
      </c>
      <c r="AB66" s="1"/>
      <c r="AC66" s="20">
        <v>3000</v>
      </c>
    </row>
    <row r="67" s="11" customFormat="1" spans="1:30">
      <c r="A67" s="11">
        <v>65</v>
      </c>
      <c r="C67" s="11">
        <v>65</v>
      </c>
      <c r="F67" s="11" t="s">
        <v>90</v>
      </c>
      <c r="G67" s="17" t="s">
        <v>91</v>
      </c>
      <c r="H67" s="10">
        <f t="shared" si="3"/>
        <v>5500</v>
      </c>
      <c r="J67" s="11">
        <v>1500</v>
      </c>
      <c r="U67" s="11">
        <v>2000</v>
      </c>
      <c r="AB67" s="1"/>
      <c r="AD67" s="11">
        <v>2000</v>
      </c>
    </row>
    <row r="68" s="11" customFormat="1" spans="1:28">
      <c r="A68" s="11">
        <v>66</v>
      </c>
      <c r="C68" s="11">
        <v>66</v>
      </c>
      <c r="F68" s="11" t="s">
        <v>92</v>
      </c>
      <c r="G68" s="17" t="s">
        <v>93</v>
      </c>
      <c r="H68" s="10">
        <f t="shared" si="3"/>
        <v>10000</v>
      </c>
      <c r="L68" s="11">
        <v>4000</v>
      </c>
      <c r="AB68" s="1">
        <v>6000</v>
      </c>
    </row>
    <row r="69" s="11" customFormat="1" spans="1:35">
      <c r="A69" s="11">
        <v>67</v>
      </c>
      <c r="C69" s="11">
        <v>67</v>
      </c>
      <c r="F69" s="11" t="s">
        <v>92</v>
      </c>
      <c r="G69" s="17" t="s">
        <v>94</v>
      </c>
      <c r="H69" s="10">
        <f t="shared" si="3"/>
        <v>6000</v>
      </c>
      <c r="Y69" s="11">
        <v>2000</v>
      </c>
      <c r="AB69" s="1">
        <v>2000</v>
      </c>
      <c r="AI69" s="11">
        <v>2000</v>
      </c>
    </row>
    <row r="70" s="11" customFormat="1" spans="1:35">
      <c r="A70" s="11">
        <v>68</v>
      </c>
      <c r="C70" s="11">
        <v>68</v>
      </c>
      <c r="F70" s="11" t="s">
        <v>92</v>
      </c>
      <c r="G70" s="17" t="s">
        <v>95</v>
      </c>
      <c r="H70" s="10">
        <f t="shared" si="3"/>
        <v>8000</v>
      </c>
      <c r="I70" s="11">
        <v>1500</v>
      </c>
      <c r="P70" s="11">
        <v>2500</v>
      </c>
      <c r="AB70" s="1">
        <v>2000</v>
      </c>
      <c r="AI70" s="11">
        <v>2000</v>
      </c>
    </row>
    <row r="71" s="11" customFormat="1" spans="1:35">
      <c r="A71" s="11">
        <v>69</v>
      </c>
      <c r="C71" s="11">
        <v>69</v>
      </c>
      <c r="F71" s="11" t="s">
        <v>92</v>
      </c>
      <c r="G71" s="17" t="s">
        <v>96</v>
      </c>
      <c r="H71" s="10">
        <f t="shared" si="3"/>
        <v>5000</v>
      </c>
      <c r="L71" s="11">
        <v>1000</v>
      </c>
      <c r="S71" s="11">
        <v>1000</v>
      </c>
      <c r="Y71" s="11">
        <v>1000</v>
      </c>
      <c r="AB71" s="1"/>
      <c r="AE71" s="11">
        <v>1000</v>
      </c>
      <c r="AI71" s="11">
        <v>1000</v>
      </c>
    </row>
    <row r="72" s="11" customFormat="1" spans="1:35">
      <c r="A72" s="11">
        <v>70</v>
      </c>
      <c r="C72" s="11">
        <v>70</v>
      </c>
      <c r="F72" s="11" t="s">
        <v>92</v>
      </c>
      <c r="G72" s="17" t="s">
        <v>97</v>
      </c>
      <c r="H72" s="10">
        <f t="shared" si="3"/>
        <v>50000</v>
      </c>
      <c r="I72" s="11">
        <v>5000</v>
      </c>
      <c r="L72" s="11">
        <v>5000</v>
      </c>
      <c r="P72" s="11">
        <v>5000</v>
      </c>
      <c r="S72" s="11">
        <v>5000</v>
      </c>
      <c r="Y72" s="11">
        <v>10000</v>
      </c>
      <c r="AB72" s="1">
        <v>5000</v>
      </c>
      <c r="AE72" s="11">
        <v>5000</v>
      </c>
      <c r="AF72" s="11">
        <v>5000</v>
      </c>
      <c r="AI72" s="11">
        <v>5000</v>
      </c>
    </row>
    <row r="73" s="11" customFormat="1" spans="1:34">
      <c r="A73" s="11">
        <v>71</v>
      </c>
      <c r="C73" s="11">
        <v>71</v>
      </c>
      <c r="F73" s="11" t="s">
        <v>92</v>
      </c>
      <c r="G73" s="17" t="s">
        <v>98</v>
      </c>
      <c r="H73" s="10">
        <f t="shared" si="3"/>
        <v>18000</v>
      </c>
      <c r="K73" s="11">
        <v>3000</v>
      </c>
      <c r="R73" s="11">
        <v>3000</v>
      </c>
      <c r="Y73" s="20">
        <v>3000</v>
      </c>
      <c r="Z73" s="11">
        <v>3000</v>
      </c>
      <c r="AB73" s="1"/>
      <c r="AH73" s="11">
        <v>6000</v>
      </c>
    </row>
    <row r="74" s="11" customFormat="1" spans="1:35">
      <c r="A74" s="11">
        <v>72</v>
      </c>
      <c r="B74" s="11" t="s">
        <v>164</v>
      </c>
      <c r="C74" s="11">
        <v>72</v>
      </c>
      <c r="D74" s="11" t="s">
        <v>164</v>
      </c>
      <c r="E74" s="11">
        <v>8825370430</v>
      </c>
      <c r="F74" s="11" t="s">
        <v>92</v>
      </c>
      <c r="G74" s="17" t="s">
        <v>99</v>
      </c>
      <c r="H74" s="10">
        <f t="shared" si="3"/>
        <v>9000</v>
      </c>
      <c r="R74" s="19">
        <v>2000</v>
      </c>
      <c r="U74" s="19">
        <v>2000</v>
      </c>
      <c r="AB74" s="1"/>
      <c r="AE74" s="11">
        <v>2000</v>
      </c>
      <c r="AI74" s="25">
        <v>3000</v>
      </c>
    </row>
    <row r="75" s="11" customFormat="1" spans="1:28">
      <c r="A75" s="11">
        <v>73</v>
      </c>
      <c r="C75" s="11">
        <v>73</v>
      </c>
      <c r="E75" s="11">
        <v>9631378928</v>
      </c>
      <c r="F75" s="11" t="s">
        <v>92</v>
      </c>
      <c r="G75" s="17" t="s">
        <v>100</v>
      </c>
      <c r="H75" s="10">
        <f t="shared" si="3"/>
        <v>0</v>
      </c>
      <c r="AB75" s="1"/>
    </row>
    <row r="76" s="11" customFormat="1" spans="1:35">
      <c r="A76" s="11">
        <v>74</v>
      </c>
      <c r="C76" s="11">
        <v>74</v>
      </c>
      <c r="F76" s="11" t="s">
        <v>92</v>
      </c>
      <c r="G76" s="17" t="s">
        <v>101</v>
      </c>
      <c r="H76" s="10">
        <f t="shared" si="3"/>
        <v>6000</v>
      </c>
      <c r="L76" s="11">
        <v>1000</v>
      </c>
      <c r="P76" s="11">
        <v>1000</v>
      </c>
      <c r="AB76" s="1">
        <v>1000</v>
      </c>
      <c r="AF76" s="11">
        <v>1000</v>
      </c>
      <c r="AI76" s="11">
        <v>2000</v>
      </c>
    </row>
    <row r="77" s="11" customFormat="1" spans="1:35">
      <c r="A77" s="11">
        <v>75</v>
      </c>
      <c r="B77" s="11" t="s">
        <v>165</v>
      </c>
      <c r="C77" s="11">
        <v>75</v>
      </c>
      <c r="D77" s="11" t="s">
        <v>165</v>
      </c>
      <c r="E77" s="11">
        <v>6200769032</v>
      </c>
      <c r="F77" s="11" t="s">
        <v>102</v>
      </c>
      <c r="G77" s="17" t="s">
        <v>103</v>
      </c>
      <c r="H77" s="10">
        <f t="shared" si="3"/>
        <v>13700</v>
      </c>
      <c r="J77" s="11">
        <v>1200</v>
      </c>
      <c r="K77" s="11">
        <v>800</v>
      </c>
      <c r="L77" s="11">
        <v>1000</v>
      </c>
      <c r="P77" s="11">
        <v>600</v>
      </c>
      <c r="R77" s="19">
        <v>1500</v>
      </c>
      <c r="U77" s="19">
        <v>1900</v>
      </c>
      <c r="Y77" s="11">
        <v>1600</v>
      </c>
      <c r="Z77" s="11">
        <v>1500</v>
      </c>
      <c r="AB77" s="1"/>
      <c r="AD77" s="20">
        <v>1000</v>
      </c>
      <c r="AE77" s="11">
        <v>700</v>
      </c>
      <c r="AI77" s="25">
        <v>1900</v>
      </c>
    </row>
    <row r="78" s="11" customFormat="1" spans="1:34">
      <c r="A78" s="11">
        <v>76</v>
      </c>
      <c r="B78" s="11" t="s">
        <v>166</v>
      </c>
      <c r="C78" s="11">
        <v>76</v>
      </c>
      <c r="D78" s="11" t="s">
        <v>166</v>
      </c>
      <c r="F78" s="11" t="s">
        <v>102</v>
      </c>
      <c r="G78" s="17" t="s">
        <v>104</v>
      </c>
      <c r="H78" s="10">
        <f t="shared" si="3"/>
        <v>33000</v>
      </c>
      <c r="L78" s="19">
        <v>6000</v>
      </c>
      <c r="N78" s="19">
        <v>6000</v>
      </c>
      <c r="R78" s="11">
        <v>6000</v>
      </c>
      <c r="U78" s="11">
        <v>3000</v>
      </c>
      <c r="AB78" s="23">
        <v>9000</v>
      </c>
      <c r="AH78" s="20">
        <v>3000</v>
      </c>
    </row>
    <row r="79" s="11" customFormat="1" spans="1:32">
      <c r="A79" s="11">
        <v>77</v>
      </c>
      <c r="B79" s="11" t="s">
        <v>167</v>
      </c>
      <c r="C79" s="11">
        <v>77</v>
      </c>
      <c r="D79" s="11" t="s">
        <v>167</v>
      </c>
      <c r="F79" s="11" t="s">
        <v>102</v>
      </c>
      <c r="G79" s="17" t="s">
        <v>105</v>
      </c>
      <c r="H79" s="10">
        <f t="shared" si="3"/>
        <v>19000</v>
      </c>
      <c r="I79" s="11">
        <v>2000</v>
      </c>
      <c r="L79" s="11">
        <v>1500</v>
      </c>
      <c r="N79" s="11">
        <v>1500</v>
      </c>
      <c r="P79" s="11">
        <v>4000</v>
      </c>
      <c r="W79" s="11">
        <v>2000</v>
      </c>
      <c r="Z79" s="11">
        <v>3500</v>
      </c>
      <c r="AB79" s="1"/>
      <c r="AE79" s="11">
        <v>2500</v>
      </c>
      <c r="AF79" s="11">
        <v>2000</v>
      </c>
    </row>
    <row r="80" s="11" customFormat="1" spans="1:28">
      <c r="A80" s="11">
        <v>78</v>
      </c>
      <c r="C80" s="11">
        <v>78</v>
      </c>
      <c r="G80" s="17" t="s">
        <v>106</v>
      </c>
      <c r="H80" s="10">
        <f t="shared" si="3"/>
        <v>0</v>
      </c>
      <c r="AB80" s="1"/>
    </row>
    <row r="81" s="11" customFormat="1" spans="1:33">
      <c r="A81" s="11">
        <v>79</v>
      </c>
      <c r="B81" s="11" t="s">
        <v>168</v>
      </c>
      <c r="C81" s="11">
        <v>79</v>
      </c>
      <c r="D81" s="11" t="s">
        <v>168</v>
      </c>
      <c r="E81" s="11" t="s">
        <v>169</v>
      </c>
      <c r="F81" s="11" t="s">
        <v>107</v>
      </c>
      <c r="G81" s="17" t="s">
        <v>108</v>
      </c>
      <c r="H81" s="10">
        <f t="shared" si="3"/>
        <v>8000</v>
      </c>
      <c r="U81" s="19">
        <v>4000</v>
      </c>
      <c r="AB81" s="1"/>
      <c r="AC81" s="20">
        <v>2000</v>
      </c>
      <c r="AG81" s="20">
        <v>2000</v>
      </c>
    </row>
    <row r="82" s="11" customFormat="1" spans="1:28">
      <c r="A82" s="11">
        <v>80</v>
      </c>
      <c r="C82" s="11">
        <v>80</v>
      </c>
      <c r="G82" s="17" t="s">
        <v>109</v>
      </c>
      <c r="H82" s="10">
        <f t="shared" si="3"/>
        <v>0</v>
      </c>
      <c r="AB82" s="1"/>
    </row>
    <row r="83" s="11" customFormat="1" spans="1:35">
      <c r="A83" s="11">
        <v>81</v>
      </c>
      <c r="C83" s="11">
        <v>81</v>
      </c>
      <c r="F83" s="11" t="s">
        <v>110</v>
      </c>
      <c r="G83" s="17" t="s">
        <v>111</v>
      </c>
      <c r="H83" s="10">
        <f t="shared" si="3"/>
        <v>4000</v>
      </c>
      <c r="AB83" s="1"/>
      <c r="AI83" s="25">
        <v>4000</v>
      </c>
    </row>
    <row r="84" s="11" customFormat="1" spans="1:28">
      <c r="A84" s="11">
        <v>82</v>
      </c>
      <c r="C84" s="11">
        <v>82</v>
      </c>
      <c r="G84" s="17" t="s">
        <v>112</v>
      </c>
      <c r="H84" s="10">
        <f t="shared" si="3"/>
        <v>0</v>
      </c>
      <c r="AB84" s="1"/>
    </row>
    <row r="85" s="11" customFormat="1" spans="1:36">
      <c r="A85" s="11">
        <v>83</v>
      </c>
      <c r="B85" s="11" t="s">
        <v>170</v>
      </c>
      <c r="C85" s="11">
        <v>83</v>
      </c>
      <c r="D85" s="11" t="s">
        <v>170</v>
      </c>
      <c r="F85" s="11" t="s">
        <v>113</v>
      </c>
      <c r="G85" s="17" t="s">
        <v>114</v>
      </c>
      <c r="H85" s="10">
        <f t="shared" si="3"/>
        <v>30000</v>
      </c>
      <c r="K85" s="19">
        <v>5000</v>
      </c>
      <c r="S85" s="19">
        <v>10000</v>
      </c>
      <c r="AB85" s="1"/>
      <c r="AE85" s="20">
        <v>10000</v>
      </c>
      <c r="AJ85" s="11">
        <v>5000</v>
      </c>
    </row>
    <row r="86" s="11" customFormat="1" spans="1:28">
      <c r="A86" s="11">
        <v>84</v>
      </c>
      <c r="C86" s="11">
        <v>84</v>
      </c>
      <c r="E86" s="11">
        <v>9934079439</v>
      </c>
      <c r="F86" s="11" t="s">
        <v>113</v>
      </c>
      <c r="G86" s="17" t="s">
        <v>115</v>
      </c>
      <c r="H86" s="10">
        <f t="shared" si="3"/>
        <v>5000</v>
      </c>
      <c r="R86" s="11">
        <v>5000</v>
      </c>
      <c r="AB86" s="1"/>
    </row>
    <row r="87" s="11" customFormat="1" spans="1:31">
      <c r="A87" s="11">
        <v>85</v>
      </c>
      <c r="B87" s="11" t="s">
        <v>171</v>
      </c>
      <c r="C87" s="11">
        <v>85</v>
      </c>
      <c r="D87" s="11" t="s">
        <v>171</v>
      </c>
      <c r="E87" s="11">
        <v>7004210181</v>
      </c>
      <c r="F87" s="11" t="s">
        <v>113</v>
      </c>
      <c r="G87" s="17" t="s">
        <v>116</v>
      </c>
      <c r="H87" s="10">
        <f t="shared" si="3"/>
        <v>6000</v>
      </c>
      <c r="I87" s="19">
        <v>2000</v>
      </c>
      <c r="AA87" s="20">
        <v>2000</v>
      </c>
      <c r="AB87" s="1"/>
      <c r="AE87" s="20">
        <v>2000</v>
      </c>
    </row>
    <row r="88" s="11" customFormat="1" spans="1:28">
      <c r="A88" s="11">
        <v>86</v>
      </c>
      <c r="C88" s="11">
        <v>86</v>
      </c>
      <c r="F88" s="11" t="s">
        <v>117</v>
      </c>
      <c r="G88" s="17" t="s">
        <v>118</v>
      </c>
      <c r="H88" s="10">
        <f t="shared" si="3"/>
        <v>6000</v>
      </c>
      <c r="S88" s="19">
        <v>2000</v>
      </c>
      <c r="Z88" s="11">
        <v>2000</v>
      </c>
      <c r="AB88" s="1">
        <v>2000</v>
      </c>
    </row>
    <row r="89" s="11" customFormat="1" spans="1:28">
      <c r="A89" s="11">
        <v>87</v>
      </c>
      <c r="C89" s="11">
        <v>87</v>
      </c>
      <c r="G89" s="17" t="s">
        <v>119</v>
      </c>
      <c r="H89" s="10">
        <f t="shared" si="3"/>
        <v>0</v>
      </c>
      <c r="AB89" s="1"/>
    </row>
    <row r="90" s="11" customFormat="1" spans="1:28">
      <c r="A90" s="11">
        <v>88</v>
      </c>
      <c r="B90" s="11" t="s">
        <v>172</v>
      </c>
      <c r="C90" s="11">
        <v>88</v>
      </c>
      <c r="D90" s="11" t="s">
        <v>172</v>
      </c>
      <c r="G90" s="17" t="s">
        <v>120</v>
      </c>
      <c r="H90" s="10">
        <f t="shared" si="3"/>
        <v>1000</v>
      </c>
      <c r="R90" s="19">
        <v>1000</v>
      </c>
      <c r="AB90" s="1"/>
    </row>
    <row r="91" s="11" customFormat="1" spans="1:28">
      <c r="A91" s="11">
        <v>89</v>
      </c>
      <c r="C91" s="11">
        <v>89</v>
      </c>
      <c r="G91" s="17" t="s">
        <v>121</v>
      </c>
      <c r="H91" s="10">
        <f t="shared" si="3"/>
        <v>0</v>
      </c>
      <c r="AB91" s="1"/>
    </row>
    <row r="92" s="11" customFormat="1" spans="1:34">
      <c r="A92" s="11">
        <v>90</v>
      </c>
      <c r="C92" s="11">
        <v>90</v>
      </c>
      <c r="E92" s="11">
        <v>9015378357</v>
      </c>
      <c r="F92" s="11" t="s">
        <v>173</v>
      </c>
      <c r="G92" s="17" t="s">
        <v>122</v>
      </c>
      <c r="H92" s="10">
        <f t="shared" si="3"/>
        <v>1000</v>
      </c>
      <c r="AB92" s="1"/>
      <c r="AH92" s="11">
        <v>1000</v>
      </c>
    </row>
    <row r="93" s="11" customFormat="1" spans="1:28">
      <c r="A93" s="11">
        <v>91</v>
      </c>
      <c r="C93" s="11">
        <v>91</v>
      </c>
      <c r="G93" s="17" t="s">
        <v>123</v>
      </c>
      <c r="H93" s="10">
        <f t="shared" si="3"/>
        <v>0</v>
      </c>
      <c r="AB93" s="1"/>
    </row>
    <row r="94" s="11" customFormat="1" spans="1:28">
      <c r="A94" s="11">
        <v>92</v>
      </c>
      <c r="C94" s="11">
        <v>92</v>
      </c>
      <c r="F94" s="11" t="s">
        <v>124</v>
      </c>
      <c r="G94" s="17" t="s">
        <v>125</v>
      </c>
      <c r="H94" s="10">
        <f t="shared" si="3"/>
        <v>1000</v>
      </c>
      <c r="W94" s="11">
        <v>1000</v>
      </c>
      <c r="AB94" s="1"/>
    </row>
    <row r="95" s="11" customFormat="1" spans="1:28">
      <c r="A95" s="11">
        <v>93</v>
      </c>
      <c r="C95" s="11">
        <v>93</v>
      </c>
      <c r="G95" s="17" t="s">
        <v>126</v>
      </c>
      <c r="H95" s="10">
        <f t="shared" si="3"/>
        <v>0</v>
      </c>
      <c r="AB95" s="1"/>
    </row>
    <row r="96" s="11" customFormat="1" spans="1:28">
      <c r="A96" s="11">
        <v>94</v>
      </c>
      <c r="C96" s="11">
        <v>94</v>
      </c>
      <c r="G96" s="17" t="s">
        <v>127</v>
      </c>
      <c r="H96" s="10">
        <f t="shared" si="3"/>
        <v>0</v>
      </c>
      <c r="AB96" s="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6"/>
  <sheetViews>
    <sheetView workbookViewId="0">
      <selection activeCell="H13" sqref="H13"/>
    </sheetView>
  </sheetViews>
  <sheetFormatPr defaultColWidth="9.14285714285714" defaultRowHeight="15" outlineLevelCol="3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128</v>
      </c>
      <c r="C1" s="3" t="s">
        <v>4</v>
      </c>
      <c r="D1" s="3" t="s">
        <v>174</v>
      </c>
    </row>
    <row r="2" spans="1:4">
      <c r="A2" s="4"/>
      <c r="B2" s="4"/>
      <c r="C2" s="5" t="s">
        <v>8</v>
      </c>
      <c r="D2" s="6">
        <f>Orders!F2-Collection!H2</f>
        <v>173900</v>
      </c>
    </row>
    <row r="3" spans="1:4">
      <c r="A3" s="7" t="s">
        <v>9</v>
      </c>
      <c r="B3" s="7">
        <v>9334066332</v>
      </c>
      <c r="C3" s="8" t="s">
        <v>10</v>
      </c>
      <c r="D3" s="9">
        <f>Orders!F3-Collection!H3</f>
        <v>0</v>
      </c>
    </row>
    <row r="4" spans="1:4">
      <c r="A4" s="7" t="s">
        <v>9</v>
      </c>
      <c r="B4" s="7">
        <v>9123417146</v>
      </c>
      <c r="C4" s="8" t="s">
        <v>11</v>
      </c>
      <c r="D4" s="9">
        <f>Orders!F4-Collection!H4</f>
        <v>1000</v>
      </c>
    </row>
    <row r="5" spans="1:4">
      <c r="A5" s="7" t="s">
        <v>9</v>
      </c>
      <c r="B5" s="7">
        <v>8340365412</v>
      </c>
      <c r="C5" s="8" t="s">
        <v>13</v>
      </c>
      <c r="D5" s="9">
        <f>Orders!F5-Collection!H5</f>
        <v>2500</v>
      </c>
    </row>
    <row r="6" spans="1:4">
      <c r="A6" s="7" t="s">
        <v>9</v>
      </c>
      <c r="B6" s="7">
        <v>9102317719</v>
      </c>
      <c r="C6" s="8" t="s">
        <v>15</v>
      </c>
      <c r="D6" s="9">
        <f>Orders!F6-Collection!H6</f>
        <v>0</v>
      </c>
    </row>
    <row r="7" spans="1:4">
      <c r="A7" s="7" t="s">
        <v>9</v>
      </c>
      <c r="B7" s="7">
        <v>8210924561</v>
      </c>
      <c r="C7" s="8" t="s">
        <v>17</v>
      </c>
      <c r="D7" s="9">
        <f>Orders!F7-Collection!H7</f>
        <v>12000</v>
      </c>
    </row>
    <row r="8" spans="1:4">
      <c r="A8" s="7" t="s">
        <v>9</v>
      </c>
      <c r="B8" s="7">
        <v>9110978139</v>
      </c>
      <c r="C8" s="8" t="s">
        <v>19</v>
      </c>
      <c r="D8" s="9">
        <f>Orders!F8-Collection!H8</f>
        <v>0</v>
      </c>
    </row>
    <row r="9" spans="1:4">
      <c r="A9" s="7" t="s">
        <v>9</v>
      </c>
      <c r="B9" s="7">
        <v>8340201321</v>
      </c>
      <c r="C9" s="8" t="s">
        <v>20</v>
      </c>
      <c r="D9" s="9">
        <f>Orders!F9-Collection!H9</f>
        <v>0</v>
      </c>
    </row>
    <row r="10" spans="1:4">
      <c r="A10" s="7" t="s">
        <v>9</v>
      </c>
      <c r="B10" s="7">
        <v>7004365158</v>
      </c>
      <c r="C10" s="8" t="s">
        <v>22</v>
      </c>
      <c r="D10" s="9">
        <f>Orders!F10-Collection!H10</f>
        <v>0</v>
      </c>
    </row>
    <row r="11" spans="1:4">
      <c r="A11" s="7" t="s">
        <v>23</v>
      </c>
      <c r="B11" s="7">
        <v>9973022718</v>
      </c>
      <c r="C11" s="8" t="s">
        <v>24</v>
      </c>
      <c r="D11" s="9">
        <f>Orders!F11-Collection!H11</f>
        <v>0</v>
      </c>
    </row>
    <row r="12" spans="1:4">
      <c r="A12" s="7" t="s">
        <v>23</v>
      </c>
      <c r="B12" s="7">
        <v>7004923653</v>
      </c>
      <c r="C12" s="8" t="s">
        <v>25</v>
      </c>
      <c r="D12" s="9">
        <f>Orders!F12-Collection!H12</f>
        <v>0</v>
      </c>
    </row>
    <row r="13" spans="1:4">
      <c r="A13" s="7" t="s">
        <v>23</v>
      </c>
      <c r="B13" s="7">
        <v>8340182577</v>
      </c>
      <c r="C13" s="8" t="s">
        <v>26</v>
      </c>
      <c r="D13" s="9">
        <f>Orders!F13-Collection!H13</f>
        <v>0</v>
      </c>
    </row>
    <row r="14" spans="1:4">
      <c r="A14" s="7" t="s">
        <v>23</v>
      </c>
      <c r="B14" s="7">
        <v>7004740439</v>
      </c>
      <c r="C14" s="8" t="s">
        <v>27</v>
      </c>
      <c r="D14" s="9">
        <f>Orders!F14-Collection!H14</f>
        <v>5000</v>
      </c>
    </row>
    <row r="15" spans="1:4">
      <c r="A15" s="7" t="s">
        <v>23</v>
      </c>
      <c r="B15" s="7">
        <v>7004936104</v>
      </c>
      <c r="C15" s="8" t="s">
        <v>29</v>
      </c>
      <c r="D15" s="9">
        <f>Orders!F15-Collection!H15</f>
        <v>2000</v>
      </c>
    </row>
    <row r="16" spans="1:4">
      <c r="A16" s="7" t="s">
        <v>23</v>
      </c>
      <c r="B16" s="7">
        <v>7321004323</v>
      </c>
      <c r="C16" s="8" t="s">
        <v>30</v>
      </c>
      <c r="D16" s="9">
        <f>Orders!F16-Collection!H16</f>
        <v>2000</v>
      </c>
    </row>
    <row r="17" spans="1:4">
      <c r="A17" s="7" t="s">
        <v>23</v>
      </c>
      <c r="B17" s="7"/>
      <c r="C17" s="8" t="s">
        <v>32</v>
      </c>
      <c r="D17" s="9">
        <f>Orders!F17-Collection!H17</f>
        <v>2000</v>
      </c>
    </row>
    <row r="18" spans="1:4">
      <c r="A18" s="7" t="s">
        <v>23</v>
      </c>
      <c r="B18" s="7"/>
      <c r="C18" s="8" t="s">
        <v>34</v>
      </c>
      <c r="D18" s="9">
        <f>Orders!F18-Collection!H18</f>
        <v>1000</v>
      </c>
    </row>
    <row r="19" spans="1:4">
      <c r="A19" s="7" t="s">
        <v>23</v>
      </c>
      <c r="B19" s="7">
        <v>9608475282</v>
      </c>
      <c r="C19" s="8" t="s">
        <v>35</v>
      </c>
      <c r="D19" s="9">
        <f>Orders!F19-Collection!H19</f>
        <v>1500</v>
      </c>
    </row>
    <row r="20" spans="1:4">
      <c r="A20" s="7" t="s">
        <v>36</v>
      </c>
      <c r="B20" s="7">
        <v>9661555592</v>
      </c>
      <c r="C20" s="8" t="s">
        <v>37</v>
      </c>
      <c r="D20" s="9">
        <f>Orders!F20-Collection!H20</f>
        <v>5000</v>
      </c>
    </row>
    <row r="21" spans="1:4">
      <c r="A21" s="7" t="s">
        <v>36</v>
      </c>
      <c r="B21" s="7">
        <v>8340523512</v>
      </c>
      <c r="C21" s="8" t="s">
        <v>38</v>
      </c>
      <c r="D21" s="9">
        <f>Orders!F21-Collection!H21</f>
        <v>0</v>
      </c>
    </row>
    <row r="22" spans="1:4">
      <c r="A22" s="7" t="s">
        <v>36</v>
      </c>
      <c r="B22" s="7">
        <v>8825310472</v>
      </c>
      <c r="C22" s="8" t="s">
        <v>39</v>
      </c>
      <c r="D22" s="9">
        <f>Orders!F22-Collection!H22</f>
        <v>1000</v>
      </c>
    </row>
    <row r="23" spans="1:4">
      <c r="A23" s="7" t="s">
        <v>36</v>
      </c>
      <c r="B23" s="7">
        <v>7004478123</v>
      </c>
      <c r="C23" s="8" t="s">
        <v>40</v>
      </c>
      <c r="D23" s="9">
        <f>Orders!F23-Collection!H23</f>
        <v>5000</v>
      </c>
    </row>
    <row r="24" spans="1:4">
      <c r="A24" s="7" t="s">
        <v>36</v>
      </c>
      <c r="B24" s="7">
        <v>7667895364</v>
      </c>
      <c r="C24" s="8" t="s">
        <v>41</v>
      </c>
      <c r="D24" s="9">
        <f>Orders!F24-Collection!H24</f>
        <v>0</v>
      </c>
    </row>
    <row r="25" spans="1:4">
      <c r="A25" s="7" t="s">
        <v>36</v>
      </c>
      <c r="B25" s="7">
        <v>7006041121</v>
      </c>
      <c r="C25" s="8" t="s">
        <v>42</v>
      </c>
      <c r="D25" s="9">
        <f>Orders!F25-Collection!H25</f>
        <v>0</v>
      </c>
    </row>
    <row r="26" spans="1:4">
      <c r="A26" s="7" t="s">
        <v>36</v>
      </c>
      <c r="B26" s="7">
        <v>8709658240</v>
      </c>
      <c r="C26" s="8" t="s">
        <v>43</v>
      </c>
      <c r="D26" s="9">
        <f>Orders!F26-Collection!H26</f>
        <v>0</v>
      </c>
    </row>
    <row r="27" spans="1:4">
      <c r="A27" s="7" t="s">
        <v>36</v>
      </c>
      <c r="B27" s="7">
        <v>8709612020</v>
      </c>
      <c r="C27" s="8" t="s">
        <v>44</v>
      </c>
      <c r="D27" s="9">
        <f>Orders!F27-Collection!H27</f>
        <v>3000</v>
      </c>
    </row>
    <row r="28" spans="1:4">
      <c r="A28" s="7" t="s">
        <v>36</v>
      </c>
      <c r="B28" s="7">
        <v>9973040600</v>
      </c>
      <c r="C28" s="8" t="s">
        <v>45</v>
      </c>
      <c r="D28" s="9">
        <f>Orders!F28-Collection!H28</f>
        <v>3000</v>
      </c>
    </row>
    <row r="29" spans="1:4">
      <c r="A29" s="7" t="s">
        <v>36</v>
      </c>
      <c r="B29" s="7">
        <v>9973345687</v>
      </c>
      <c r="C29" s="8" t="s">
        <v>46</v>
      </c>
      <c r="D29" s="9">
        <f>Orders!F29-Collection!H29</f>
        <v>0</v>
      </c>
    </row>
    <row r="30" spans="1:4">
      <c r="A30" s="7" t="s">
        <v>36</v>
      </c>
      <c r="B30" s="7">
        <v>9631391206</v>
      </c>
      <c r="C30" s="8" t="s">
        <v>47</v>
      </c>
      <c r="D30" s="9">
        <f>Orders!F30-Collection!H30</f>
        <v>2000</v>
      </c>
    </row>
    <row r="31" spans="1:4">
      <c r="A31" s="7" t="s">
        <v>36</v>
      </c>
      <c r="B31" s="7"/>
      <c r="C31" s="8" t="s">
        <v>48</v>
      </c>
      <c r="D31" s="9">
        <f>Orders!F31-Collection!H31</f>
        <v>5000</v>
      </c>
    </row>
    <row r="32" spans="1:4">
      <c r="A32" s="7" t="s">
        <v>36</v>
      </c>
      <c r="B32" s="7">
        <v>7004134938</v>
      </c>
      <c r="C32" s="8" t="s">
        <v>49</v>
      </c>
      <c r="D32" s="9">
        <f>Orders!F32-Collection!H32</f>
        <v>0</v>
      </c>
    </row>
    <row r="33" spans="1:4">
      <c r="A33" s="7" t="s">
        <v>36</v>
      </c>
      <c r="B33" s="7"/>
      <c r="C33" s="8" t="s">
        <v>50</v>
      </c>
      <c r="D33" s="9">
        <f>Orders!F33-Collection!H33</f>
        <v>0</v>
      </c>
    </row>
    <row r="34" spans="1:4">
      <c r="A34" s="7" t="s">
        <v>51</v>
      </c>
      <c r="B34" s="7">
        <v>9110951966</v>
      </c>
      <c r="C34" s="8" t="s">
        <v>52</v>
      </c>
      <c r="D34" s="9">
        <f>Orders!F34-Collection!H34</f>
        <v>2000</v>
      </c>
    </row>
    <row r="35" spans="1:4">
      <c r="A35" s="7" t="s">
        <v>51</v>
      </c>
      <c r="B35" s="7">
        <v>7909015301</v>
      </c>
      <c r="C35" s="8" t="s">
        <v>53</v>
      </c>
      <c r="D35" s="9">
        <f>Orders!F35-Collection!H35</f>
        <v>1000</v>
      </c>
    </row>
    <row r="36" spans="1:4">
      <c r="A36" s="7" t="s">
        <v>51</v>
      </c>
      <c r="B36" s="7">
        <v>7654800030</v>
      </c>
      <c r="C36" s="8" t="s">
        <v>54</v>
      </c>
      <c r="D36" s="9">
        <f>Orders!F36-Collection!H36</f>
        <v>0</v>
      </c>
    </row>
    <row r="37" spans="1:4">
      <c r="A37" s="7" t="s">
        <v>51</v>
      </c>
      <c r="B37" s="7">
        <v>7004687743</v>
      </c>
      <c r="C37" s="8" t="s">
        <v>55</v>
      </c>
      <c r="D37" s="9">
        <f>Orders!F37-Collection!H37</f>
        <v>3000</v>
      </c>
    </row>
    <row r="38" spans="1:4">
      <c r="A38" s="7" t="s">
        <v>51</v>
      </c>
      <c r="B38" s="7"/>
      <c r="C38" s="8" t="s">
        <v>56</v>
      </c>
      <c r="D38" s="9">
        <f>Orders!F38-Collection!H38</f>
        <v>0</v>
      </c>
    </row>
    <row r="39" spans="1:4">
      <c r="A39" s="7" t="s">
        <v>51</v>
      </c>
      <c r="B39" s="7">
        <v>9708329918</v>
      </c>
      <c r="C39" s="8" t="s">
        <v>57</v>
      </c>
      <c r="D39" s="9">
        <f>Orders!F39-Collection!H39</f>
        <v>0</v>
      </c>
    </row>
    <row r="40" spans="1:4">
      <c r="A40" s="7" t="s">
        <v>51</v>
      </c>
      <c r="B40" s="7">
        <v>8709954402</v>
      </c>
      <c r="C40" s="8" t="s">
        <v>58</v>
      </c>
      <c r="D40" s="9">
        <f>Orders!F40-Collection!H40</f>
        <v>0</v>
      </c>
    </row>
    <row r="41" spans="1:4">
      <c r="A41" s="7" t="s">
        <v>51</v>
      </c>
      <c r="B41" s="7">
        <v>8102542369</v>
      </c>
      <c r="C41" s="8" t="s">
        <v>59</v>
      </c>
      <c r="D41" s="9">
        <f>Orders!F41-Collection!H41</f>
        <v>2000</v>
      </c>
    </row>
    <row r="42" spans="1:4">
      <c r="A42" s="7" t="s">
        <v>51</v>
      </c>
      <c r="B42" s="7">
        <v>9304671707</v>
      </c>
      <c r="C42" s="8" t="s">
        <v>60</v>
      </c>
      <c r="D42" s="9">
        <f>Orders!F42-Collection!H42</f>
        <v>0</v>
      </c>
    </row>
    <row r="43" spans="1:4">
      <c r="A43" s="7" t="s">
        <v>51</v>
      </c>
      <c r="B43" s="7">
        <v>8210095108</v>
      </c>
      <c r="C43" s="8" t="s">
        <v>61</v>
      </c>
      <c r="D43" s="9">
        <f>Orders!F43-Collection!H43</f>
        <v>3000</v>
      </c>
    </row>
    <row r="44" spans="1:4">
      <c r="A44" s="7" t="s">
        <v>51</v>
      </c>
      <c r="B44" s="7"/>
      <c r="C44" s="8" t="s">
        <v>62</v>
      </c>
      <c r="D44" s="9">
        <f>Orders!F44-Collection!H44</f>
        <v>0</v>
      </c>
    </row>
    <row r="45" spans="1:4">
      <c r="A45" s="7" t="s">
        <v>51</v>
      </c>
      <c r="B45" s="7"/>
      <c r="C45" s="8" t="s">
        <v>63</v>
      </c>
      <c r="D45" s="9">
        <f>Orders!F45-Collection!H45</f>
        <v>0</v>
      </c>
    </row>
    <row r="46" spans="1:4">
      <c r="A46" s="7" t="s">
        <v>64</v>
      </c>
      <c r="B46" s="7">
        <v>7004687745</v>
      </c>
      <c r="C46" s="8" t="s">
        <v>65</v>
      </c>
      <c r="D46" s="9">
        <f>Orders!F46-Collection!H46</f>
        <v>0</v>
      </c>
    </row>
    <row r="47" spans="1:4">
      <c r="A47" s="7" t="s">
        <v>64</v>
      </c>
      <c r="B47" s="7">
        <v>7004454705</v>
      </c>
      <c r="C47" s="8" t="s">
        <v>66</v>
      </c>
      <c r="D47" s="9">
        <f>Orders!F47-Collection!H47</f>
        <v>0</v>
      </c>
    </row>
    <row r="48" spans="1:4">
      <c r="A48" s="7" t="s">
        <v>64</v>
      </c>
      <c r="B48" s="7"/>
      <c r="C48" s="8" t="s">
        <v>67</v>
      </c>
      <c r="D48" s="9">
        <f>Orders!F48-Collection!H48</f>
        <v>0</v>
      </c>
    </row>
    <row r="49" spans="1:4">
      <c r="A49" s="7" t="s">
        <v>64</v>
      </c>
      <c r="B49" s="7">
        <v>8863097933</v>
      </c>
      <c r="C49" s="8" t="s">
        <v>68</v>
      </c>
      <c r="D49" s="9">
        <f>Orders!F49-Collection!H49</f>
        <v>6000</v>
      </c>
    </row>
    <row r="50" spans="1:4">
      <c r="A50" s="7" t="s">
        <v>64</v>
      </c>
      <c r="B50" s="7">
        <v>9835443096</v>
      </c>
      <c r="C50" s="8" t="s">
        <v>69</v>
      </c>
      <c r="D50" s="9">
        <f>Orders!F50-Collection!H50</f>
        <v>6000</v>
      </c>
    </row>
    <row r="51" spans="1:4">
      <c r="A51" s="7" t="s">
        <v>64</v>
      </c>
      <c r="B51" s="7">
        <v>7004191817</v>
      </c>
      <c r="C51" s="8" t="s">
        <v>70</v>
      </c>
      <c r="D51" s="9">
        <f>Orders!F51-Collection!H51</f>
        <v>2000</v>
      </c>
    </row>
    <row r="52" spans="1:4">
      <c r="A52" s="7" t="s">
        <v>64</v>
      </c>
      <c r="B52" s="7"/>
      <c r="C52" s="8" t="s">
        <v>71</v>
      </c>
      <c r="D52" s="9">
        <f>Orders!F52-Collection!H52</f>
        <v>0</v>
      </c>
    </row>
    <row r="53" spans="1:4">
      <c r="A53" s="7" t="s">
        <v>64</v>
      </c>
      <c r="B53" s="7">
        <v>7004423721</v>
      </c>
      <c r="C53" s="8" t="s">
        <v>72</v>
      </c>
      <c r="D53" s="9">
        <f>Orders!F53-Collection!H53</f>
        <v>1000</v>
      </c>
    </row>
    <row r="54" spans="1:4">
      <c r="A54" s="7" t="s">
        <v>64</v>
      </c>
      <c r="B54" s="7">
        <v>6202424016</v>
      </c>
      <c r="C54" s="8" t="s">
        <v>73</v>
      </c>
      <c r="D54" s="9">
        <f>Orders!F54-Collection!H54</f>
        <v>2000</v>
      </c>
    </row>
    <row r="55" spans="1:4">
      <c r="A55" s="7" t="s">
        <v>64</v>
      </c>
      <c r="B55" s="7"/>
      <c r="C55" s="8" t="s">
        <v>74</v>
      </c>
      <c r="D55" s="9">
        <f>Orders!F55-Collection!H55</f>
        <v>0</v>
      </c>
    </row>
    <row r="56" spans="1:4">
      <c r="A56" s="7" t="s">
        <v>64</v>
      </c>
      <c r="B56" s="7">
        <v>7870055507</v>
      </c>
      <c r="C56" s="8" t="s">
        <v>75</v>
      </c>
      <c r="D56" s="9">
        <f>Orders!F56-Collection!H56</f>
        <v>1000</v>
      </c>
    </row>
    <row r="57" spans="1:4">
      <c r="A57" s="7" t="s">
        <v>64</v>
      </c>
      <c r="B57" s="7">
        <v>6202424016</v>
      </c>
      <c r="C57" s="8" t="s">
        <v>76</v>
      </c>
      <c r="D57" s="9">
        <f>Orders!F57-Collection!H57</f>
        <v>0</v>
      </c>
    </row>
    <row r="58" spans="1:4">
      <c r="A58" s="7" t="s">
        <v>77</v>
      </c>
      <c r="B58" s="7">
        <v>7004211364</v>
      </c>
      <c r="C58" s="8" t="s">
        <v>78</v>
      </c>
      <c r="D58" s="9">
        <f>Orders!F58-Collection!H58</f>
        <v>0</v>
      </c>
    </row>
    <row r="59" spans="1:4">
      <c r="A59" s="7" t="s">
        <v>77</v>
      </c>
      <c r="B59" s="7"/>
      <c r="C59" s="8" t="s">
        <v>79</v>
      </c>
      <c r="D59" s="9">
        <f>Orders!F59-Collection!H59</f>
        <v>5000</v>
      </c>
    </row>
    <row r="60" spans="1:4">
      <c r="A60" s="7" t="s">
        <v>77</v>
      </c>
      <c r="B60" s="7">
        <v>9304063435</v>
      </c>
      <c r="C60" s="8" t="s">
        <v>80</v>
      </c>
      <c r="D60" s="9">
        <f>Orders!F60-Collection!H60</f>
        <v>0</v>
      </c>
    </row>
    <row r="61" spans="1:4">
      <c r="A61" s="7" t="s">
        <v>77</v>
      </c>
      <c r="B61" s="7"/>
      <c r="C61" s="8" t="s">
        <v>81</v>
      </c>
      <c r="D61" s="9">
        <f>Orders!F61-Collection!H61</f>
        <v>0</v>
      </c>
    </row>
    <row r="62" spans="1:4">
      <c r="A62" s="7" t="s">
        <v>82</v>
      </c>
      <c r="B62" s="7">
        <v>9504958065</v>
      </c>
      <c r="C62" s="8" t="s">
        <v>83</v>
      </c>
      <c r="D62" s="9">
        <f>Orders!F62-Collection!H62</f>
        <v>0</v>
      </c>
    </row>
    <row r="63" spans="1:4">
      <c r="A63" s="7" t="s">
        <v>82</v>
      </c>
      <c r="B63" s="7">
        <v>9852299192</v>
      </c>
      <c r="C63" s="8" t="s">
        <v>84</v>
      </c>
      <c r="D63" s="9">
        <f>Orders!F63-Collection!H63</f>
        <v>1100</v>
      </c>
    </row>
    <row r="64" spans="1:4">
      <c r="A64" s="7" t="s">
        <v>82</v>
      </c>
      <c r="B64" s="7">
        <v>9931812966</v>
      </c>
      <c r="C64" s="8" t="s">
        <v>86</v>
      </c>
      <c r="D64" s="9">
        <f>Orders!F64-Collection!H64</f>
        <v>0</v>
      </c>
    </row>
    <row r="65" spans="1:4">
      <c r="A65" s="7" t="s">
        <v>87</v>
      </c>
      <c r="B65" s="7">
        <v>7004399486</v>
      </c>
      <c r="C65" s="7" t="s">
        <v>88</v>
      </c>
      <c r="D65" s="9">
        <f>Orders!F65-Collection!H65</f>
        <v>-1000</v>
      </c>
    </row>
    <row r="66" spans="1:4">
      <c r="A66" s="7" t="s">
        <v>87</v>
      </c>
      <c r="B66" s="7">
        <v>9939935008</v>
      </c>
      <c r="C66" s="8" t="s">
        <v>89</v>
      </c>
      <c r="D66" s="9">
        <f>Orders!F66-Collection!H66</f>
        <v>7000</v>
      </c>
    </row>
    <row r="67" spans="1:4">
      <c r="A67" s="7" t="s">
        <v>90</v>
      </c>
      <c r="B67" s="7">
        <v>8271027441</v>
      </c>
      <c r="C67" s="8" t="s">
        <v>91</v>
      </c>
      <c r="D67" s="9">
        <f>Orders!F67-Collection!H67</f>
        <v>500</v>
      </c>
    </row>
    <row r="68" spans="1:4">
      <c r="A68" s="7" t="s">
        <v>92</v>
      </c>
      <c r="B68" s="7">
        <v>8709494155</v>
      </c>
      <c r="C68" s="8" t="s">
        <v>93</v>
      </c>
      <c r="D68" s="9">
        <f>Orders!F68-Collection!H68</f>
        <v>2000</v>
      </c>
    </row>
    <row r="69" spans="1:4">
      <c r="A69" s="7" t="s">
        <v>92</v>
      </c>
      <c r="B69" s="7"/>
      <c r="C69" s="8" t="s">
        <v>94</v>
      </c>
      <c r="D69" s="9">
        <f>Orders!F69-Collection!H69</f>
        <v>0</v>
      </c>
    </row>
    <row r="70" spans="1:4">
      <c r="A70" s="7" t="s">
        <v>92</v>
      </c>
      <c r="B70" s="7"/>
      <c r="C70" s="8" t="s">
        <v>95</v>
      </c>
      <c r="D70" s="9">
        <f>Orders!F70-Collection!H70</f>
        <v>-2000</v>
      </c>
    </row>
    <row r="71" spans="1:4">
      <c r="A71" s="7" t="s">
        <v>92</v>
      </c>
      <c r="B71" s="7">
        <v>6202448688</v>
      </c>
      <c r="C71" s="8" t="s">
        <v>96</v>
      </c>
      <c r="D71" s="9">
        <f>Orders!F71-Collection!H71</f>
        <v>0</v>
      </c>
    </row>
    <row r="72" spans="1:4">
      <c r="A72" s="7" t="s">
        <v>92</v>
      </c>
      <c r="B72" s="7">
        <v>8709017189</v>
      </c>
      <c r="C72" s="8" t="s">
        <v>97</v>
      </c>
      <c r="D72" s="9">
        <f>Orders!F72-Collection!H72</f>
        <v>0</v>
      </c>
    </row>
    <row r="73" spans="1:4">
      <c r="A73" s="7" t="s">
        <v>92</v>
      </c>
      <c r="B73" s="7">
        <v>7909071642</v>
      </c>
      <c r="C73" s="8" t="s">
        <v>98</v>
      </c>
      <c r="D73" s="9">
        <f>Orders!F73-Collection!H73</f>
        <v>3000</v>
      </c>
    </row>
    <row r="74" spans="1:4">
      <c r="A74" s="7" t="s">
        <v>92</v>
      </c>
      <c r="B74" s="7">
        <v>8825370430</v>
      </c>
      <c r="C74" s="8" t="s">
        <v>99</v>
      </c>
      <c r="D74" s="9">
        <f>Orders!F74-Collection!H74</f>
        <v>1000</v>
      </c>
    </row>
    <row r="75" spans="1:4">
      <c r="A75" s="7" t="s">
        <v>92</v>
      </c>
      <c r="B75" s="7">
        <v>9631378928</v>
      </c>
      <c r="C75" s="8" t="s">
        <v>100</v>
      </c>
      <c r="D75" s="9">
        <f>Orders!F75-Collection!H75</f>
        <v>0</v>
      </c>
    </row>
    <row r="76" spans="1:4">
      <c r="A76" s="7" t="s">
        <v>92</v>
      </c>
      <c r="B76" s="7">
        <v>8271027441</v>
      </c>
      <c r="C76" s="8" t="s">
        <v>101</v>
      </c>
      <c r="D76" s="9">
        <f>Orders!F76-Collection!H76</f>
        <v>0</v>
      </c>
    </row>
    <row r="77" spans="1:4">
      <c r="A77" s="7" t="s">
        <v>102</v>
      </c>
      <c r="B77" s="7">
        <v>6200769032</v>
      </c>
      <c r="C77" s="8" t="s">
        <v>103</v>
      </c>
      <c r="D77" s="9">
        <f>Orders!F77-Collection!H77</f>
        <v>2300</v>
      </c>
    </row>
    <row r="78" spans="1:4">
      <c r="A78" s="7" t="s">
        <v>102</v>
      </c>
      <c r="B78" s="7">
        <v>7004695819</v>
      </c>
      <c r="C78" s="8" t="s">
        <v>104</v>
      </c>
      <c r="D78" s="9">
        <f>Orders!F78-Collection!H78</f>
        <v>3000</v>
      </c>
    </row>
    <row r="79" spans="1:4">
      <c r="A79" s="7" t="s">
        <v>102</v>
      </c>
      <c r="B79" s="7"/>
      <c r="C79" s="8" t="s">
        <v>105</v>
      </c>
      <c r="D79" s="9">
        <f>Orders!F79-Collection!H79</f>
        <v>2000</v>
      </c>
    </row>
    <row r="80" spans="1:4">
      <c r="A80" s="7"/>
      <c r="B80" s="7"/>
      <c r="C80" s="8" t="s">
        <v>106</v>
      </c>
      <c r="D80" s="9">
        <f>Orders!F80-Collection!H80</f>
        <v>58000</v>
      </c>
    </row>
    <row r="81" spans="1:4">
      <c r="A81" s="7" t="s">
        <v>107</v>
      </c>
      <c r="B81" s="7">
        <v>8789783884</v>
      </c>
      <c r="C81" s="8" t="s">
        <v>108</v>
      </c>
      <c r="D81" s="9">
        <f>Orders!F81-Collection!H81</f>
        <v>2000</v>
      </c>
    </row>
    <row r="82" spans="1:4">
      <c r="A82" s="7"/>
      <c r="B82" s="7"/>
      <c r="C82" s="8" t="s">
        <v>109</v>
      </c>
      <c r="D82" s="9">
        <f>Orders!F82-Collection!H82</f>
        <v>0</v>
      </c>
    </row>
    <row r="83" spans="1:4">
      <c r="A83" s="7" t="s">
        <v>110</v>
      </c>
      <c r="B83" s="7">
        <v>7079312729</v>
      </c>
      <c r="C83" s="8" t="s">
        <v>111</v>
      </c>
      <c r="D83" s="9">
        <f>Orders!F83-Collection!H83</f>
        <v>0</v>
      </c>
    </row>
    <row r="84" spans="1:4">
      <c r="A84" s="7"/>
      <c r="B84" s="7"/>
      <c r="C84" s="8" t="s">
        <v>112</v>
      </c>
      <c r="D84" s="9">
        <f>Orders!F84-Collection!H84</f>
        <v>0</v>
      </c>
    </row>
    <row r="85" spans="1:4">
      <c r="A85" s="7" t="s">
        <v>113</v>
      </c>
      <c r="B85" s="7">
        <v>7979068575</v>
      </c>
      <c r="C85" s="8" t="s">
        <v>114</v>
      </c>
      <c r="D85" s="9">
        <f>Orders!F85-Collection!H85</f>
        <v>0</v>
      </c>
    </row>
    <row r="86" spans="1:4">
      <c r="A86" s="7" t="s">
        <v>113</v>
      </c>
      <c r="B86" s="7">
        <v>9934079439</v>
      </c>
      <c r="C86" s="8" t="s">
        <v>115</v>
      </c>
      <c r="D86" s="9">
        <f>Orders!F86-Collection!H86</f>
        <v>5000</v>
      </c>
    </row>
    <row r="87" spans="1:4">
      <c r="A87" s="7" t="s">
        <v>113</v>
      </c>
      <c r="B87" s="7">
        <v>7004210181</v>
      </c>
      <c r="C87" s="8" t="s">
        <v>116</v>
      </c>
      <c r="D87" s="9">
        <f>Orders!F87-Collection!H87</f>
        <v>2000</v>
      </c>
    </row>
    <row r="88" spans="1:4">
      <c r="A88" s="7" t="s">
        <v>117</v>
      </c>
      <c r="B88" s="7"/>
      <c r="C88" s="8" t="s">
        <v>118</v>
      </c>
      <c r="D88" s="9">
        <f>Orders!F88-Collection!H88</f>
        <v>0</v>
      </c>
    </row>
    <row r="89" spans="1:4">
      <c r="A89" s="7"/>
      <c r="B89" s="7"/>
      <c r="C89" s="8" t="s">
        <v>119</v>
      </c>
      <c r="D89" s="9">
        <f>Orders!F89-Collection!H89</f>
        <v>0</v>
      </c>
    </row>
    <row r="90" spans="1:4">
      <c r="A90" s="7"/>
      <c r="B90" s="7"/>
      <c r="C90" s="8" t="s">
        <v>120</v>
      </c>
      <c r="D90" s="9">
        <f>Orders!F90-Collection!H90</f>
        <v>0</v>
      </c>
    </row>
    <row r="91" spans="1:4">
      <c r="A91" s="7"/>
      <c r="B91" s="7"/>
      <c r="C91" s="8" t="s">
        <v>121</v>
      </c>
      <c r="D91" s="9">
        <f>Orders!F91-Collection!H91</f>
        <v>0</v>
      </c>
    </row>
    <row r="92" spans="1:4">
      <c r="A92" s="7"/>
      <c r="B92" s="7">
        <v>9015378357</v>
      </c>
      <c r="C92" s="8" t="s">
        <v>122</v>
      </c>
      <c r="D92" s="9">
        <f>Orders!F92-Collection!H92</f>
        <v>0</v>
      </c>
    </row>
    <row r="93" spans="1:4">
      <c r="A93" s="7"/>
      <c r="B93" s="7"/>
      <c r="C93" s="8" t="s">
        <v>123</v>
      </c>
      <c r="D93" s="9">
        <f>Orders!F93-Collection!H93</f>
        <v>0</v>
      </c>
    </row>
    <row r="94" spans="1:4">
      <c r="A94" s="7"/>
      <c r="B94" s="7">
        <v>7254967519</v>
      </c>
      <c r="C94" s="8" t="s">
        <v>125</v>
      </c>
      <c r="D94" s="9">
        <f>Orders!F94-Collection!H94</f>
        <v>1000</v>
      </c>
    </row>
    <row r="95" spans="1:4">
      <c r="A95" s="7"/>
      <c r="B95" s="7"/>
      <c r="C95" s="8" t="s">
        <v>126</v>
      </c>
      <c r="D95" s="9">
        <f>Orders!F95-Collection!H95</f>
        <v>0</v>
      </c>
    </row>
    <row r="96" spans="1:4">
      <c r="A96" s="7"/>
      <c r="B96" s="7"/>
      <c r="C96" s="8" t="s">
        <v>127</v>
      </c>
      <c r="D96" s="9">
        <f>Orders!F96-Collection!H96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2021-03-01T00:46:34Z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