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W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I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1040-Manual</t>
        </r>
      </text>
    </comment>
    <comment ref="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6000-Digital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1000-Digital
1000-Digital</t>
        </r>
      </text>
    </comment>
  </commentList>
</comments>
</file>

<file path=xl/sharedStrings.xml><?xml version="1.0" encoding="utf-8"?>
<sst xmlns="http://schemas.openxmlformats.org/spreadsheetml/2006/main" count="665" uniqueCount="197">
  <si>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</si>
  <si>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</si>
  <si>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</si>
  <si>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</si>
  <si>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</si>
  <si>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</si>
  <si>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</si>
  <si>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</si>
  <si>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</si>
  <si>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</si>
  <si>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</si>
  <si>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</si>
  <si>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</si>
  <si>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</si>
  <si>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</si>
  <si>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</si>
  <si>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</si>
  <si>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</si>
  <si>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</si>
  <si>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</si>
  <si>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</si>
  <si>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</si>
  <si>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</si>
  <si>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</si>
  <si>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</si>
  <si>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</si>
  <si>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</si>
  <si>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</si>
  <si>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</si>
  <si>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</si>
  <si>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</si>
  <si>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</si>
  <si>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</si>
  <si>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</si>
  <si>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</si>
  <si>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</si>
  <si>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</si>
  <si>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</si>
  <si>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</si>
  <si>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</si>
  <si>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</si>
  <si>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</si>
  <si>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</si>
  <si>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</si>
  <si>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</si>
  <si>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</si>
  <si>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</si>
  <si>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</si>
  <si>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</si>
  <si>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</si>
  <si>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</si>
  <si>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</si>
  <si>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</si>
  <si>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</si>
  <si>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</si>
  <si>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</si>
  <si>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</si>
  <si>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</si>
  <si>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</si>
  <si>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</si>
  <si>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</si>
  <si>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</si>
  <si>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</si>
  <si>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</si>
  <si>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</si>
  <si>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</si>
  <si>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</si>
  <si>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</si>
  <si>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</si>
  <si>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</si>
  <si>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</si>
  <si>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</si>
  <si>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</si>
  <si>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</si>
  <si>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</si>
  <si>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</si>
  <si>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</si>
  <si>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</si>
  <si>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</si>
  <si>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</si>
  <si>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</si>
  <si>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</si>
  <si>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</si>
  <si>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</si>
  <si>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</si>
  <si>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</si>
  <si>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</si>
  <si>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</si>
  <si>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</si>
  <si>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</si>
  <si>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</si>
  <si>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</si>
  <si>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</si>
  <si>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</si>
  <si>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</si>
  <si>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</si>
  <si>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</si>
  <si>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</si>
  <si>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</si>
  <si>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</si>
  <si>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</si>
  <si>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</si>
  <si>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</si>
  <si>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</si>
  <si>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</si>
  <si>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</si>
  <si>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</si>
  <si>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</si>
  <si>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</si>
  <si>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</si>
  <si>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</si>
  <si>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</si>
  <si>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</si>
  <si>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</si>
  <si>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</si>
  <si>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</si>
  <si>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</si>
  <si>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</si>
  <si>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</si>
  <si>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</si>
  <si>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</si>
  <si>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</si>
  <si>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</si>
  <si>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</si>
  <si>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</si>
  <si>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</si>
  <si>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</si>
  <si>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</si>
  <si>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</si>
  <si>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</si>
  <si>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</si>
  <si>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</si>
  <si>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</si>
  <si>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</si>
  <si>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</si>
  <si>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</si>
  <si>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</si>
  <si>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</si>
  <si>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</si>
  <si>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</si>
  <si>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</si>
  <si>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</si>
  <si>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</si>
  <si>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</si>
  <si>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</si>
  <si>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</si>
  <si>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</si>
  <si>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</si>
  <si>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</si>
  <si>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</si>
  <si>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</si>
  <si>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</si>
  <si>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</si>
  <si>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</si>
  <si>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</si>
  <si>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</si>
  <si>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</si>
  <si>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</si>
  <si>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</si>
  <si>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</si>
  <si>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</si>
  <si>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</si>
  <si>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</si>
  <si>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</si>
  <si>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</si>
  <si>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</si>
  <si>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</si>
  <si>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</si>
  <si>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</si>
  <si>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</si>
  <si>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</si>
  <si>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Navin Kr. Ojha</t>
  </si>
  <si>
    <t>UMESH PRA</t>
  </si>
  <si>
    <t>Ranjit Kr. 9504958065</t>
  </si>
  <si>
    <t>Amresh Kr.</t>
  </si>
  <si>
    <t>9931812966/9572985032</t>
  </si>
  <si>
    <t>Munna Kr.</t>
  </si>
  <si>
    <t>Munna Kr.(UCO)</t>
  </si>
  <si>
    <t>D.K.</t>
  </si>
  <si>
    <t>Shashi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</si>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</sst>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4" borderId="3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6" fillId="18" borderId="3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42" borderId="0" applyNumberFormat="0" applyBorder="0" applyAlignment="0" applyProtection="0">
      <alignment vertical="center"/>
    </xf>
    <xf numFmtId="0" fontId="4" fillId="4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W16" activePane="bottomRight" state="frozen"/>
      <selection/>
      <selection pane="topRight"/>
      <selection pane="bottomLeft"/>
      <selection pane="bottomRight" activeCell="AA16" sqref="AA16"/>
    </sheetView>
  </sheetViews>
  <sheetFormatPr defaultColWidth="9.14285714285714" defaultRowHeight="15"/>
  <cols>
    <col min="1" max="1" width="5.71428571428571" style="11" customWidth="1"/>
    <col min="2" max="2" width="11.5714285714286" style="23" customWidth="1"/>
    <col min="3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2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44287</v>
      </c>
      <c r="J1" s="32">
        <v>44288</v>
      </c>
      <c r="K1" s="32">
        <v>44289</v>
      </c>
      <c r="L1" s="32">
        <v>44290</v>
      </c>
      <c r="M1" s="32">
        <v>44291</v>
      </c>
      <c r="N1" s="32">
        <v>44292</v>
      </c>
      <c r="O1" s="32">
        <v>44293</v>
      </c>
      <c r="P1" s="32">
        <v>44294</v>
      </c>
      <c r="Q1" s="32">
        <v>44295</v>
      </c>
      <c r="R1" s="32">
        <v>44296</v>
      </c>
      <c r="S1" s="32">
        <v>44297</v>
      </c>
      <c r="T1" s="32">
        <v>44298</v>
      </c>
      <c r="U1" s="32">
        <v>44299</v>
      </c>
      <c r="V1" s="32">
        <v>44300</v>
      </c>
      <c r="W1" s="32">
        <v>44301</v>
      </c>
      <c r="X1" s="32">
        <v>44302</v>
      </c>
      <c r="Y1" s="32">
        <v>44303</v>
      </c>
      <c r="Z1" s="32">
        <v>44304</v>
      </c>
      <c r="AA1" s="32">
        <v>44305</v>
      </c>
      <c r="AB1" s="32">
        <v>44306</v>
      </c>
      <c r="AC1" s="32">
        <v>44307</v>
      </c>
      <c r="AD1" s="32">
        <v>44308</v>
      </c>
      <c r="AE1" s="32">
        <v>44309</v>
      </c>
      <c r="AF1" s="32">
        <v>44310</v>
      </c>
      <c r="AG1" s="32">
        <v>44311</v>
      </c>
      <c r="AH1" s="32">
        <v>44312</v>
      </c>
      <c r="AI1" s="32">
        <v>44313</v>
      </c>
      <c r="AJ1" s="32">
        <v>44314</v>
      </c>
      <c r="AK1" s="32">
        <v>44315</v>
      </c>
      <c r="AL1" s="32">
        <v>44316</v>
      </c>
      <c r="AM1" s="32"/>
      <c r="AN1" s="34"/>
      <c r="AO1" s="34"/>
      <c r="AP1" s="34"/>
      <c r="AQ1" s="34"/>
      <c r="AR1" s="34"/>
      <c r="AS1" s="34"/>
    </row>
    <row r="2" s="12" customFormat="1" spans="1:39">
      <c r="A2" s="14"/>
      <c r="B2" s="26">
        <f>SUM(F3:F121)</f>
        <v>1033600</v>
      </c>
      <c r="D2" s="15">
        <f>SUM(G3:G121)</f>
        <v>892840</v>
      </c>
      <c r="E2" s="16" t="s">
        <v>8</v>
      </c>
      <c r="F2" s="27">
        <f>G2/1.04+H2</f>
        <v>1033600</v>
      </c>
      <c r="G2" s="15">
        <f t="shared" ref="G2:G65" si="0">SUM(I2:AM2)</f>
        <v>892840</v>
      </c>
      <c r="H2" s="28">
        <f t="shared" ref="H2:AM2" si="1">SUM(H3:H121)</f>
        <v>175100</v>
      </c>
      <c r="I2" s="12">
        <f t="shared" si="1"/>
        <v>44200</v>
      </c>
      <c r="J2" s="12">
        <f t="shared" si="1"/>
        <v>65520</v>
      </c>
      <c r="K2" s="12">
        <f t="shared" si="1"/>
        <v>65520</v>
      </c>
      <c r="L2" s="12">
        <f t="shared" si="1"/>
        <v>50960</v>
      </c>
      <c r="M2" s="12">
        <f t="shared" si="1"/>
        <v>65520</v>
      </c>
      <c r="N2" s="12">
        <f t="shared" si="1"/>
        <v>48880</v>
      </c>
      <c r="O2" s="12">
        <f t="shared" si="1"/>
        <v>41600</v>
      </c>
      <c r="P2" s="12">
        <f t="shared" si="1"/>
        <v>26000</v>
      </c>
      <c r="Q2" s="12">
        <f t="shared" si="1"/>
        <v>44720</v>
      </c>
      <c r="R2" s="12">
        <f t="shared" si="1"/>
        <v>29120</v>
      </c>
      <c r="S2" s="12">
        <f t="shared" si="1"/>
        <v>59280</v>
      </c>
      <c r="T2" s="12">
        <f t="shared" si="1"/>
        <v>53040</v>
      </c>
      <c r="U2" s="12">
        <f t="shared" si="1"/>
        <v>46800</v>
      </c>
      <c r="V2" s="12">
        <f t="shared" si="1"/>
        <v>24960</v>
      </c>
      <c r="W2" s="12">
        <f t="shared" si="1"/>
        <v>68640</v>
      </c>
      <c r="X2" s="12">
        <f t="shared" si="1"/>
        <v>38480</v>
      </c>
      <c r="Y2" s="12">
        <f t="shared" si="1"/>
        <v>30160</v>
      </c>
      <c r="Z2" s="12">
        <f t="shared" si="1"/>
        <v>56160</v>
      </c>
      <c r="AA2" s="12">
        <f t="shared" si="1"/>
        <v>33280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23"/>
      <c r="D3" s="11" t="s">
        <v>9</v>
      </c>
      <c r="E3" s="18" t="s">
        <v>10</v>
      </c>
      <c r="F3" s="12">
        <f t="shared" ref="F2:F18" si="2">G3/1.04+H3</f>
        <v>6000</v>
      </c>
      <c r="G3" s="12">
        <f t="shared" si="0"/>
        <v>6240</v>
      </c>
      <c r="H3" s="29">
        <v>0</v>
      </c>
      <c r="I3" s="1"/>
      <c r="J3" s="1"/>
      <c r="K3" s="1"/>
      <c r="L3" s="1"/>
      <c r="M3" s="1"/>
      <c r="N3" s="1">
        <v>3120</v>
      </c>
      <c r="O3" s="1"/>
      <c r="P3" s="1"/>
      <c r="Q3" s="1"/>
      <c r="R3" s="1"/>
      <c r="S3" s="33">
        <v>3120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23"/>
      <c r="D4" s="11" t="s">
        <v>9</v>
      </c>
      <c r="E4" s="18" t="s">
        <v>11</v>
      </c>
      <c r="F4" s="12">
        <f t="shared" si="2"/>
        <v>9000</v>
      </c>
      <c r="G4" s="12">
        <f t="shared" si="0"/>
        <v>8320</v>
      </c>
      <c r="H4" s="29">
        <v>1000</v>
      </c>
      <c r="I4" s="1">
        <v>1040</v>
      </c>
      <c r="J4" s="1">
        <v>1040</v>
      </c>
      <c r="K4" s="1"/>
      <c r="L4" s="33">
        <v>2080</v>
      </c>
      <c r="M4" s="1">
        <v>1040</v>
      </c>
      <c r="N4" s="1"/>
      <c r="O4" s="1"/>
      <c r="P4" s="1"/>
      <c r="Q4" s="1"/>
      <c r="R4" s="1"/>
      <c r="S4" s="1">
        <v>1040</v>
      </c>
      <c r="T4" s="1"/>
      <c r="U4" s="1"/>
      <c r="V4" s="1">
        <v>1040</v>
      </c>
      <c r="W4" s="1"/>
      <c r="X4" s="1"/>
      <c r="Y4" s="1"/>
      <c r="Z4" s="1">
        <v>1040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B5" s="23" t="s">
        <v>12</v>
      </c>
      <c r="D5" s="11" t="s">
        <v>9</v>
      </c>
      <c r="E5" s="18" t="s">
        <v>13</v>
      </c>
      <c r="F5" s="12">
        <f t="shared" si="2"/>
        <v>10000</v>
      </c>
      <c r="G5" s="12">
        <f t="shared" si="0"/>
        <v>9360</v>
      </c>
      <c r="H5" s="29">
        <v>1000</v>
      </c>
      <c r="I5" s="1"/>
      <c r="J5" s="33">
        <v>1040</v>
      </c>
      <c r="K5" s="1">
        <v>1040</v>
      </c>
      <c r="L5" s="1"/>
      <c r="M5" s="1">
        <v>1040</v>
      </c>
      <c r="N5" s="1"/>
      <c r="O5" s="1"/>
      <c r="P5" s="1"/>
      <c r="Q5" s="1"/>
      <c r="R5" s="1">
        <v>1040</v>
      </c>
      <c r="S5" s="1">
        <v>1040</v>
      </c>
      <c r="T5" s="1"/>
      <c r="U5" s="1">
        <v>2080</v>
      </c>
      <c r="V5" s="1"/>
      <c r="W5" s="1"/>
      <c r="X5" s="1">
        <v>1040</v>
      </c>
      <c r="Y5" s="1"/>
      <c r="Z5" s="1">
        <v>1040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23" t="s">
        <v>14</v>
      </c>
      <c r="D6" s="11" t="s">
        <v>9</v>
      </c>
      <c r="E6" s="18" t="s">
        <v>15</v>
      </c>
      <c r="F6" s="12">
        <f t="shared" si="2"/>
        <v>14000</v>
      </c>
      <c r="G6" s="12">
        <f t="shared" si="0"/>
        <v>10400</v>
      </c>
      <c r="H6" s="29">
        <v>4000</v>
      </c>
      <c r="I6" s="1"/>
      <c r="J6" s="1"/>
      <c r="K6" s="1"/>
      <c r="L6" s="1"/>
      <c r="M6" s="1"/>
      <c r="N6" s="1"/>
      <c r="O6" s="1">
        <v>5200</v>
      </c>
      <c r="P6" s="1"/>
      <c r="Q6" s="1"/>
      <c r="R6" s="1"/>
      <c r="S6" s="1"/>
      <c r="T6" s="1"/>
      <c r="U6" s="1"/>
      <c r="V6" s="1"/>
      <c r="W6" s="1">
        <v>5200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23" t="s">
        <v>16</v>
      </c>
      <c r="D7" s="11" t="s">
        <v>9</v>
      </c>
      <c r="E7" s="18" t="s">
        <v>17</v>
      </c>
      <c r="F7" s="12">
        <f t="shared" si="2"/>
        <v>59000</v>
      </c>
      <c r="G7" s="12">
        <f t="shared" si="0"/>
        <v>41600</v>
      </c>
      <c r="H7" s="29">
        <v>19000</v>
      </c>
      <c r="I7" s="1">
        <v>2080</v>
      </c>
      <c r="J7" s="1">
        <v>2080</v>
      </c>
      <c r="K7" s="1">
        <v>2080</v>
      </c>
      <c r="L7" s="1">
        <v>2080</v>
      </c>
      <c r="M7" s="1">
        <v>2080</v>
      </c>
      <c r="N7" s="1">
        <v>4160</v>
      </c>
      <c r="O7" s="1"/>
      <c r="P7" s="1">
        <v>4160</v>
      </c>
      <c r="Q7" s="1">
        <v>2080</v>
      </c>
      <c r="R7" s="1">
        <v>4160</v>
      </c>
      <c r="S7" s="1">
        <v>2080</v>
      </c>
      <c r="T7" s="1"/>
      <c r="U7" s="1">
        <v>2080</v>
      </c>
      <c r="V7" s="1"/>
      <c r="W7" s="1">
        <v>4160</v>
      </c>
      <c r="X7" s="1">
        <v>2080</v>
      </c>
      <c r="Y7" s="1">
        <v>2080</v>
      </c>
      <c r="Z7" s="1">
        <v>2080</v>
      </c>
      <c r="AA7" s="1">
        <v>2080</v>
      </c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B8" s="23" t="s">
        <v>18</v>
      </c>
      <c r="D8" s="11" t="s">
        <v>9</v>
      </c>
      <c r="E8" s="18" t="s">
        <v>19</v>
      </c>
      <c r="F8" s="12">
        <f t="shared" si="2"/>
        <v>8000</v>
      </c>
      <c r="G8" s="12">
        <f t="shared" si="0"/>
        <v>6240</v>
      </c>
      <c r="H8" s="29">
        <v>2000</v>
      </c>
      <c r="I8" s="1"/>
      <c r="J8" s="1"/>
      <c r="K8" s="1"/>
      <c r="L8" s="1"/>
      <c r="M8" s="1"/>
      <c r="N8" s="1">
        <v>2080</v>
      </c>
      <c r="O8" s="1"/>
      <c r="P8" s="1"/>
      <c r="Q8" s="1"/>
      <c r="R8" s="1"/>
      <c r="S8" s="1"/>
      <c r="T8" s="1">
        <v>2080</v>
      </c>
      <c r="U8" s="1"/>
      <c r="V8" s="1"/>
      <c r="W8" s="1"/>
      <c r="X8" s="1"/>
      <c r="Y8" s="1">
        <v>2080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B9" s="23"/>
      <c r="D9" s="11" t="s">
        <v>9</v>
      </c>
      <c r="E9" s="18" t="s">
        <v>20</v>
      </c>
      <c r="F9" s="12">
        <f t="shared" si="2"/>
        <v>6000</v>
      </c>
      <c r="G9" s="12">
        <f t="shared" si="0"/>
        <v>6240</v>
      </c>
      <c r="H9" s="29">
        <v>0</v>
      </c>
      <c r="I9" s="1"/>
      <c r="J9" s="1"/>
      <c r="K9" s="1"/>
      <c r="L9" s="1"/>
      <c r="M9" s="1"/>
      <c r="N9" s="1">
        <v>2080</v>
      </c>
      <c r="O9" s="1"/>
      <c r="P9" s="1"/>
      <c r="Q9" s="1"/>
      <c r="R9" s="1"/>
      <c r="S9" s="1"/>
      <c r="T9" s="1"/>
      <c r="U9" s="1"/>
      <c r="V9" s="1"/>
      <c r="W9" s="1">
        <v>2080</v>
      </c>
      <c r="X9" s="1"/>
      <c r="Y9" s="1"/>
      <c r="Z9" s="1">
        <v>2080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B10" s="23" t="s">
        <v>21</v>
      </c>
      <c r="D10" s="11" t="s">
        <v>9</v>
      </c>
      <c r="E10" s="18" t="s">
        <v>22</v>
      </c>
      <c r="F10" s="12">
        <f t="shared" si="2"/>
        <v>30000</v>
      </c>
      <c r="G10" s="12">
        <f t="shared" si="0"/>
        <v>26000</v>
      </c>
      <c r="H10" s="29">
        <v>5000</v>
      </c>
      <c r="I10" s="1"/>
      <c r="J10" s="1"/>
      <c r="K10" s="1">
        <v>5200</v>
      </c>
      <c r="L10" s="1"/>
      <c r="M10" s="1">
        <v>5200</v>
      </c>
      <c r="N10" s="1"/>
      <c r="O10" s="1"/>
      <c r="P10" s="1"/>
      <c r="Q10" s="1"/>
      <c r="R10" s="1"/>
      <c r="S10" s="1"/>
      <c r="T10" s="1">
        <v>5200</v>
      </c>
      <c r="U10" s="1"/>
      <c r="V10" s="1">
        <v>5200</v>
      </c>
      <c r="W10" s="1"/>
      <c r="X10" s="1"/>
      <c r="Y10" s="1"/>
      <c r="Z10" s="1">
        <v>5200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23"/>
      <c r="D11" s="11" t="s">
        <v>23</v>
      </c>
      <c r="E11" s="18" t="s">
        <v>24</v>
      </c>
      <c r="F11" s="12">
        <f t="shared" si="2"/>
        <v>6000</v>
      </c>
      <c r="G11" s="12">
        <f t="shared" si="0"/>
        <v>6240</v>
      </c>
      <c r="H11" s="29">
        <v>0</v>
      </c>
      <c r="I11" s="1">
        <v>2080</v>
      </c>
      <c r="J11" s="1"/>
      <c r="K11" s="1"/>
      <c r="L11" s="1"/>
      <c r="M11" s="1"/>
      <c r="N11" s="1"/>
      <c r="O11" s="1"/>
      <c r="P11" s="1"/>
      <c r="Q11" s="1">
        <v>2080</v>
      </c>
      <c r="R11" s="1"/>
      <c r="S11" s="1"/>
      <c r="T11" s="1"/>
      <c r="U11" s="1"/>
      <c r="V11" s="1"/>
      <c r="W11" s="1"/>
      <c r="X11" s="1">
        <v>2080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B12" s="23"/>
      <c r="D12" s="11" t="s">
        <v>23</v>
      </c>
      <c r="E12" s="18" t="s">
        <v>25</v>
      </c>
      <c r="F12" s="12">
        <f t="shared" si="2"/>
        <v>6000</v>
      </c>
      <c r="G12" s="12">
        <f t="shared" si="0"/>
        <v>5200</v>
      </c>
      <c r="H12" s="29">
        <v>1000</v>
      </c>
      <c r="I12" s="1">
        <v>1040</v>
      </c>
      <c r="J12" s="1"/>
      <c r="K12" s="1"/>
      <c r="L12" s="1"/>
      <c r="M12" s="1">
        <v>1040</v>
      </c>
      <c r="N12" s="1"/>
      <c r="O12" s="1"/>
      <c r="P12" s="1"/>
      <c r="Q12" s="1"/>
      <c r="R12" s="1"/>
      <c r="S12" s="1"/>
      <c r="T12" s="1">
        <v>1040</v>
      </c>
      <c r="U12" s="1"/>
      <c r="V12" s="1"/>
      <c r="W12" s="1"/>
      <c r="X12" s="1">
        <v>1040</v>
      </c>
      <c r="Y12" s="1"/>
      <c r="Z12" s="1">
        <v>1040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B13" s="23"/>
      <c r="D13" s="11" t="s">
        <v>23</v>
      </c>
      <c r="E13" s="18" t="s">
        <v>26</v>
      </c>
      <c r="F13" s="12">
        <f t="shared" si="2"/>
        <v>25000</v>
      </c>
      <c r="G13" s="12">
        <f t="shared" si="0"/>
        <v>20800</v>
      </c>
      <c r="H13" s="29">
        <v>5000</v>
      </c>
      <c r="I13" s="1"/>
      <c r="J13" s="1"/>
      <c r="K13" s="1"/>
      <c r="L13" s="1">
        <v>5200</v>
      </c>
      <c r="M13" s="1"/>
      <c r="N13" s="1"/>
      <c r="O13" s="1"/>
      <c r="P13" s="1"/>
      <c r="Q13" s="1">
        <v>5200</v>
      </c>
      <c r="R13" s="1"/>
      <c r="S13" s="1"/>
      <c r="T13" s="1"/>
      <c r="U13" s="1">
        <v>5200</v>
      </c>
      <c r="V13" s="1"/>
      <c r="W13" s="1">
        <v>5200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23"/>
      <c r="D14" s="11" t="s">
        <v>23</v>
      </c>
      <c r="E14" s="18" t="s">
        <v>27</v>
      </c>
      <c r="F14" s="12">
        <f t="shared" si="2"/>
        <v>33000</v>
      </c>
      <c r="G14" s="12">
        <f t="shared" si="0"/>
        <v>30160</v>
      </c>
      <c r="H14" s="29">
        <v>4000</v>
      </c>
      <c r="I14" s="1"/>
      <c r="J14" s="33">
        <v>5200</v>
      </c>
      <c r="K14" s="1"/>
      <c r="L14" s="1">
        <v>5200</v>
      </c>
      <c r="M14" s="1"/>
      <c r="N14" s="1"/>
      <c r="O14" s="1"/>
      <c r="P14" s="1">
        <v>5200</v>
      </c>
      <c r="Q14" s="1"/>
      <c r="R14" s="33">
        <v>2080</v>
      </c>
      <c r="S14" s="1"/>
      <c r="T14" s="33">
        <v>2080</v>
      </c>
      <c r="U14" s="1">
        <v>5200</v>
      </c>
      <c r="V14" s="1"/>
      <c r="W14" s="1">
        <v>5200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23" t="s">
        <v>28</v>
      </c>
      <c r="D15" s="11" t="s">
        <v>23</v>
      </c>
      <c r="E15" s="18" t="s">
        <v>29</v>
      </c>
      <c r="F15" s="12">
        <f t="shared" si="2"/>
        <v>6000</v>
      </c>
      <c r="G15" s="12">
        <f t="shared" si="0"/>
        <v>4160</v>
      </c>
      <c r="H15" s="29">
        <v>2000</v>
      </c>
      <c r="I15" s="1"/>
      <c r="J15" s="1"/>
      <c r="K15" s="1"/>
      <c r="L15" s="1"/>
      <c r="M15" s="1">
        <v>2080</v>
      </c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23"/>
      <c r="D16" s="11" t="s">
        <v>23</v>
      </c>
      <c r="E16" s="18" t="s">
        <v>30</v>
      </c>
      <c r="F16" s="12">
        <f t="shared" si="2"/>
        <v>4000</v>
      </c>
      <c r="G16" s="12">
        <f t="shared" si="0"/>
        <v>2080</v>
      </c>
      <c r="H16" s="29">
        <v>2000</v>
      </c>
      <c r="I16" s="1"/>
      <c r="J16" s="1"/>
      <c r="K16" s="1">
        <v>1040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33">
        <v>1040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B17" s="23" t="s">
        <v>31</v>
      </c>
      <c r="D17" s="11" t="s">
        <v>23</v>
      </c>
      <c r="E17" s="18" t="s">
        <v>32</v>
      </c>
      <c r="F17" s="12">
        <f t="shared" si="2"/>
        <v>4000</v>
      </c>
      <c r="G17" s="12">
        <f t="shared" si="0"/>
        <v>3640</v>
      </c>
      <c r="H17" s="29">
        <v>500</v>
      </c>
      <c r="I17" s="33">
        <v>520</v>
      </c>
      <c r="J17" s="1"/>
      <c r="K17" s="1">
        <v>1040</v>
      </c>
      <c r="L17" s="1"/>
      <c r="M17" s="1"/>
      <c r="N17" s="1"/>
      <c r="O17" s="1">
        <v>1040</v>
      </c>
      <c r="P17" s="1"/>
      <c r="Q17" s="1"/>
      <c r="R17" s="1"/>
      <c r="S17" s="1">
        <v>1040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2">
        <f t="shared" si="2"/>
        <v>3000</v>
      </c>
      <c r="G18" s="12">
        <f t="shared" si="0"/>
        <v>2080</v>
      </c>
      <c r="H18" s="29">
        <v>1000</v>
      </c>
      <c r="I18" s="1"/>
      <c r="J18" s="1"/>
      <c r="K18" s="1">
        <v>1040</v>
      </c>
      <c r="L18" s="1"/>
      <c r="M18" s="1"/>
      <c r="N18" s="1"/>
      <c r="O18" s="1"/>
      <c r="P18" s="1"/>
      <c r="Q18" s="1"/>
      <c r="R18" s="1"/>
      <c r="S18" s="1"/>
      <c r="T18" s="1">
        <v>1040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23"/>
      <c r="D19" s="11" t="s">
        <v>23</v>
      </c>
      <c r="E19" s="18" t="s">
        <v>35</v>
      </c>
      <c r="F19" s="12">
        <f t="shared" ref="F19:F82" si="3">G19/1.04+H19</f>
        <v>12000</v>
      </c>
      <c r="G19" s="12">
        <f t="shared" si="0"/>
        <v>12480</v>
      </c>
      <c r="H19" s="29">
        <v>0</v>
      </c>
      <c r="I19" s="1"/>
      <c r="J19" s="1">
        <v>3120</v>
      </c>
      <c r="K19" s="1"/>
      <c r="L19" s="1"/>
      <c r="M19" s="1"/>
      <c r="N19" s="1">
        <v>3120</v>
      </c>
      <c r="P19" s="1"/>
      <c r="Q19" s="1"/>
      <c r="R19" s="1">
        <v>3120</v>
      </c>
      <c r="S19" s="1"/>
      <c r="T19" s="1"/>
      <c r="U19" s="1"/>
      <c r="V19" s="1"/>
      <c r="W19" s="1"/>
      <c r="X19" s="1"/>
      <c r="Y19" s="1">
        <v>3120</v>
      </c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23"/>
      <c r="D20" s="11" t="s">
        <v>36</v>
      </c>
      <c r="E20" s="18" t="s">
        <v>37</v>
      </c>
      <c r="F20" s="12">
        <f t="shared" si="3"/>
        <v>20000</v>
      </c>
      <c r="G20" s="12">
        <f t="shared" si="0"/>
        <v>13520</v>
      </c>
      <c r="H20" s="29">
        <v>7000</v>
      </c>
      <c r="I20" s="33">
        <v>3120</v>
      </c>
      <c r="J20" s="1"/>
      <c r="K20" s="1"/>
      <c r="L20" s="1">
        <v>5200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>
        <v>5200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23"/>
      <c r="D21" s="11" t="s">
        <v>36</v>
      </c>
      <c r="E21" s="18" t="s">
        <v>38</v>
      </c>
      <c r="F21" s="12">
        <f t="shared" si="3"/>
        <v>8000</v>
      </c>
      <c r="G21" s="12">
        <f t="shared" si="0"/>
        <v>8320</v>
      </c>
      <c r="H21" s="29">
        <v>0</v>
      </c>
      <c r="I21" s="1"/>
      <c r="J21" s="1"/>
      <c r="K21" s="1"/>
      <c r="L21" s="1"/>
      <c r="M21" s="1"/>
      <c r="N21" s="1"/>
      <c r="O21" s="1">
        <v>2080</v>
      </c>
      <c r="P21" s="1"/>
      <c r="Q21" s="1"/>
      <c r="R21" s="1"/>
      <c r="S21" s="1"/>
      <c r="T21" s="1">
        <v>2080</v>
      </c>
      <c r="U21" s="1"/>
      <c r="V21" s="1"/>
      <c r="W21" s="1"/>
      <c r="X21" s="1"/>
      <c r="Y21" s="1">
        <v>2080</v>
      </c>
      <c r="Z21" s="1"/>
      <c r="AA21" s="1">
        <v>2080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B22" s="23"/>
      <c r="D22" s="11" t="s">
        <v>36</v>
      </c>
      <c r="E22" s="18" t="s">
        <v>39</v>
      </c>
      <c r="F22" s="12">
        <f t="shared" si="3"/>
        <v>9000</v>
      </c>
      <c r="G22" s="12">
        <f t="shared" si="0"/>
        <v>8320</v>
      </c>
      <c r="H22" s="29">
        <v>1000</v>
      </c>
      <c r="I22" s="1"/>
      <c r="J22" s="1"/>
      <c r="K22" s="1"/>
      <c r="L22" s="1">
        <v>1040</v>
      </c>
      <c r="M22" s="1">
        <v>1040</v>
      </c>
      <c r="N22" s="1">
        <v>1040</v>
      </c>
      <c r="O22" s="1">
        <v>1040</v>
      </c>
      <c r="P22" s="1"/>
      <c r="Q22" s="1"/>
      <c r="R22" s="1"/>
      <c r="S22" s="1">
        <v>2080</v>
      </c>
      <c r="T22" s="1"/>
      <c r="U22" s="1"/>
      <c r="V22" s="1"/>
      <c r="W22" s="1"/>
      <c r="X22" s="1"/>
      <c r="Y22" s="1">
        <v>1040</v>
      </c>
      <c r="Z22" s="1"/>
      <c r="AA22" s="1">
        <v>1040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23"/>
      <c r="D23" s="11" t="s">
        <v>36</v>
      </c>
      <c r="E23" s="18" t="s">
        <v>40</v>
      </c>
      <c r="F23" s="12">
        <f t="shared" si="3"/>
        <v>25000</v>
      </c>
      <c r="G23" s="12">
        <f t="shared" si="0"/>
        <v>20800</v>
      </c>
      <c r="H23" s="29">
        <v>5000</v>
      </c>
      <c r="I23" s="1"/>
      <c r="J23" s="1"/>
      <c r="K23" s="1">
        <v>5200</v>
      </c>
      <c r="L23" s="1"/>
      <c r="M23" s="1"/>
      <c r="N23" s="1"/>
      <c r="O23" s="1"/>
      <c r="P23" s="1"/>
      <c r="Q23" s="1">
        <v>5200</v>
      </c>
      <c r="R23" s="1"/>
      <c r="S23" s="1"/>
      <c r="T23" s="1"/>
      <c r="U23" s="1">
        <v>5200</v>
      </c>
      <c r="V23" s="1"/>
      <c r="W23" s="1"/>
      <c r="X23" s="1"/>
      <c r="Y23" s="1"/>
      <c r="Z23" s="1"/>
      <c r="AA23" s="1">
        <v>5200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B24" s="23"/>
      <c r="D24" s="11" t="s">
        <v>36</v>
      </c>
      <c r="E24" s="18" t="s">
        <v>41</v>
      </c>
      <c r="F24" s="12">
        <f t="shared" si="3"/>
        <v>1000</v>
      </c>
      <c r="G24" s="12">
        <f t="shared" si="0"/>
        <v>1040</v>
      </c>
      <c r="H24" s="29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1040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23"/>
      <c r="D25" s="11" t="s">
        <v>36</v>
      </c>
      <c r="E25" s="18" t="s">
        <v>42</v>
      </c>
      <c r="F25" s="12">
        <f t="shared" si="3"/>
        <v>12000</v>
      </c>
      <c r="G25" s="12">
        <f t="shared" si="0"/>
        <v>9360</v>
      </c>
      <c r="H25" s="29">
        <v>3000</v>
      </c>
      <c r="I25" s="1"/>
      <c r="J25" s="1"/>
      <c r="K25" s="1"/>
      <c r="L25" s="1"/>
      <c r="M25" s="1">
        <v>3120</v>
      </c>
      <c r="N25" s="1">
        <v>3120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3120</v>
      </c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23"/>
      <c r="D26" s="11" t="s">
        <v>36</v>
      </c>
      <c r="E26" s="18" t="s">
        <v>43</v>
      </c>
      <c r="F26" s="12">
        <f t="shared" si="3"/>
        <v>30000</v>
      </c>
      <c r="G26" s="12">
        <f t="shared" si="0"/>
        <v>31200</v>
      </c>
      <c r="H26" s="29">
        <v>0</v>
      </c>
      <c r="I26" s="1"/>
      <c r="J26" s="1">
        <v>5200</v>
      </c>
      <c r="K26" s="1"/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>
        <v>5200</v>
      </c>
      <c r="U26" s="1"/>
      <c r="V26" s="1">
        <v>5200</v>
      </c>
      <c r="W26" s="1"/>
      <c r="X26" s="1">
        <v>5200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B27" s="23"/>
      <c r="D27" s="11" t="s">
        <v>36</v>
      </c>
      <c r="E27" s="18" t="s">
        <v>44</v>
      </c>
      <c r="F27" s="12">
        <f t="shared" si="3"/>
        <v>15000</v>
      </c>
      <c r="G27" s="12">
        <f t="shared" si="0"/>
        <v>12480</v>
      </c>
      <c r="H27" s="29">
        <v>3000</v>
      </c>
      <c r="I27" s="1"/>
      <c r="J27" s="1">
        <v>3120</v>
      </c>
      <c r="K27" s="1"/>
      <c r="L27" s="1"/>
      <c r="M27" s="1"/>
      <c r="N27" s="1">
        <v>3120</v>
      </c>
      <c r="O27" s="1"/>
      <c r="P27" s="1"/>
      <c r="Q27" s="1"/>
      <c r="R27" s="1"/>
      <c r="S27" s="1"/>
      <c r="T27" s="1">
        <v>3120</v>
      </c>
      <c r="U27" s="1"/>
      <c r="V27" s="1"/>
      <c r="W27" s="1"/>
      <c r="X27" s="1"/>
      <c r="Y27" s="1"/>
      <c r="Z27" s="1">
        <v>3120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B28" s="23"/>
      <c r="D28" s="11" t="s">
        <v>36</v>
      </c>
      <c r="E28" s="18" t="s">
        <v>45</v>
      </c>
      <c r="F28" s="12">
        <f t="shared" si="3"/>
        <v>10000</v>
      </c>
      <c r="G28" s="12">
        <f t="shared" si="0"/>
        <v>10400</v>
      </c>
      <c r="H28" s="29">
        <v>0</v>
      </c>
      <c r="I28" s="1">
        <v>2080</v>
      </c>
      <c r="J28" s="1"/>
      <c r="K28" s="1">
        <v>2080</v>
      </c>
      <c r="L28" s="1"/>
      <c r="M28" s="1"/>
      <c r="N28" s="1"/>
      <c r="O28" s="1"/>
      <c r="P28" s="1"/>
      <c r="Q28" s="1">
        <v>2080</v>
      </c>
      <c r="R28" s="1"/>
      <c r="S28" s="1"/>
      <c r="T28" s="1"/>
      <c r="U28" s="1">
        <v>2080</v>
      </c>
      <c r="V28" s="1"/>
      <c r="W28" s="1"/>
      <c r="X28" s="1"/>
      <c r="Y28" s="1"/>
      <c r="Z28" s="1"/>
      <c r="AA28" s="1">
        <v>2080</v>
      </c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B29" s="23"/>
      <c r="D29" s="11" t="s">
        <v>36</v>
      </c>
      <c r="E29" s="18" t="s">
        <v>46</v>
      </c>
      <c r="F29" s="12">
        <f t="shared" si="3"/>
        <v>4000</v>
      </c>
      <c r="G29" s="12">
        <f t="shared" si="0"/>
        <v>6240</v>
      </c>
      <c r="H29" s="29">
        <v>-2000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>
        <v>2080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B30" s="23"/>
      <c r="D30" s="11" t="s">
        <v>36</v>
      </c>
      <c r="E30" s="18" t="s">
        <v>47</v>
      </c>
      <c r="F30" s="12">
        <f t="shared" si="3"/>
        <v>8000</v>
      </c>
      <c r="G30" s="12">
        <f t="shared" si="0"/>
        <v>8320</v>
      </c>
      <c r="H30" s="29">
        <v>0</v>
      </c>
      <c r="I30" s="1">
        <v>2080</v>
      </c>
      <c r="J30" s="1"/>
      <c r="K30" s="1"/>
      <c r="L30" s="1"/>
      <c r="M30" s="1"/>
      <c r="N30" s="1"/>
      <c r="O30" s="1">
        <v>2080</v>
      </c>
      <c r="P30" s="1"/>
      <c r="Q30" s="1"/>
      <c r="R30" s="1"/>
      <c r="S30" s="1"/>
      <c r="T30" s="1"/>
      <c r="U30" s="1">
        <v>2080</v>
      </c>
      <c r="V30" s="1"/>
      <c r="W30" s="1"/>
      <c r="X30" s="1"/>
      <c r="Y30" s="1">
        <v>2080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23"/>
      <c r="D31" s="11" t="s">
        <v>36</v>
      </c>
      <c r="E31" s="18" t="s">
        <v>48</v>
      </c>
      <c r="F31" s="12">
        <f t="shared" si="3"/>
        <v>15000</v>
      </c>
      <c r="G31" s="12">
        <f t="shared" si="0"/>
        <v>15600</v>
      </c>
      <c r="H31" s="29">
        <v>0</v>
      </c>
      <c r="I31" s="1"/>
      <c r="J31" s="1"/>
      <c r="K31" s="1">
        <v>5200</v>
      </c>
      <c r="L31" s="1"/>
      <c r="M31" s="1"/>
      <c r="N31" s="1"/>
      <c r="O31" s="1"/>
      <c r="P31" s="1"/>
      <c r="Q31" s="1"/>
      <c r="R31" s="1">
        <v>5200</v>
      </c>
      <c r="S31" s="1"/>
      <c r="T31" s="1"/>
      <c r="U31" s="1"/>
      <c r="V31" s="1"/>
      <c r="W31" s="1"/>
      <c r="X31" s="1"/>
      <c r="Y31" s="1"/>
      <c r="Z31" s="1">
        <v>5200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23"/>
      <c r="D32" s="11" t="s">
        <v>36</v>
      </c>
      <c r="E32" s="18" t="s">
        <v>49</v>
      </c>
      <c r="F32" s="12">
        <f t="shared" si="3"/>
        <v>41000</v>
      </c>
      <c r="G32" s="12">
        <f t="shared" si="0"/>
        <v>31200</v>
      </c>
      <c r="H32" s="29">
        <v>11000</v>
      </c>
      <c r="I32" s="1"/>
      <c r="J32" s="1"/>
      <c r="K32" s="1">
        <v>5200</v>
      </c>
      <c r="L32" s="1"/>
      <c r="M32" s="1"/>
      <c r="N32" s="1">
        <v>5200</v>
      </c>
      <c r="O32" s="1"/>
      <c r="P32" s="1">
        <v>5200</v>
      </c>
      <c r="Q32" s="1"/>
      <c r="R32" s="1"/>
      <c r="S32" s="1">
        <v>5200</v>
      </c>
      <c r="T32" s="1"/>
      <c r="U32" s="1">
        <v>5200</v>
      </c>
      <c r="V32" s="1"/>
      <c r="W32" s="1"/>
      <c r="X32" s="1"/>
      <c r="Y32" s="1"/>
      <c r="Z32" s="1">
        <v>5200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B33" s="23"/>
      <c r="D33" s="11" t="s">
        <v>36</v>
      </c>
      <c r="E33" s="18" t="s">
        <v>50</v>
      </c>
      <c r="F33" s="12">
        <f t="shared" si="3"/>
        <v>6000</v>
      </c>
      <c r="G33" s="12">
        <f t="shared" si="0"/>
        <v>6240</v>
      </c>
      <c r="H33" s="29">
        <v>0</v>
      </c>
      <c r="I33" s="1"/>
      <c r="J33" s="1">
        <v>2080</v>
      </c>
      <c r="K33" s="1"/>
      <c r="L33" s="1"/>
      <c r="M33" s="1"/>
      <c r="N33" s="1"/>
      <c r="O33" s="1"/>
      <c r="P33" s="1"/>
      <c r="Q33" s="1"/>
      <c r="R33" s="1">
        <v>2080</v>
      </c>
      <c r="S33" s="1"/>
      <c r="T33" s="1"/>
      <c r="U33" s="1"/>
      <c r="V33" s="1"/>
      <c r="W33" s="1"/>
      <c r="X33" s="1"/>
      <c r="Y33" s="1"/>
      <c r="Z33" s="1">
        <v>2080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23"/>
      <c r="D34" s="11" t="s">
        <v>51</v>
      </c>
      <c r="E34" s="18" t="s">
        <v>52</v>
      </c>
      <c r="F34" s="12">
        <f t="shared" si="3"/>
        <v>6000</v>
      </c>
      <c r="G34" s="12">
        <f t="shared" si="0"/>
        <v>5200</v>
      </c>
      <c r="H34" s="29">
        <v>1000</v>
      </c>
      <c r="I34" s="1"/>
      <c r="J34" s="1">
        <v>1040</v>
      </c>
      <c r="K34" s="1"/>
      <c r="L34" s="1"/>
      <c r="M34" s="1">
        <v>1040</v>
      </c>
      <c r="N34" s="1"/>
      <c r="O34" s="1">
        <v>1040</v>
      </c>
      <c r="P34" s="1"/>
      <c r="Q34" s="1"/>
      <c r="R34" s="1">
        <v>1040</v>
      </c>
      <c r="S34" s="1"/>
      <c r="T34" s="1"/>
      <c r="U34" s="1"/>
      <c r="V34" s="1"/>
      <c r="W34" s="1">
        <v>1040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B35" s="23"/>
      <c r="D35" s="11" t="s">
        <v>51</v>
      </c>
      <c r="E35" s="18" t="s">
        <v>53</v>
      </c>
      <c r="F35" s="12">
        <f t="shared" si="3"/>
        <v>7000</v>
      </c>
      <c r="G35" s="12">
        <f t="shared" si="0"/>
        <v>7280</v>
      </c>
      <c r="H35" s="29">
        <v>0</v>
      </c>
      <c r="I35" s="1">
        <v>1040</v>
      </c>
      <c r="J35" s="1">
        <v>1040</v>
      </c>
      <c r="K35" s="1">
        <v>1040</v>
      </c>
      <c r="L35" s="1">
        <v>1040</v>
      </c>
      <c r="M35" s="1"/>
      <c r="N35" s="1">
        <v>1040</v>
      </c>
      <c r="O35" s="1"/>
      <c r="P35" s="1"/>
      <c r="Q35" s="1"/>
      <c r="R35" s="1"/>
      <c r="S35" s="1"/>
      <c r="T35" s="1">
        <v>1040</v>
      </c>
      <c r="U35" s="1"/>
      <c r="V35" s="1"/>
      <c r="W35" s="1"/>
      <c r="X35" s="1">
        <v>1040</v>
      </c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B36" s="23"/>
      <c r="D36" s="11" t="s">
        <v>51</v>
      </c>
      <c r="E36" s="18" t="s">
        <v>54</v>
      </c>
      <c r="F36" s="12">
        <f t="shared" si="3"/>
        <v>2000</v>
      </c>
      <c r="G36" s="12">
        <f t="shared" si="0"/>
        <v>2080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2080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B37" s="23"/>
      <c r="D37" s="11" t="s">
        <v>51</v>
      </c>
      <c r="E37" s="18" t="s">
        <v>55</v>
      </c>
      <c r="F37" s="12">
        <f t="shared" si="3"/>
        <v>25000</v>
      </c>
      <c r="G37" s="12">
        <f t="shared" si="0"/>
        <v>26000</v>
      </c>
      <c r="H37" s="29">
        <v>0</v>
      </c>
      <c r="I37" s="1">
        <v>3120</v>
      </c>
      <c r="J37" s="1"/>
      <c r="K37" s="1">
        <v>3120</v>
      </c>
      <c r="L37" s="33">
        <v>3120</v>
      </c>
      <c r="M37" s="1">
        <v>3120</v>
      </c>
      <c r="N37" s="1"/>
      <c r="O37" s="1"/>
      <c r="P37" s="1">
        <v>3120</v>
      </c>
      <c r="Q37" s="1"/>
      <c r="R37" s="1">
        <v>5200</v>
      </c>
      <c r="S37" s="1"/>
      <c r="T37" s="1"/>
      <c r="U37" s="1"/>
      <c r="V37" s="1"/>
      <c r="W37" s="1">
        <v>5200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B38" s="23"/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9">
        <v>0</v>
      </c>
      <c r="I38" s="1"/>
      <c r="J38" s="1"/>
      <c r="K38" s="1"/>
      <c r="L38" s="1"/>
      <c r="M38" s="1"/>
      <c r="N38" s="1"/>
      <c r="O38" s="1">
        <v>1040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23"/>
      <c r="D39" s="11" t="s">
        <v>51</v>
      </c>
      <c r="E39" s="18" t="s">
        <v>57</v>
      </c>
      <c r="F39" s="12">
        <f t="shared" si="3"/>
        <v>16000</v>
      </c>
      <c r="G39" s="12">
        <f t="shared" si="0"/>
        <v>16640</v>
      </c>
      <c r="H39" s="29">
        <v>0</v>
      </c>
      <c r="I39" s="33">
        <v>1040</v>
      </c>
      <c r="J39" s="1">
        <v>3120</v>
      </c>
      <c r="K39" s="1"/>
      <c r="L39" s="1"/>
      <c r="M39" s="1">
        <v>3120</v>
      </c>
      <c r="N39" s="1"/>
      <c r="O39" s="1"/>
      <c r="P39" s="1"/>
      <c r="Q39" s="1">
        <v>3120</v>
      </c>
      <c r="R39" s="1"/>
      <c r="S39" s="1"/>
      <c r="T39" s="1"/>
      <c r="U39" s="1"/>
      <c r="V39" s="1">
        <v>3120</v>
      </c>
      <c r="W39" s="1"/>
      <c r="X39" s="1"/>
      <c r="Y39" s="1">
        <v>3120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23"/>
      <c r="C40" s="11">
        <v>684087396</v>
      </c>
      <c r="D40" s="11" t="s">
        <v>51</v>
      </c>
      <c r="E40" s="18" t="s">
        <v>58</v>
      </c>
      <c r="F40" s="12">
        <f t="shared" si="3"/>
        <v>3000</v>
      </c>
      <c r="G40" s="12">
        <f t="shared" si="0"/>
        <v>3120</v>
      </c>
      <c r="H40" s="29">
        <v>0</v>
      </c>
      <c r="I40" s="1"/>
      <c r="J40" s="1"/>
      <c r="K40" s="1"/>
      <c r="L40" s="1"/>
      <c r="M40" s="33">
        <v>1040</v>
      </c>
      <c r="N40" s="1"/>
      <c r="O40" s="1"/>
      <c r="P40" s="1"/>
      <c r="Q40" s="1"/>
      <c r="R40" s="1">
        <v>2080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B41" s="23"/>
      <c r="D41" s="11" t="s">
        <v>51</v>
      </c>
      <c r="E41" s="18" t="s">
        <v>59</v>
      </c>
      <c r="F41" s="12">
        <f t="shared" si="3"/>
        <v>2000</v>
      </c>
      <c r="G41" s="12">
        <f t="shared" si="0"/>
        <v>2080</v>
      </c>
      <c r="H41" s="29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X41" s="1">
        <v>2080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B42" s="23"/>
      <c r="D42" s="11" t="s">
        <v>51</v>
      </c>
      <c r="E42" s="18" t="s">
        <v>60</v>
      </c>
      <c r="F42" s="12">
        <f t="shared" si="3"/>
        <v>8000</v>
      </c>
      <c r="G42" s="12">
        <f t="shared" si="0"/>
        <v>8320</v>
      </c>
      <c r="H42" s="29">
        <v>0</v>
      </c>
      <c r="I42" s="1"/>
      <c r="J42" s="1">
        <v>2080</v>
      </c>
      <c r="K42" s="1"/>
      <c r="L42" s="1"/>
      <c r="M42" s="1">
        <v>2080</v>
      </c>
      <c r="N42" s="1"/>
      <c r="O42" s="1"/>
      <c r="P42" s="1">
        <v>2080</v>
      </c>
      <c r="Q42" s="1"/>
      <c r="R42" s="1"/>
      <c r="S42" s="1"/>
      <c r="T42" s="1"/>
      <c r="U42" s="1"/>
      <c r="V42" s="1"/>
      <c r="W42" s="1"/>
      <c r="X42" s="1">
        <v>2080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B43" s="23"/>
      <c r="D43" s="11" t="s">
        <v>51</v>
      </c>
      <c r="E43" s="18" t="s">
        <v>61</v>
      </c>
      <c r="F43" s="12">
        <f t="shared" si="3"/>
        <v>30000</v>
      </c>
      <c r="G43" s="12">
        <f t="shared" si="0"/>
        <v>28080</v>
      </c>
      <c r="H43" s="29">
        <v>3000</v>
      </c>
      <c r="I43" s="1"/>
      <c r="J43" s="1">
        <v>3120</v>
      </c>
      <c r="K43" s="1"/>
      <c r="L43" s="1">
        <v>3120</v>
      </c>
      <c r="M43" s="1"/>
      <c r="N43" s="1"/>
      <c r="O43" s="1">
        <v>3120</v>
      </c>
      <c r="P43" s="1"/>
      <c r="Q43" s="1">
        <v>3120</v>
      </c>
      <c r="R43" s="1"/>
      <c r="S43" s="1">
        <v>3120</v>
      </c>
      <c r="T43" s="1">
        <v>3120</v>
      </c>
      <c r="U43" s="1"/>
      <c r="V43" s="1"/>
      <c r="W43" s="1">
        <v>3120</v>
      </c>
      <c r="X43" s="1"/>
      <c r="Y43" s="1">
        <v>3120</v>
      </c>
      <c r="Z43" s="1"/>
      <c r="AA43" s="1">
        <v>3120</v>
      </c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B44" s="23"/>
      <c r="D44" s="11" t="s">
        <v>51</v>
      </c>
      <c r="E44" s="18" t="s">
        <v>62</v>
      </c>
      <c r="F44" s="12">
        <f t="shared" si="3"/>
        <v>4000</v>
      </c>
      <c r="G44" s="12">
        <f t="shared" si="0"/>
        <v>4160</v>
      </c>
      <c r="H44" s="29">
        <v>0</v>
      </c>
      <c r="I44" s="1"/>
      <c r="J44" s="1">
        <v>2080</v>
      </c>
      <c r="K44" s="1"/>
      <c r="L44" s="1"/>
      <c r="M44" s="1"/>
      <c r="N44" s="1"/>
      <c r="O44" s="1"/>
      <c r="P44" s="1"/>
      <c r="Q44" s="1"/>
      <c r="R44" s="1"/>
      <c r="S44" s="1">
        <v>2080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B45" s="23"/>
      <c r="D45" s="11" t="s">
        <v>51</v>
      </c>
      <c r="E45" s="18" t="s">
        <v>63</v>
      </c>
      <c r="F45" s="12">
        <f t="shared" si="3"/>
        <v>21000</v>
      </c>
      <c r="G45" s="12">
        <f t="shared" si="0"/>
        <v>15600</v>
      </c>
      <c r="H45" s="29">
        <v>6000</v>
      </c>
      <c r="I45" s="1"/>
      <c r="J45" s="1"/>
      <c r="K45" s="1">
        <v>3120</v>
      </c>
      <c r="L45" s="1"/>
      <c r="M45" s="1"/>
      <c r="N45" s="1"/>
      <c r="O45" s="1">
        <v>3120</v>
      </c>
      <c r="P45" s="1"/>
      <c r="Q45" s="1"/>
      <c r="R45" s="1"/>
      <c r="S45" s="1"/>
      <c r="T45" s="1">
        <v>3120</v>
      </c>
      <c r="U45" s="1"/>
      <c r="V45" s="1"/>
      <c r="W45" s="1">
        <v>3120</v>
      </c>
      <c r="X45" s="1"/>
      <c r="Y45" s="1"/>
      <c r="Z45" s="1"/>
      <c r="AA45" s="1">
        <v>3120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23"/>
      <c r="D46" s="11" t="s">
        <v>64</v>
      </c>
      <c r="E46" s="18" t="s">
        <v>65</v>
      </c>
      <c r="F46" s="12">
        <f t="shared" si="3"/>
        <v>12000</v>
      </c>
      <c r="G46" s="12">
        <f t="shared" si="0"/>
        <v>12480</v>
      </c>
      <c r="H46" s="29">
        <v>0</v>
      </c>
      <c r="I46" s="1"/>
      <c r="J46" s="1">
        <v>3120</v>
      </c>
      <c r="K46" s="1"/>
      <c r="L46" s="1"/>
      <c r="M46" s="1">
        <v>3120</v>
      </c>
      <c r="N46" s="1">
        <v>3120</v>
      </c>
      <c r="O46" s="1"/>
      <c r="P46" s="1"/>
      <c r="Q46" s="1"/>
      <c r="R46" s="1"/>
      <c r="S46" s="1"/>
      <c r="T46" s="1"/>
      <c r="U46" s="1"/>
      <c r="V46" s="1"/>
      <c r="W46" s="1"/>
      <c r="X46" s="1">
        <v>3120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B47" s="23"/>
      <c r="D47" s="11" t="s">
        <v>64</v>
      </c>
      <c r="E47" s="18" t="s">
        <v>66</v>
      </c>
      <c r="F47" s="12">
        <f t="shared" si="3"/>
        <v>12000</v>
      </c>
      <c r="G47" s="12">
        <f t="shared" si="0"/>
        <v>9360</v>
      </c>
      <c r="H47" s="29">
        <v>3000</v>
      </c>
      <c r="I47" s="1"/>
      <c r="J47" s="1"/>
      <c r="K47" s="1"/>
      <c r="L47" s="1"/>
      <c r="M47" s="1">
        <v>3120</v>
      </c>
      <c r="N47" s="1"/>
      <c r="O47" s="1"/>
      <c r="P47" s="1"/>
      <c r="Q47" s="1">
        <v>3120</v>
      </c>
      <c r="R47" s="1"/>
      <c r="S47" s="1"/>
      <c r="T47" s="1"/>
      <c r="U47" s="1"/>
      <c r="V47" s="1"/>
      <c r="W47" s="1">
        <v>3120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23"/>
      <c r="D48" s="11" t="s">
        <v>64</v>
      </c>
      <c r="E48" s="18" t="s">
        <v>67</v>
      </c>
      <c r="F48" s="12">
        <f t="shared" si="3"/>
        <v>4000</v>
      </c>
      <c r="G48" s="12">
        <f t="shared" si="0"/>
        <v>4160</v>
      </c>
      <c r="H48" s="29">
        <v>0</v>
      </c>
      <c r="I48" s="1"/>
      <c r="J48" s="1">
        <v>2080</v>
      </c>
      <c r="K48" s="1"/>
      <c r="L48" s="1"/>
      <c r="M48" s="1"/>
      <c r="N48" s="1"/>
      <c r="O48" s="1">
        <v>2080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23"/>
      <c r="D49" s="11" t="s">
        <v>64</v>
      </c>
      <c r="E49" s="18" t="s">
        <v>68</v>
      </c>
      <c r="F49" s="12">
        <f t="shared" si="3"/>
        <v>28000</v>
      </c>
      <c r="G49" s="12">
        <f t="shared" si="0"/>
        <v>28080</v>
      </c>
      <c r="H49" s="29">
        <v>1000</v>
      </c>
      <c r="I49" s="1">
        <v>3120</v>
      </c>
      <c r="J49" s="1">
        <v>3120</v>
      </c>
      <c r="K49" s="1"/>
      <c r="L49" s="1">
        <v>3120</v>
      </c>
      <c r="M49" s="1">
        <v>3120</v>
      </c>
      <c r="N49" s="1"/>
      <c r="O49" s="1">
        <v>3120</v>
      </c>
      <c r="P49" s="1"/>
      <c r="Q49" s="1"/>
      <c r="R49" s="1"/>
      <c r="S49" s="1">
        <v>3120</v>
      </c>
      <c r="T49" s="1"/>
      <c r="U49" s="1">
        <v>3120</v>
      </c>
      <c r="V49" s="1"/>
      <c r="W49" s="1"/>
      <c r="X49" s="1">
        <v>3120</v>
      </c>
      <c r="Y49" s="1"/>
      <c r="Z49" s="1">
        <v>3120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23"/>
      <c r="D50" s="11" t="s">
        <v>64</v>
      </c>
      <c r="E50" s="18" t="s">
        <v>69</v>
      </c>
      <c r="F50" s="12">
        <f t="shared" si="3"/>
        <v>9000</v>
      </c>
      <c r="G50" s="12">
        <f t="shared" si="0"/>
        <v>9360</v>
      </c>
      <c r="H50" s="29">
        <v>0</v>
      </c>
      <c r="I50" s="1"/>
      <c r="J50" s="1"/>
      <c r="K50" s="1"/>
      <c r="L50" s="1"/>
      <c r="M50" s="1">
        <v>3120</v>
      </c>
      <c r="N50" s="1"/>
      <c r="O50" s="1"/>
      <c r="P50" s="1"/>
      <c r="Q50" s="1"/>
      <c r="R50" s="1"/>
      <c r="S50" s="1"/>
      <c r="T50" s="1"/>
      <c r="U50" s="1">
        <v>3120</v>
      </c>
      <c r="V50" s="1"/>
      <c r="W50" s="1"/>
      <c r="X50" s="1"/>
      <c r="Y50" s="1"/>
      <c r="Z50" s="1"/>
      <c r="AA50" s="1">
        <v>3120</v>
      </c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23"/>
      <c r="D51" s="11" t="s">
        <v>64</v>
      </c>
      <c r="E51" s="18" t="s">
        <v>70</v>
      </c>
      <c r="F51" s="12">
        <f t="shared" si="3"/>
        <v>9000</v>
      </c>
      <c r="G51" s="12">
        <f t="shared" si="0"/>
        <v>8320</v>
      </c>
      <c r="H51" s="29">
        <v>1000</v>
      </c>
      <c r="I51" s="1"/>
      <c r="J51" s="1"/>
      <c r="K51" s="1">
        <v>2080</v>
      </c>
      <c r="L51" s="1">
        <v>2080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>
        <v>2080</v>
      </c>
      <c r="X51" s="1"/>
      <c r="Y51" s="1"/>
      <c r="Z51" s="1">
        <v>2080</v>
      </c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B52" s="23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23"/>
      <c r="D53" s="11" t="s">
        <v>64</v>
      </c>
      <c r="E53" s="18" t="s">
        <v>72</v>
      </c>
      <c r="F53" s="12">
        <f t="shared" si="3"/>
        <v>15000</v>
      </c>
      <c r="G53" s="12">
        <f t="shared" si="0"/>
        <v>15600</v>
      </c>
      <c r="H53" s="29">
        <v>0</v>
      </c>
      <c r="I53" s="1">
        <v>2080</v>
      </c>
      <c r="J53" s="1">
        <v>1040</v>
      </c>
      <c r="K53" s="1">
        <v>1040</v>
      </c>
      <c r="L53" s="1">
        <v>1040</v>
      </c>
      <c r="M53" s="1">
        <v>1040</v>
      </c>
      <c r="N53" s="1">
        <v>1040</v>
      </c>
      <c r="O53" s="1"/>
      <c r="P53" s="1">
        <v>1040</v>
      </c>
      <c r="Q53" s="1"/>
      <c r="R53" s="33">
        <v>1040</v>
      </c>
      <c r="S53" s="1">
        <v>2080</v>
      </c>
      <c r="T53" s="1"/>
      <c r="U53" s="1">
        <v>1040</v>
      </c>
      <c r="V53" s="1">
        <v>1040</v>
      </c>
      <c r="W53" s="1"/>
      <c r="X53" s="1">
        <v>1040</v>
      </c>
      <c r="Y53" s="1"/>
      <c r="Z53" s="1"/>
      <c r="AA53" s="1">
        <v>1040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B54" s="23"/>
      <c r="D54" s="11" t="s">
        <v>64</v>
      </c>
      <c r="E54" s="18" t="s">
        <v>73</v>
      </c>
      <c r="F54" s="12">
        <f t="shared" si="3"/>
        <v>16000</v>
      </c>
      <c r="G54" s="12">
        <f t="shared" si="0"/>
        <v>14560</v>
      </c>
      <c r="H54" s="29">
        <v>2000</v>
      </c>
      <c r="I54" s="1"/>
      <c r="J54" s="1"/>
      <c r="K54" s="1"/>
      <c r="L54" s="1">
        <v>2080</v>
      </c>
      <c r="M54" s="1"/>
      <c r="O54" s="1">
        <v>2080</v>
      </c>
      <c r="P54" s="1"/>
      <c r="Q54" s="1">
        <v>2080</v>
      </c>
      <c r="R54" s="1"/>
      <c r="S54" s="1"/>
      <c r="T54" s="1">
        <v>2080</v>
      </c>
      <c r="U54" s="1">
        <v>2080</v>
      </c>
      <c r="V54" s="1"/>
      <c r="W54" s="1">
        <v>2080</v>
      </c>
      <c r="X54" s="1"/>
      <c r="Y54" s="1">
        <v>2080</v>
      </c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30"/>
      <c r="D55" s="11" t="s">
        <v>64</v>
      </c>
      <c r="E55" s="31" t="s">
        <v>74</v>
      </c>
      <c r="F55" s="12">
        <f t="shared" si="3"/>
        <v>2000</v>
      </c>
      <c r="G55" s="12">
        <f t="shared" si="0"/>
        <v>2080</v>
      </c>
      <c r="H55" s="29">
        <v>0</v>
      </c>
      <c r="I55" s="1"/>
      <c r="J55" s="1"/>
      <c r="K55" s="1"/>
      <c r="L55" s="33">
        <v>2080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30"/>
      <c r="D56" s="11" t="s">
        <v>64</v>
      </c>
      <c r="E56" s="31" t="s">
        <v>75</v>
      </c>
      <c r="F56" s="12">
        <f t="shared" si="3"/>
        <v>4000</v>
      </c>
      <c r="G56" s="12">
        <f t="shared" si="0"/>
        <v>4160</v>
      </c>
      <c r="H56" s="29">
        <v>0</v>
      </c>
      <c r="I56" s="1">
        <v>1040</v>
      </c>
      <c r="J56" s="1"/>
      <c r="K56" s="1"/>
      <c r="L56" s="1">
        <v>1040</v>
      </c>
      <c r="M56" s="1"/>
      <c r="N56" s="1"/>
      <c r="O56" s="1"/>
      <c r="P56" s="1"/>
      <c r="Q56" s="1"/>
      <c r="R56" s="1"/>
      <c r="S56" s="1">
        <v>1040</v>
      </c>
      <c r="T56" s="1"/>
      <c r="U56" s="1"/>
      <c r="V56" s="1"/>
      <c r="W56" s="1"/>
      <c r="X56" s="1">
        <v>1040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B57" s="30"/>
      <c r="D57" s="11" t="s">
        <v>64</v>
      </c>
      <c r="E57" s="31" t="s">
        <v>76</v>
      </c>
      <c r="F57" s="12">
        <f t="shared" si="3"/>
        <v>0</v>
      </c>
      <c r="G57" s="12">
        <f t="shared" si="0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B58" s="23"/>
      <c r="D58" s="11" t="s">
        <v>77</v>
      </c>
      <c r="E58" s="18" t="s">
        <v>78</v>
      </c>
      <c r="F58" s="12">
        <f t="shared" si="3"/>
        <v>4000</v>
      </c>
      <c r="G58" s="12">
        <f t="shared" si="0"/>
        <v>4160</v>
      </c>
      <c r="H58" s="29">
        <v>0</v>
      </c>
      <c r="I58" s="1"/>
      <c r="J58" s="1"/>
      <c r="K58" s="1"/>
      <c r="L58" s="1"/>
      <c r="M58" s="1"/>
      <c r="N58" s="1"/>
      <c r="O58" s="1"/>
      <c r="P58" s="1"/>
      <c r="Q58" s="1">
        <v>2080</v>
      </c>
      <c r="R58" s="1"/>
      <c r="S58" s="1"/>
      <c r="T58" s="1"/>
      <c r="U58" s="1"/>
      <c r="V58" s="1">
        <v>2080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23"/>
      <c r="D59" s="11" t="s">
        <v>77</v>
      </c>
      <c r="E59" s="18" t="s">
        <v>79</v>
      </c>
      <c r="F59" s="12">
        <f t="shared" si="3"/>
        <v>20000</v>
      </c>
      <c r="G59" s="12">
        <f t="shared" si="0"/>
        <v>20800</v>
      </c>
      <c r="H59" s="29">
        <v>0</v>
      </c>
      <c r="I59" s="1"/>
      <c r="J59" s="1">
        <v>5200</v>
      </c>
      <c r="K59" s="1"/>
      <c r="L59" s="1"/>
      <c r="M59" s="1"/>
      <c r="N59" s="1"/>
      <c r="O59" s="1">
        <v>5200</v>
      </c>
      <c r="P59" s="1"/>
      <c r="Q59" s="1"/>
      <c r="R59" s="1"/>
      <c r="S59" s="1"/>
      <c r="T59" s="1">
        <v>5200</v>
      </c>
      <c r="U59" s="1"/>
      <c r="V59" s="1"/>
      <c r="W59" s="1">
        <v>5200</v>
      </c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B60" s="23"/>
      <c r="D60" s="11" t="s">
        <v>77</v>
      </c>
      <c r="E60" s="18" t="s">
        <v>80</v>
      </c>
      <c r="F60" s="12">
        <f t="shared" si="3"/>
        <v>15000</v>
      </c>
      <c r="G60" s="12">
        <f t="shared" si="0"/>
        <v>15600</v>
      </c>
      <c r="H60" s="29">
        <v>0</v>
      </c>
      <c r="I60" s="1"/>
      <c r="J60" s="1"/>
      <c r="K60" s="1"/>
      <c r="L60" s="1"/>
      <c r="M60" s="1">
        <v>5200</v>
      </c>
      <c r="N60" s="1"/>
      <c r="O60" s="1"/>
      <c r="P60" s="1"/>
      <c r="Q60" s="1"/>
      <c r="R60" s="1"/>
      <c r="S60" s="1">
        <v>5200</v>
      </c>
      <c r="T60" s="1"/>
      <c r="U60" s="1"/>
      <c r="V60" s="1"/>
      <c r="W60" s="1"/>
      <c r="X60" s="1"/>
      <c r="Y60" s="1"/>
      <c r="Z60" s="1">
        <v>5200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B61" s="23"/>
      <c r="D61" s="11" t="s">
        <v>77</v>
      </c>
      <c r="E61" s="18" t="s">
        <v>81</v>
      </c>
      <c r="F61" s="12">
        <f t="shared" si="3"/>
        <v>5000</v>
      </c>
      <c r="G61" s="12">
        <f t="shared" si="0"/>
        <v>6240</v>
      </c>
      <c r="H61" s="29">
        <v>-1000</v>
      </c>
      <c r="I61" s="1"/>
      <c r="J61" s="1"/>
      <c r="K61" s="1">
        <v>2080</v>
      </c>
      <c r="L61" s="1"/>
      <c r="M61" s="1"/>
      <c r="N61" s="1">
        <v>2080</v>
      </c>
      <c r="O61" s="1"/>
      <c r="P61" s="1"/>
      <c r="Q61" s="1"/>
      <c r="R61" s="1"/>
      <c r="S61" s="1"/>
      <c r="T61" s="1"/>
      <c r="U61" s="1"/>
      <c r="V61" s="1"/>
      <c r="W61" s="1"/>
      <c r="X61" s="1">
        <v>2080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30"/>
      <c r="D62" s="11" t="s">
        <v>82</v>
      </c>
      <c r="E62" s="31" t="s">
        <v>83</v>
      </c>
      <c r="F62" s="12">
        <f t="shared" si="3"/>
        <v>25000</v>
      </c>
      <c r="G62" s="12">
        <f t="shared" si="0"/>
        <v>26000</v>
      </c>
      <c r="H62" s="29">
        <v>0</v>
      </c>
      <c r="I62" s="1">
        <v>5200</v>
      </c>
      <c r="J62" s="1"/>
      <c r="K62" s="1"/>
      <c r="L62" s="1">
        <v>5200</v>
      </c>
      <c r="M62" s="1"/>
      <c r="N62" s="1">
        <v>5200</v>
      </c>
      <c r="P62" s="1"/>
      <c r="Q62" s="1"/>
      <c r="R62" s="1"/>
      <c r="S62" s="1"/>
      <c r="T62" s="1"/>
      <c r="U62" s="1">
        <v>5200</v>
      </c>
      <c r="V62" s="1"/>
      <c r="W62" s="1"/>
      <c r="X62" s="1"/>
      <c r="Y62" s="1">
        <v>5200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B63" s="30"/>
      <c r="D63" s="11" t="s">
        <v>82</v>
      </c>
      <c r="E63" s="31" t="s">
        <v>84</v>
      </c>
      <c r="F63" s="12">
        <f t="shared" si="3"/>
        <v>1100</v>
      </c>
      <c r="G63" s="12">
        <f t="shared" si="0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23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5000</v>
      </c>
      <c r="G64" s="12">
        <f t="shared" si="0"/>
        <v>5200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>
        <v>5200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23"/>
      <c r="C65" s="11">
        <v>685671039</v>
      </c>
      <c r="D65" s="11" t="s">
        <v>88</v>
      </c>
      <c r="E65" s="11" t="s">
        <v>89</v>
      </c>
      <c r="F65" s="12">
        <f t="shared" si="3"/>
        <v>10000</v>
      </c>
      <c r="G65" s="12">
        <f t="shared" si="0"/>
        <v>8320</v>
      </c>
      <c r="H65" s="24">
        <v>2000</v>
      </c>
      <c r="I65" s="1"/>
      <c r="J65" s="1"/>
      <c r="K65" s="1">
        <v>2080</v>
      </c>
      <c r="L65" s="1"/>
      <c r="M65" s="1"/>
      <c r="N65" s="1"/>
      <c r="O65" s="1"/>
      <c r="P65" s="1"/>
      <c r="Q65" s="1"/>
      <c r="R65" s="1"/>
      <c r="S65" s="1"/>
      <c r="T65" s="1">
        <v>2080</v>
      </c>
      <c r="U65" s="1"/>
      <c r="V65" s="1"/>
      <c r="W65" s="1">
        <v>2080</v>
      </c>
      <c r="X65" s="1"/>
      <c r="Y65" s="1"/>
      <c r="Z65" s="1">
        <v>2080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30"/>
      <c r="D66" s="11" t="s">
        <v>88</v>
      </c>
      <c r="E66" s="31" t="s">
        <v>90</v>
      </c>
      <c r="F66" s="12">
        <f t="shared" si="3"/>
        <v>12000</v>
      </c>
      <c r="G66" s="12">
        <f t="shared" ref="G66:G96" si="4">SUM(I66:AM66)</f>
        <v>6240</v>
      </c>
      <c r="H66" s="29">
        <v>6000</v>
      </c>
      <c r="I66" s="1"/>
      <c r="J66" s="1"/>
      <c r="K66" s="1">
        <v>2080</v>
      </c>
      <c r="L66" s="1"/>
      <c r="M66" s="1"/>
      <c r="N66" s="1"/>
      <c r="O66" s="1">
        <v>2080</v>
      </c>
      <c r="P66" s="1"/>
      <c r="Q66" s="1"/>
      <c r="R66" s="1"/>
      <c r="S66" s="1"/>
      <c r="T66" s="1"/>
      <c r="U66" s="1"/>
      <c r="V66" s="1"/>
      <c r="W66" s="33">
        <v>2080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B67" s="30"/>
      <c r="D67" s="11" t="s">
        <v>91</v>
      </c>
      <c r="E67" s="31" t="s">
        <v>92</v>
      </c>
      <c r="F67" s="12">
        <f t="shared" si="3"/>
        <v>4000</v>
      </c>
      <c r="G67" s="12">
        <f t="shared" si="4"/>
        <v>4160</v>
      </c>
      <c r="H67" s="29">
        <v>0</v>
      </c>
      <c r="I67" s="1"/>
      <c r="J67" s="1"/>
      <c r="K67" s="1">
        <v>2080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>
        <v>2080</v>
      </c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B68" s="23"/>
      <c r="D68" s="11" t="s">
        <v>93</v>
      </c>
      <c r="E68" s="18" t="s">
        <v>94</v>
      </c>
      <c r="F68" s="12">
        <f t="shared" si="3"/>
        <v>10000</v>
      </c>
      <c r="G68" s="12">
        <f t="shared" si="4"/>
        <v>10400</v>
      </c>
      <c r="H68" s="29">
        <v>0</v>
      </c>
      <c r="I68" s="1"/>
      <c r="J68" s="1"/>
      <c r="K68" s="1">
        <v>2080</v>
      </c>
      <c r="L68" s="1"/>
      <c r="M68" s="1"/>
      <c r="N68" s="1">
        <v>2080</v>
      </c>
      <c r="O68" s="1"/>
      <c r="P68" s="1"/>
      <c r="Q68" s="1"/>
      <c r="R68" s="1"/>
      <c r="S68" s="1">
        <v>2080</v>
      </c>
      <c r="T68" s="1"/>
      <c r="U68" s="1">
        <v>2080</v>
      </c>
      <c r="V68" s="1"/>
      <c r="W68" s="1"/>
      <c r="X68" s="1"/>
      <c r="Y68" s="1"/>
      <c r="Z68" s="1"/>
      <c r="AA68" s="1">
        <v>2080</v>
      </c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B69" s="23"/>
      <c r="D69" s="11" t="s">
        <v>93</v>
      </c>
      <c r="E69" s="18" t="s">
        <v>95</v>
      </c>
      <c r="F69" s="12">
        <f t="shared" si="3"/>
        <v>7500</v>
      </c>
      <c r="G69" s="12">
        <f t="shared" si="4"/>
        <v>8320</v>
      </c>
      <c r="H69" s="29">
        <v>-500</v>
      </c>
      <c r="I69" s="1"/>
      <c r="J69" s="1">
        <v>2080</v>
      </c>
      <c r="K69" s="1"/>
      <c r="L69" s="1"/>
      <c r="M69" s="1">
        <v>2080</v>
      </c>
      <c r="O69" s="1"/>
      <c r="P69" s="1"/>
      <c r="Q69" s="1"/>
      <c r="R69" s="1"/>
      <c r="S69" s="1"/>
      <c r="T69" s="1"/>
      <c r="U69" s="1"/>
      <c r="V69" s="1"/>
      <c r="W69" s="1">
        <v>2080</v>
      </c>
      <c r="X69" s="1"/>
      <c r="Y69" s="1"/>
      <c r="Z69" s="1">
        <v>2080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B70" s="23"/>
      <c r="D70" s="11" t="s">
        <v>93</v>
      </c>
      <c r="E70" s="18" t="s">
        <v>96</v>
      </c>
      <c r="F70" s="12">
        <f t="shared" si="3"/>
        <v>2000</v>
      </c>
      <c r="G70" s="12">
        <f t="shared" si="4"/>
        <v>2080</v>
      </c>
      <c r="H70" s="29">
        <v>0</v>
      </c>
      <c r="I70" s="1">
        <v>2080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B71" s="23"/>
      <c r="D71" s="11" t="s">
        <v>93</v>
      </c>
      <c r="E71" s="18" t="s">
        <v>97</v>
      </c>
      <c r="F71" s="12">
        <f t="shared" si="3"/>
        <v>3000</v>
      </c>
      <c r="G71" s="12">
        <f t="shared" si="4"/>
        <v>3120</v>
      </c>
      <c r="H71" s="29">
        <v>0</v>
      </c>
      <c r="I71" s="1"/>
      <c r="J71" s="1"/>
      <c r="K71" s="1">
        <v>1040</v>
      </c>
      <c r="L71" s="1"/>
      <c r="M71" s="1"/>
      <c r="N71" s="1"/>
      <c r="O71" s="1"/>
      <c r="P71" s="1"/>
      <c r="Q71" s="1"/>
      <c r="R71" s="1">
        <v>1040</v>
      </c>
      <c r="S71" s="1"/>
      <c r="T71" s="1"/>
      <c r="U71" s="1"/>
      <c r="V71" s="1"/>
      <c r="W71" s="1"/>
      <c r="X71" s="1">
        <v>1040</v>
      </c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B72" s="23"/>
      <c r="D72" s="11" t="s">
        <v>93</v>
      </c>
      <c r="E72" s="18" t="s">
        <v>98</v>
      </c>
      <c r="F72" s="12">
        <f t="shared" si="3"/>
        <v>40000</v>
      </c>
      <c r="G72" s="12">
        <f t="shared" si="4"/>
        <v>36400</v>
      </c>
      <c r="H72" s="29">
        <v>5000</v>
      </c>
      <c r="I72" s="1"/>
      <c r="J72" s="1">
        <v>5200</v>
      </c>
      <c r="K72" s="1">
        <v>5200</v>
      </c>
      <c r="L72" s="1"/>
      <c r="M72" s="1"/>
      <c r="N72" s="1">
        <v>5200</v>
      </c>
      <c r="O72" s="1"/>
      <c r="P72" s="1"/>
      <c r="Q72" s="1">
        <v>5200</v>
      </c>
      <c r="R72" s="1"/>
      <c r="S72" s="1"/>
      <c r="T72" s="1">
        <v>5200</v>
      </c>
      <c r="U72" s="1"/>
      <c r="V72" s="1"/>
      <c r="W72" s="1">
        <v>5200</v>
      </c>
      <c r="X72" s="1"/>
      <c r="Y72" s="1"/>
      <c r="Z72" s="1">
        <v>5200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B73" s="23"/>
      <c r="D73" s="11" t="s">
        <v>93</v>
      </c>
      <c r="E73" s="18" t="s">
        <v>99</v>
      </c>
      <c r="F73" s="12">
        <f t="shared" si="3"/>
        <v>18000</v>
      </c>
      <c r="G73" s="12">
        <f t="shared" si="4"/>
        <v>15600</v>
      </c>
      <c r="H73" s="29">
        <v>3000</v>
      </c>
      <c r="I73" s="1"/>
      <c r="J73" s="1">
        <v>3120</v>
      </c>
      <c r="K73" s="1"/>
      <c r="L73" s="1"/>
      <c r="M73" s="1">
        <v>3120</v>
      </c>
      <c r="N73" s="1"/>
      <c r="O73" s="1"/>
      <c r="P73" s="1">
        <v>3120</v>
      </c>
      <c r="Q73" s="1"/>
      <c r="R73" s="1"/>
      <c r="S73" s="1">
        <v>3120</v>
      </c>
      <c r="T73" s="1"/>
      <c r="U73" s="1"/>
      <c r="V73" s="1"/>
      <c r="W73" s="1"/>
      <c r="X73" s="1">
        <v>3120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30"/>
      <c r="D74" s="11" t="s">
        <v>93</v>
      </c>
      <c r="E74" s="31" t="s">
        <v>100</v>
      </c>
      <c r="F74" s="12">
        <f t="shared" si="3"/>
        <v>8000</v>
      </c>
      <c r="G74" s="12">
        <f t="shared" si="4"/>
        <v>8320</v>
      </c>
      <c r="H74" s="29">
        <v>0</v>
      </c>
      <c r="I74" s="1"/>
      <c r="J74" s="1">
        <v>2080</v>
      </c>
      <c r="K74" s="1"/>
      <c r="L74" s="1"/>
      <c r="M74" s="1"/>
      <c r="N74" s="1">
        <v>2080</v>
      </c>
      <c r="O74" s="1"/>
      <c r="P74" s="1"/>
      <c r="Q74" s="1"/>
      <c r="R74" s="1"/>
      <c r="S74" s="1">
        <v>2080</v>
      </c>
      <c r="T74" s="1"/>
      <c r="U74" s="1"/>
      <c r="V74" s="1"/>
      <c r="W74" s="1"/>
      <c r="X74" s="1"/>
      <c r="Y74" s="1"/>
      <c r="Z74" s="1"/>
      <c r="AA74" s="1">
        <v>2080</v>
      </c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B75" s="23"/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B76" s="30"/>
      <c r="D76" s="11" t="s">
        <v>93</v>
      </c>
      <c r="E76" s="31" t="s">
        <v>102</v>
      </c>
      <c r="F76" s="12">
        <f t="shared" si="3"/>
        <v>2000</v>
      </c>
      <c r="G76" s="12">
        <f t="shared" si="4"/>
        <v>2080</v>
      </c>
      <c r="H76" s="29">
        <v>0</v>
      </c>
      <c r="I76" s="1"/>
      <c r="J76" s="1"/>
      <c r="K76" s="1"/>
      <c r="L76" s="1"/>
      <c r="M76" s="1">
        <v>2080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23"/>
      <c r="D77" s="11" t="s">
        <v>103</v>
      </c>
      <c r="E77" s="18" t="s">
        <v>104</v>
      </c>
      <c r="F77" s="12">
        <f t="shared" si="3"/>
        <v>12000</v>
      </c>
      <c r="G77" s="12">
        <f t="shared" si="4"/>
        <v>12480</v>
      </c>
      <c r="H77" s="29">
        <v>0</v>
      </c>
      <c r="I77" s="1">
        <v>2080</v>
      </c>
      <c r="J77" s="1"/>
      <c r="K77" s="1">
        <v>1040</v>
      </c>
      <c r="L77" s="1"/>
      <c r="M77" s="1">
        <v>1040</v>
      </c>
      <c r="N77" s="1"/>
      <c r="O77" s="1"/>
      <c r="P77" s="1"/>
      <c r="Q77" s="1"/>
      <c r="R77" s="1">
        <v>1040</v>
      </c>
      <c r="S77" s="1">
        <v>1040</v>
      </c>
      <c r="T77" s="1">
        <v>1040</v>
      </c>
      <c r="U77" s="1">
        <v>1040</v>
      </c>
      <c r="V77" s="1"/>
      <c r="W77" s="1">
        <v>1040</v>
      </c>
      <c r="X77" s="1"/>
      <c r="Y77" s="1">
        <v>1040</v>
      </c>
      <c r="Z77" s="1">
        <v>1040</v>
      </c>
      <c r="AA77" s="1">
        <v>1040</v>
      </c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23"/>
      <c r="D78" s="11" t="s">
        <v>103</v>
      </c>
      <c r="E78" s="18" t="s">
        <v>105</v>
      </c>
      <c r="F78" s="12">
        <f t="shared" si="3"/>
        <v>21000</v>
      </c>
      <c r="G78" s="12">
        <f t="shared" si="4"/>
        <v>18720</v>
      </c>
      <c r="H78" s="29">
        <v>3000</v>
      </c>
      <c r="I78" s="1"/>
      <c r="J78" s="1"/>
      <c r="K78" s="1"/>
      <c r="L78" s="1">
        <v>3120</v>
      </c>
      <c r="M78" s="1">
        <v>3120</v>
      </c>
      <c r="N78" s="1"/>
      <c r="O78" s="1"/>
      <c r="P78" s="1"/>
      <c r="Q78" s="1">
        <v>3120</v>
      </c>
      <c r="R78" s="1"/>
      <c r="S78" s="1">
        <v>3120</v>
      </c>
      <c r="U78" s="1"/>
      <c r="V78" s="1">
        <v>3120</v>
      </c>
      <c r="W78" s="1"/>
      <c r="X78" s="1"/>
      <c r="Y78" s="1">
        <v>3120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23"/>
      <c r="D79" s="11" t="s">
        <v>103</v>
      </c>
      <c r="E79" s="18" t="s">
        <v>106</v>
      </c>
      <c r="F79" s="12">
        <f t="shared" si="3"/>
        <v>10000</v>
      </c>
      <c r="G79" s="12">
        <f t="shared" si="4"/>
        <v>8320</v>
      </c>
      <c r="H79" s="29">
        <v>2000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>
        <v>2080</v>
      </c>
      <c r="W79" s="1"/>
      <c r="X79" s="1"/>
      <c r="Y79" s="1"/>
      <c r="Z79" s="1">
        <v>2080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B80" s="30"/>
      <c r="E80" s="31" t="s">
        <v>107</v>
      </c>
      <c r="F80" s="12">
        <f t="shared" si="3"/>
        <v>67000</v>
      </c>
      <c r="G80" s="12">
        <f t="shared" si="4"/>
        <v>6240</v>
      </c>
      <c r="H80" s="29">
        <v>61000</v>
      </c>
      <c r="I80" s="1"/>
      <c r="J80" s="1">
        <v>2080</v>
      </c>
      <c r="K80" s="33">
        <v>4160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30"/>
      <c r="D81" s="11" t="s">
        <v>108</v>
      </c>
      <c r="E81" s="31" t="s">
        <v>109</v>
      </c>
      <c r="F81" s="12">
        <f t="shared" si="3"/>
        <v>6000</v>
      </c>
      <c r="G81" s="12">
        <f t="shared" si="4"/>
        <v>6240</v>
      </c>
      <c r="H81" s="29">
        <v>0</v>
      </c>
      <c r="I81" s="1"/>
      <c r="J81" s="1"/>
      <c r="K81" s="1"/>
      <c r="L81" s="1">
        <v>2080</v>
      </c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/>
      <c r="Y81" s="1"/>
      <c r="Z81" s="1">
        <v>2080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B82" s="30"/>
      <c r="E82" s="31" t="s">
        <v>110</v>
      </c>
      <c r="F82" s="12">
        <f t="shared" si="3"/>
        <v>0</v>
      </c>
      <c r="G82" s="12">
        <f t="shared" si="4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B83" s="30"/>
      <c r="D83" s="11" t="s">
        <v>111</v>
      </c>
      <c r="E83" s="31" t="s">
        <v>112</v>
      </c>
      <c r="F83" s="12">
        <f t="shared" ref="F83:F96" si="5">G83/1.04+H83</f>
        <v>4000</v>
      </c>
      <c r="G83" s="12">
        <f t="shared" si="4"/>
        <v>4160</v>
      </c>
      <c r="H83" s="29">
        <v>0</v>
      </c>
      <c r="I83" s="1">
        <v>2080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>
        <v>2080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B84" s="30"/>
      <c r="E84" s="31" t="s">
        <v>113</v>
      </c>
      <c r="F84" s="12">
        <f t="shared" si="5"/>
        <v>0</v>
      </c>
      <c r="G84" s="12">
        <f t="shared" si="4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30"/>
      <c r="D85" s="11" t="s">
        <v>114</v>
      </c>
      <c r="E85" s="31" t="s">
        <v>115</v>
      </c>
      <c r="F85" s="12">
        <f t="shared" si="5"/>
        <v>20000</v>
      </c>
      <c r="G85" s="12">
        <f t="shared" si="4"/>
        <v>20800</v>
      </c>
      <c r="H85" s="29">
        <v>0</v>
      </c>
      <c r="I85" s="1">
        <v>5200</v>
      </c>
      <c r="J85" s="1"/>
      <c r="K85" s="1"/>
      <c r="L85" s="1"/>
      <c r="M85" s="1"/>
      <c r="N85" s="1"/>
      <c r="O85" s="1">
        <v>5200</v>
      </c>
      <c r="P85" s="1"/>
      <c r="Q85" s="1"/>
      <c r="R85" s="1"/>
      <c r="S85" s="1">
        <v>5200</v>
      </c>
      <c r="T85" s="1"/>
      <c r="U85" s="1"/>
      <c r="V85" s="1"/>
      <c r="W85" s="1"/>
      <c r="X85" s="1">
        <v>5200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B86" s="23"/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9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5200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2">
        <f t="shared" si="5"/>
        <v>0</v>
      </c>
      <c r="G87" s="12">
        <f t="shared" si="4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B88" s="30"/>
      <c r="D88" s="11" t="s">
        <v>118</v>
      </c>
      <c r="E88" s="31" t="s">
        <v>119</v>
      </c>
      <c r="F88" s="12">
        <f t="shared" si="5"/>
        <v>4000</v>
      </c>
      <c r="G88" s="12">
        <f t="shared" si="4"/>
        <v>4160</v>
      </c>
      <c r="H88" s="29">
        <v>0</v>
      </c>
      <c r="I88" s="1"/>
      <c r="J88" s="1"/>
      <c r="K88" s="1"/>
      <c r="L88" s="1"/>
      <c r="M88" s="1"/>
      <c r="N88" s="1"/>
      <c r="O88" s="1">
        <v>2080</v>
      </c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B89" s="30"/>
      <c r="E89" s="31" t="s">
        <v>120</v>
      </c>
      <c r="F89" s="12">
        <f t="shared" si="5"/>
        <v>0</v>
      </c>
      <c r="G89" s="12">
        <f t="shared" si="4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30"/>
      <c r="E90" s="31" t="s">
        <v>121</v>
      </c>
      <c r="F90" s="12">
        <f t="shared" si="5"/>
        <v>3000</v>
      </c>
      <c r="G90" s="12">
        <f t="shared" si="4"/>
        <v>3120</v>
      </c>
      <c r="H90" s="29">
        <v>0</v>
      </c>
      <c r="I90" s="1"/>
      <c r="J90" s="33">
        <v>1040</v>
      </c>
      <c r="K90" s="1"/>
      <c r="L90" s="1"/>
      <c r="M90" s="1"/>
      <c r="N90" s="1"/>
      <c r="O90" s="1"/>
      <c r="P90" s="1"/>
      <c r="Q90" s="1"/>
      <c r="R90" s="1"/>
      <c r="S90" s="33">
        <v>1040</v>
      </c>
      <c r="T90" s="1"/>
      <c r="U90" s="1"/>
      <c r="V90" s="1"/>
      <c r="W90" s="1"/>
      <c r="X90" s="1"/>
      <c r="Y90" s="1"/>
      <c r="Z90" s="1"/>
      <c r="AA90" s="33">
        <v>1040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B91" s="30"/>
      <c r="E91" s="31" t="s">
        <v>122</v>
      </c>
      <c r="F91" s="12">
        <f t="shared" si="5"/>
        <v>0</v>
      </c>
      <c r="G91" s="12">
        <f t="shared" si="4"/>
        <v>0</v>
      </c>
      <c r="H91" s="29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B92" s="23"/>
      <c r="E92" s="18" t="s">
        <v>123</v>
      </c>
      <c r="F92" s="12">
        <f t="shared" si="5"/>
        <v>5000</v>
      </c>
      <c r="G92" s="12">
        <f t="shared" si="4"/>
        <v>5200</v>
      </c>
      <c r="H92" s="29">
        <v>0</v>
      </c>
      <c r="I92" s="1"/>
      <c r="J92" s="1"/>
      <c r="K92" s="1">
        <v>1040</v>
      </c>
      <c r="L92" s="1">
        <v>1040</v>
      </c>
      <c r="M92" s="1">
        <v>1040</v>
      </c>
      <c r="N92" s="1"/>
      <c r="O92" s="1"/>
      <c r="P92" s="1"/>
      <c r="Q92" s="1">
        <v>1040</v>
      </c>
      <c r="R92" s="1"/>
      <c r="S92" s="1"/>
      <c r="T92" s="1"/>
      <c r="U92" s="1"/>
      <c r="V92" s="1"/>
      <c r="W92" s="1"/>
      <c r="X92" s="1"/>
      <c r="Y92" s="1"/>
      <c r="Z92" s="1">
        <v>1040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B93" s="23"/>
      <c r="E93" s="18" t="s">
        <v>124</v>
      </c>
      <c r="F93" s="12">
        <f t="shared" si="5"/>
        <v>0</v>
      </c>
      <c r="G93" s="12">
        <f t="shared" si="4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B94" s="23"/>
      <c r="D94" s="11" t="s">
        <v>125</v>
      </c>
      <c r="E94" s="18" t="s">
        <v>126</v>
      </c>
      <c r="F94" s="12">
        <f t="shared" si="5"/>
        <v>4000</v>
      </c>
      <c r="G94" s="12">
        <f t="shared" si="4"/>
        <v>3120</v>
      </c>
      <c r="H94" s="29">
        <v>1000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>
        <v>1040</v>
      </c>
      <c r="U94" s="1"/>
      <c r="V94" s="1"/>
      <c r="W94" s="1"/>
      <c r="X94" s="1"/>
      <c r="Y94" s="1"/>
      <c r="Z94" s="1">
        <v>1040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B95" s="23"/>
      <c r="E95" s="18" t="s">
        <v>127</v>
      </c>
      <c r="F95" s="12">
        <f t="shared" si="5"/>
        <v>0</v>
      </c>
      <c r="G95" s="12">
        <f t="shared" si="4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B96" s="23"/>
      <c r="E96" s="18" t="s">
        <v>128</v>
      </c>
      <c r="F96" s="12">
        <f t="shared" si="5"/>
        <v>0</v>
      </c>
      <c r="G96" s="12">
        <f t="shared" si="4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1" customFormat="1" spans="2:8">
      <c r="B97" s="23"/>
      <c r="H97" s="24"/>
    </row>
    <row r="98" s="11" customFormat="1" spans="2:8">
      <c r="B98" s="23"/>
      <c r="H98" s="24"/>
    </row>
    <row r="99" s="11" customFormat="1" spans="2:8">
      <c r="B99" s="23"/>
      <c r="H99" s="24"/>
    </row>
    <row r="100" s="11" customFormat="1" spans="2:8">
      <c r="B100" s="23"/>
      <c r="H100" s="24"/>
    </row>
    <row r="101" s="11" customFormat="1" spans="2:8">
      <c r="B101" s="23"/>
      <c r="H101" s="24"/>
    </row>
    <row r="102" s="11" customFormat="1" spans="2:8">
      <c r="B102" s="23"/>
      <c r="H102" s="24"/>
    </row>
    <row r="103" s="11" customFormat="1" spans="2:8">
      <c r="B103" s="23"/>
      <c r="H103" s="24"/>
    </row>
    <row r="104" s="11" customFormat="1" spans="2:8">
      <c r="B104" s="23"/>
      <c r="H104" s="24"/>
    </row>
    <row r="105" s="11" customFormat="1" spans="2:8">
      <c r="B105" s="23"/>
      <c r="H105" s="24"/>
    </row>
    <row r="106" s="11" customFormat="1" spans="2:8">
      <c r="B106" s="23"/>
      <c r="H106" s="24"/>
    </row>
    <row r="107" s="11" customFormat="1" spans="2:8">
      <c r="B107" s="23"/>
      <c r="H107" s="24"/>
    </row>
    <row r="108" s="11" customFormat="1" spans="2:8">
      <c r="B108" s="23"/>
      <c r="H108" s="24"/>
    </row>
    <row r="109" s="11" customFormat="1" spans="2:8">
      <c r="B109" s="23"/>
      <c r="H109" s="24"/>
    </row>
    <row r="110" s="11" customFormat="1" spans="2:8">
      <c r="B110" s="23"/>
      <c r="H110" s="24"/>
    </row>
    <row r="111" s="11" customFormat="1" spans="2:8">
      <c r="B111" s="23"/>
      <c r="H111" s="24"/>
    </row>
    <row r="112" s="11" customFormat="1" spans="2:8">
      <c r="B112" s="23"/>
      <c r="H112" s="24"/>
    </row>
    <row r="113" s="11" customFormat="1" spans="2:8">
      <c r="B113" s="23"/>
      <c r="H113" s="24"/>
    </row>
    <row r="114" s="11" customFormat="1" spans="2:8">
      <c r="B114" s="23"/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S37" activePane="bottomRight" state="frozen"/>
      <selection/>
      <selection pane="topRight"/>
      <selection pane="bottomLeft"/>
      <selection pane="bottomRight" activeCell="G42" sqref="G42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2" customFormat="1" spans="1:38">
      <c r="A2" s="14"/>
      <c r="B2" s="14"/>
      <c r="C2" s="14"/>
      <c r="D2" s="14"/>
      <c r="E2" s="14"/>
      <c r="F2" s="15">
        <f>SUM(H3:H121)</f>
        <v>773300</v>
      </c>
      <c r="G2" s="16" t="s">
        <v>8</v>
      </c>
      <c r="H2" s="17">
        <f t="shared" ref="H2:H65" si="0">SUM(I2:AM2)</f>
        <v>773300</v>
      </c>
      <c r="I2" s="12">
        <f t="shared" ref="I2:AJ2" si="1">SUM(I3:I121)</f>
        <v>41000</v>
      </c>
      <c r="J2" s="12">
        <f t="shared" si="1"/>
        <v>52000</v>
      </c>
      <c r="K2" s="12">
        <f t="shared" si="1"/>
        <v>53400</v>
      </c>
      <c r="L2" s="12">
        <f t="shared" si="1"/>
        <v>2000</v>
      </c>
      <c r="M2" s="12">
        <f t="shared" si="1"/>
        <v>41100</v>
      </c>
      <c r="N2" s="12">
        <f t="shared" si="1"/>
        <v>81000</v>
      </c>
      <c r="O2" s="12">
        <f t="shared" si="1"/>
        <v>73300</v>
      </c>
      <c r="P2" s="12">
        <f t="shared" si="1"/>
        <v>34000</v>
      </c>
      <c r="Q2" s="12">
        <f t="shared" si="1"/>
        <v>40500</v>
      </c>
      <c r="R2" s="12">
        <f t="shared" si="1"/>
        <v>58000</v>
      </c>
      <c r="S2" s="12">
        <f t="shared" si="1"/>
        <v>8000</v>
      </c>
      <c r="T2" s="12">
        <f t="shared" si="1"/>
        <v>44200</v>
      </c>
      <c r="U2" s="12">
        <f t="shared" si="1"/>
        <v>82300</v>
      </c>
      <c r="V2" s="12">
        <f t="shared" si="1"/>
        <v>9000</v>
      </c>
      <c r="W2" s="12">
        <f t="shared" si="1"/>
        <v>31500</v>
      </c>
      <c r="X2" s="12">
        <f t="shared" si="1"/>
        <v>1000</v>
      </c>
      <c r="Y2" s="12">
        <f t="shared" si="1"/>
        <v>102500</v>
      </c>
      <c r="Z2" s="12">
        <f t="shared" si="1"/>
        <v>18500</v>
      </c>
      <c r="AA2" s="12">
        <f t="shared" si="1"/>
        <v>0</v>
      </c>
      <c r="AB2" s="21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>SUM(AK97:AK121)</f>
        <v>0</v>
      </c>
      <c r="AL2" s="12">
        <f>SUM(AL3:AL121)</f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6000</v>
      </c>
      <c r="I3" s="1"/>
      <c r="J3" s="1"/>
      <c r="K3" s="1"/>
      <c r="L3" s="1"/>
      <c r="M3" s="1"/>
      <c r="N3" s="1"/>
      <c r="O3" s="1"/>
      <c r="P3" s="1"/>
      <c r="Q3" s="20">
        <v>3000</v>
      </c>
      <c r="R3" s="1"/>
      <c r="S3" s="1"/>
      <c r="T3" s="1"/>
      <c r="U3" s="20">
        <v>3000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6500</v>
      </c>
      <c r="I4" s="1"/>
      <c r="J4" s="20">
        <v>2000</v>
      </c>
      <c r="K4" s="1"/>
      <c r="L4" s="1"/>
      <c r="M4" s="1"/>
      <c r="N4" s="1"/>
      <c r="O4" s="1"/>
      <c r="P4" s="20">
        <v>2500</v>
      </c>
      <c r="Q4" s="1"/>
      <c r="R4" s="1"/>
      <c r="S4" s="1"/>
      <c r="T4" s="20">
        <v>2000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8000</v>
      </c>
      <c r="I5" s="1"/>
      <c r="J5" s="1">
        <v>1000</v>
      </c>
      <c r="K5" s="20">
        <v>1000</v>
      </c>
      <c r="L5" s="1"/>
      <c r="M5" s="1"/>
      <c r="N5" s="1">
        <v>1500</v>
      </c>
      <c r="O5" s="1"/>
      <c r="P5" s="1"/>
      <c r="Q5" s="1"/>
      <c r="R5" s="1"/>
      <c r="S5" s="1"/>
      <c r="T5" s="1"/>
      <c r="U5" s="1">
        <v>2000</v>
      </c>
      <c r="V5" s="1"/>
      <c r="W5" s="1"/>
      <c r="X5" s="1"/>
      <c r="Y5" s="1"/>
      <c r="Z5" s="20">
        <v>2500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11000</v>
      </c>
      <c r="I6" s="1"/>
      <c r="J6" s="1"/>
      <c r="K6" s="20">
        <v>2000</v>
      </c>
      <c r="L6" s="1"/>
      <c r="M6" s="1"/>
      <c r="N6" s="20">
        <v>2000</v>
      </c>
      <c r="O6" s="1"/>
      <c r="P6" s="20">
        <v>2000</v>
      </c>
      <c r="Q6" s="1"/>
      <c r="R6" s="1"/>
      <c r="S6" s="1"/>
      <c r="T6" s="1"/>
      <c r="U6" s="20">
        <v>3000</v>
      </c>
      <c r="V6" s="1"/>
      <c r="W6" s="1"/>
      <c r="X6" s="1"/>
      <c r="Y6" s="20">
        <v>2000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34000</v>
      </c>
      <c r="I7" s="1"/>
      <c r="J7" s="20">
        <v>7000</v>
      </c>
      <c r="K7" s="1"/>
      <c r="L7" s="1"/>
      <c r="M7" s="1"/>
      <c r="N7" s="1"/>
      <c r="O7" s="20">
        <v>16000</v>
      </c>
      <c r="P7" s="1"/>
      <c r="Q7" s="1"/>
      <c r="R7" s="1"/>
      <c r="S7" s="1"/>
      <c r="T7" s="1"/>
      <c r="U7" s="20">
        <v>10000</v>
      </c>
      <c r="V7" s="1"/>
      <c r="W7" s="1"/>
      <c r="X7" s="20">
        <v>1000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9</v>
      </c>
      <c r="G8" s="18" t="s">
        <v>19</v>
      </c>
      <c r="H8" s="12">
        <f t="shared" si="0"/>
        <v>6000</v>
      </c>
      <c r="I8" s="1">
        <v>2000</v>
      </c>
      <c r="J8" s="1"/>
      <c r="K8" s="1"/>
      <c r="L8" s="1"/>
      <c r="M8" s="1"/>
      <c r="N8" s="1">
        <v>2000</v>
      </c>
      <c r="O8" s="1"/>
      <c r="P8" s="1"/>
      <c r="Q8" s="1"/>
      <c r="R8" s="1"/>
      <c r="S8" s="1"/>
      <c r="T8" s="1"/>
      <c r="U8" s="1">
        <v>2000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9</v>
      </c>
      <c r="G9" s="18" t="s">
        <v>20</v>
      </c>
      <c r="H9" s="12">
        <f t="shared" si="0"/>
        <v>4000</v>
      </c>
      <c r="I9" s="1"/>
      <c r="J9" s="1"/>
      <c r="K9" s="1"/>
      <c r="L9" s="1"/>
      <c r="M9" s="1"/>
      <c r="N9" s="1">
        <v>2000</v>
      </c>
      <c r="O9" s="1"/>
      <c r="P9" s="1"/>
      <c r="Q9" s="1"/>
      <c r="R9" s="1"/>
      <c r="S9" s="1"/>
      <c r="T9" s="1"/>
      <c r="U9" s="1"/>
      <c r="V9" s="1"/>
      <c r="W9" s="1"/>
      <c r="X9" s="1"/>
      <c r="Y9" s="1">
        <v>2000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22500</v>
      </c>
      <c r="I10" s="1">
        <v>5000</v>
      </c>
      <c r="J10" s="1"/>
      <c r="K10" s="1">
        <v>5000</v>
      </c>
      <c r="L10" s="1"/>
      <c r="M10" s="1"/>
      <c r="N10" s="1">
        <v>2500</v>
      </c>
      <c r="O10" s="1"/>
      <c r="P10" s="1"/>
      <c r="Q10" s="1">
        <v>2500</v>
      </c>
      <c r="R10" s="1"/>
      <c r="S10" s="1"/>
      <c r="T10" s="1">
        <v>2500</v>
      </c>
      <c r="U10" s="1">
        <v>2500</v>
      </c>
      <c r="V10" s="1"/>
      <c r="W10" s="1"/>
      <c r="X10" s="1"/>
      <c r="Y10" s="1">
        <v>2500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137</v>
      </c>
      <c r="C11" s="11">
        <v>9</v>
      </c>
      <c r="D11" s="11" t="s">
        <v>137</v>
      </c>
      <c r="E11" s="11">
        <v>9973022718</v>
      </c>
      <c r="F11" s="11" t="s">
        <v>23</v>
      </c>
      <c r="G11" s="18" t="s">
        <v>24</v>
      </c>
      <c r="H11" s="12">
        <f t="shared" si="0"/>
        <v>6000</v>
      </c>
      <c r="I11" s="1"/>
      <c r="J11" s="1"/>
      <c r="K11" s="1"/>
      <c r="L11" s="1"/>
      <c r="M11" s="1"/>
      <c r="N11" s="1">
        <v>2000</v>
      </c>
      <c r="O11" s="1"/>
      <c r="P11" s="1"/>
      <c r="Q11" s="1"/>
      <c r="R11" s="1"/>
      <c r="S11" s="1"/>
      <c r="T11" s="20">
        <v>2000</v>
      </c>
      <c r="U11" s="1"/>
      <c r="V11" s="1"/>
      <c r="W11" s="1"/>
      <c r="X11" s="1"/>
      <c r="Y11" s="20">
        <v>2000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5000</v>
      </c>
      <c r="I12" s="1"/>
      <c r="J12" s="1"/>
      <c r="K12" s="1">
        <v>1400</v>
      </c>
      <c r="L12" s="1"/>
      <c r="M12" s="1">
        <v>1600</v>
      </c>
      <c r="N12" s="1"/>
      <c r="O12" s="1"/>
      <c r="P12" s="1"/>
      <c r="Q12" s="1"/>
      <c r="R12" s="1"/>
      <c r="S12" s="1"/>
      <c r="T12" s="1">
        <v>700</v>
      </c>
      <c r="U12" s="1">
        <v>300</v>
      </c>
      <c r="V12" s="1"/>
      <c r="W12" s="1"/>
      <c r="X12" s="1"/>
      <c r="Y12" s="1">
        <v>1000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138</v>
      </c>
      <c r="E13" s="11">
        <v>8340182577</v>
      </c>
      <c r="F13" s="11" t="s">
        <v>23</v>
      </c>
      <c r="G13" s="18" t="s">
        <v>26</v>
      </c>
      <c r="H13" s="12">
        <f t="shared" si="0"/>
        <v>25000</v>
      </c>
      <c r="I13" s="1"/>
      <c r="J13" s="1"/>
      <c r="K13" s="1"/>
      <c r="L13" s="1"/>
      <c r="M13" s="1">
        <v>5000</v>
      </c>
      <c r="N13" s="20">
        <v>5000</v>
      </c>
      <c r="O13" s="1"/>
      <c r="P13" s="1"/>
      <c r="Q13" s="1"/>
      <c r="R13" s="1"/>
      <c r="S13" s="1"/>
      <c r="T13" s="1"/>
      <c r="U13" s="20">
        <v>10000</v>
      </c>
      <c r="V13" s="1"/>
      <c r="W13" s="1"/>
      <c r="X13" s="1"/>
      <c r="Y13" s="20">
        <v>5000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139</v>
      </c>
      <c r="C14" s="11">
        <v>12</v>
      </c>
      <c r="D14" s="11" t="s">
        <v>140</v>
      </c>
      <c r="E14" s="11">
        <v>7004740439</v>
      </c>
      <c r="F14" s="11" t="s">
        <v>23</v>
      </c>
      <c r="G14" s="18" t="s">
        <v>27</v>
      </c>
      <c r="H14" s="12">
        <f t="shared" si="0"/>
        <v>25000</v>
      </c>
      <c r="I14" s="1">
        <v>2000</v>
      </c>
      <c r="J14" s="1">
        <v>1500</v>
      </c>
      <c r="K14" s="1">
        <v>1000</v>
      </c>
      <c r="L14" s="1"/>
      <c r="M14" s="1"/>
      <c r="N14" s="20">
        <v>1000</v>
      </c>
      <c r="O14" s="1">
        <v>3000</v>
      </c>
      <c r="P14" s="1">
        <v>2000</v>
      </c>
      <c r="Q14" s="1">
        <v>3000</v>
      </c>
      <c r="R14" s="1">
        <v>2000</v>
      </c>
      <c r="S14" s="1"/>
      <c r="T14" s="1">
        <v>3000</v>
      </c>
      <c r="U14" s="1">
        <v>2500</v>
      </c>
      <c r="V14" s="1"/>
      <c r="W14" s="20">
        <v>2500</v>
      </c>
      <c r="X14" s="1"/>
      <c r="Y14" s="1"/>
      <c r="Z14" s="20">
        <v>1500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6000</v>
      </c>
      <c r="I15" s="1">
        <v>2000</v>
      </c>
      <c r="J15" s="1"/>
      <c r="K15" s="1"/>
      <c r="L15" s="1"/>
      <c r="M15" s="1"/>
      <c r="N15" s="1">
        <v>2000</v>
      </c>
      <c r="O15" s="1"/>
      <c r="P15" s="1"/>
      <c r="Q15" s="1"/>
      <c r="R15" s="1"/>
      <c r="S15" s="1"/>
      <c r="T15" s="1"/>
      <c r="U15" s="1">
        <v>2000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141</v>
      </c>
      <c r="C16" s="11">
        <v>14</v>
      </c>
      <c r="D16" s="11" t="s">
        <v>141</v>
      </c>
      <c r="E16" s="11">
        <v>7321004323</v>
      </c>
      <c r="F16" s="11" t="s">
        <v>23</v>
      </c>
      <c r="G16" s="18" t="s">
        <v>30</v>
      </c>
      <c r="H16" s="12">
        <f t="shared" si="0"/>
        <v>1000</v>
      </c>
      <c r="I16" s="1"/>
      <c r="J16" s="1"/>
      <c r="K16" s="1"/>
      <c r="L16" s="1"/>
      <c r="M16" s="1"/>
      <c r="N16" s="1"/>
      <c r="O16" s="1"/>
      <c r="P16" s="1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142</v>
      </c>
      <c r="E17" s="11">
        <v>7903378748</v>
      </c>
      <c r="F17" s="11" t="s">
        <v>23</v>
      </c>
      <c r="G17" s="18" t="s">
        <v>32</v>
      </c>
      <c r="H17" s="12">
        <f t="shared" si="0"/>
        <v>2000</v>
      </c>
      <c r="I17" s="1">
        <v>1000</v>
      </c>
      <c r="J17" s="1"/>
      <c r="K17" s="1"/>
      <c r="L17" s="1"/>
      <c r="M17" s="1"/>
      <c r="N17" s="1"/>
      <c r="O17" s="1"/>
      <c r="P17" s="1"/>
      <c r="Q17" s="1"/>
      <c r="R17" s="1">
        <v>1000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1000</v>
      </c>
      <c r="I18" s="1"/>
      <c r="J18" s="1"/>
      <c r="K18" s="1"/>
      <c r="L18" s="1"/>
      <c r="M18" s="1"/>
      <c r="N18" s="1"/>
      <c r="O18" s="1"/>
      <c r="P18" s="1"/>
      <c r="Q18" s="1">
        <v>1000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143</v>
      </c>
      <c r="C19" s="11">
        <v>17</v>
      </c>
      <c r="D19" s="11" t="s">
        <v>143</v>
      </c>
      <c r="E19" s="11">
        <v>9608475282</v>
      </c>
      <c r="F19" s="11" t="s">
        <v>23</v>
      </c>
      <c r="G19" s="18" t="s">
        <v>35</v>
      </c>
      <c r="H19" s="12">
        <f t="shared" si="0"/>
        <v>9000</v>
      </c>
      <c r="I19" s="1"/>
      <c r="J19" s="1">
        <v>3000</v>
      </c>
      <c r="K19" s="1"/>
      <c r="L19" s="1"/>
      <c r="M19" s="1"/>
      <c r="N19" s="1"/>
      <c r="O19" s="1">
        <v>1000</v>
      </c>
      <c r="P19" s="1">
        <v>2000</v>
      </c>
      <c r="Q19" s="1"/>
      <c r="R19" s="1"/>
      <c r="S19" s="1"/>
      <c r="T19" s="1"/>
      <c r="U19" s="1">
        <v>3000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144</v>
      </c>
      <c r="C20" s="11">
        <v>18</v>
      </c>
      <c r="D20" s="11" t="s">
        <v>144</v>
      </c>
      <c r="E20" s="11">
        <v>9661555592</v>
      </c>
      <c r="F20" s="11" t="s">
        <v>36</v>
      </c>
      <c r="G20" s="18" t="s">
        <v>37</v>
      </c>
      <c r="H20" s="12">
        <f t="shared" si="0"/>
        <v>15000</v>
      </c>
      <c r="I20" s="1"/>
      <c r="J20" s="1">
        <v>10000</v>
      </c>
      <c r="K20" s="1"/>
      <c r="L20" s="1"/>
      <c r="M20" s="1"/>
      <c r="N20" s="1"/>
      <c r="O20" s="1"/>
      <c r="P20" s="1"/>
      <c r="Q20" s="1"/>
      <c r="R20" s="1">
        <v>5000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145</v>
      </c>
      <c r="C21" s="11">
        <v>19</v>
      </c>
      <c r="D21" s="11" t="s">
        <v>145</v>
      </c>
      <c r="E21" s="11">
        <v>8340523512</v>
      </c>
      <c r="F21" s="11" t="s">
        <v>36</v>
      </c>
      <c r="G21" s="18" t="s">
        <v>38</v>
      </c>
      <c r="H21" s="12">
        <f t="shared" si="0"/>
        <v>6000</v>
      </c>
      <c r="I21" s="1"/>
      <c r="J21" s="1"/>
      <c r="K21" s="1"/>
      <c r="L21" s="1"/>
      <c r="M21" s="1"/>
      <c r="N21" s="1"/>
      <c r="O21" s="1"/>
      <c r="P21" s="1">
        <v>2000</v>
      </c>
      <c r="Q21" s="1"/>
      <c r="R21" s="1"/>
      <c r="S21" s="1"/>
      <c r="T21" s="1">
        <v>2000</v>
      </c>
      <c r="U21" s="1"/>
      <c r="V21" s="1"/>
      <c r="W21" s="1"/>
      <c r="X21" s="1"/>
      <c r="Y21" s="1">
        <v>2000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146</v>
      </c>
      <c r="E22" s="11">
        <v>8825310472</v>
      </c>
      <c r="F22" s="11" t="s">
        <v>36</v>
      </c>
      <c r="G22" s="18" t="s">
        <v>39</v>
      </c>
      <c r="H22" s="12">
        <f t="shared" si="0"/>
        <v>7000</v>
      </c>
      <c r="I22" s="1"/>
      <c r="J22" s="1">
        <v>1000</v>
      </c>
      <c r="K22" s="1"/>
      <c r="L22" s="1"/>
      <c r="M22" s="1">
        <v>500</v>
      </c>
      <c r="N22" s="1">
        <v>1000</v>
      </c>
      <c r="O22" s="1"/>
      <c r="P22" s="20">
        <v>1500</v>
      </c>
      <c r="Q22" s="1"/>
      <c r="R22" s="20">
        <v>1000</v>
      </c>
      <c r="S22" s="1"/>
      <c r="T22" s="1"/>
      <c r="U22" s="1">
        <v>1000</v>
      </c>
      <c r="V22" s="1"/>
      <c r="W22" s="1">
        <v>1000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147</v>
      </c>
      <c r="C23" s="11">
        <v>21</v>
      </c>
      <c r="D23" s="11" t="s">
        <v>147</v>
      </c>
      <c r="E23" s="11">
        <v>7004478123</v>
      </c>
      <c r="F23" s="11" t="s">
        <v>36</v>
      </c>
      <c r="G23" s="18" t="s">
        <v>40</v>
      </c>
      <c r="H23" s="12">
        <f t="shared" si="0"/>
        <v>15000</v>
      </c>
      <c r="I23" s="20">
        <v>5000</v>
      </c>
      <c r="J23" s="1"/>
      <c r="K23" s="1"/>
      <c r="L23" s="1"/>
      <c r="M23" s="1"/>
      <c r="N23" s="20">
        <v>5000</v>
      </c>
      <c r="O23" s="1"/>
      <c r="P23" s="1"/>
      <c r="Q23" s="1"/>
      <c r="R23" s="1"/>
      <c r="S23" s="1"/>
      <c r="T23" s="20">
        <v>5000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148</v>
      </c>
      <c r="C25" s="11">
        <v>23</v>
      </c>
      <c r="D25" s="11" t="s">
        <v>148</v>
      </c>
      <c r="E25" s="11">
        <v>7006041121</v>
      </c>
      <c r="F25" s="11" t="s">
        <v>36</v>
      </c>
      <c r="G25" s="18" t="s">
        <v>42</v>
      </c>
      <c r="H25" s="12">
        <f t="shared" si="0"/>
        <v>9000</v>
      </c>
      <c r="I25" s="20">
        <v>3000</v>
      </c>
      <c r="J25" s="1"/>
      <c r="K25" s="1"/>
      <c r="L25" s="1"/>
      <c r="M25" s="1"/>
      <c r="N25" s="1">
        <v>3000</v>
      </c>
      <c r="O25" s="1"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149</v>
      </c>
      <c r="C26" s="11">
        <v>24</v>
      </c>
      <c r="D26" s="11" t="s">
        <v>149</v>
      </c>
      <c r="E26" s="11">
        <v>8709658240</v>
      </c>
      <c r="F26" s="11" t="s">
        <v>36</v>
      </c>
      <c r="G26" s="18" t="s">
        <v>43</v>
      </c>
      <c r="H26" s="12">
        <f t="shared" si="0"/>
        <v>30000</v>
      </c>
      <c r="I26" s="1"/>
      <c r="J26" s="1"/>
      <c r="K26" s="20">
        <v>5000</v>
      </c>
      <c r="L26" s="1"/>
      <c r="M26" s="1"/>
      <c r="N26" s="20">
        <v>5000</v>
      </c>
      <c r="O26" s="1"/>
      <c r="P26" s="1"/>
      <c r="Q26" s="20">
        <v>5000</v>
      </c>
      <c r="R26" s="1"/>
      <c r="S26" s="1"/>
      <c r="T26" s="1"/>
      <c r="U26" s="20">
        <v>5000</v>
      </c>
      <c r="V26" s="20">
        <v>5000</v>
      </c>
      <c r="W26" s="1"/>
      <c r="X26" s="1"/>
      <c r="Y26" s="20">
        <v>5000</v>
      </c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12000</v>
      </c>
      <c r="I27" s="1">
        <v>3000</v>
      </c>
      <c r="J27" s="1"/>
      <c r="K27" s="1">
        <v>2000</v>
      </c>
      <c r="L27" s="1"/>
      <c r="M27" s="1">
        <v>1000</v>
      </c>
      <c r="N27" s="1">
        <v>2000</v>
      </c>
      <c r="O27" s="1">
        <v>1000</v>
      </c>
      <c r="P27" s="1"/>
      <c r="Q27" s="1"/>
      <c r="R27" s="1"/>
      <c r="S27" s="1"/>
      <c r="T27" s="1"/>
      <c r="U27" s="1"/>
      <c r="V27" s="1"/>
      <c r="W27" s="1">
        <v>3000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150</v>
      </c>
      <c r="E28" s="11">
        <v>9973040600</v>
      </c>
      <c r="F28" s="11" t="s">
        <v>36</v>
      </c>
      <c r="G28" s="18" t="s">
        <v>45</v>
      </c>
      <c r="H28" s="12">
        <f t="shared" si="0"/>
        <v>7000</v>
      </c>
      <c r="I28" s="1"/>
      <c r="J28" s="1"/>
      <c r="K28" s="1">
        <v>2000</v>
      </c>
      <c r="L28" s="1"/>
      <c r="M28" s="1"/>
      <c r="N28" s="1">
        <v>1000</v>
      </c>
      <c r="O28" s="1"/>
      <c r="P28" s="20">
        <v>1000</v>
      </c>
      <c r="Q28" s="1"/>
      <c r="R28" s="1"/>
      <c r="S28" s="1"/>
      <c r="T28" s="1"/>
      <c r="U28" s="1"/>
      <c r="V28" s="1"/>
      <c r="W28" s="1">
        <v>1000</v>
      </c>
      <c r="X28" s="1"/>
      <c r="Y28" s="1">
        <v>2000</v>
      </c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4000</v>
      </c>
      <c r="I29" s="1"/>
      <c r="J29" s="1"/>
      <c r="K29" s="1"/>
      <c r="L29" s="1"/>
      <c r="M29" s="1"/>
      <c r="N29" s="1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2000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8000</v>
      </c>
      <c r="I30" s="1"/>
      <c r="J30" s="1">
        <v>1000</v>
      </c>
      <c r="K30" s="1">
        <v>1000</v>
      </c>
      <c r="L30" s="1"/>
      <c r="M30" s="1"/>
      <c r="N30" s="1"/>
      <c r="O30" s="1"/>
      <c r="P30" s="1"/>
      <c r="Q30" s="1">
        <v>2000</v>
      </c>
      <c r="R30" s="1"/>
      <c r="S30" s="1"/>
      <c r="T30" s="1"/>
      <c r="U30" s="1">
        <v>2000</v>
      </c>
      <c r="V30" s="1"/>
      <c r="W30" s="1"/>
      <c r="X30" s="1"/>
      <c r="Y30" s="1">
        <v>2000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151</v>
      </c>
      <c r="C31" s="11">
        <v>29</v>
      </c>
      <c r="D31" s="11" t="s">
        <v>151</v>
      </c>
      <c r="F31" s="11" t="s">
        <v>36</v>
      </c>
      <c r="G31" s="18" t="s">
        <v>48</v>
      </c>
      <c r="H31" s="12">
        <f t="shared" si="0"/>
        <v>10000</v>
      </c>
      <c r="I31" s="1"/>
      <c r="J31" s="1"/>
      <c r="K31" s="1">
        <v>5000</v>
      </c>
      <c r="L31" s="1"/>
      <c r="M31" s="1"/>
      <c r="N31" s="1"/>
      <c r="O31" s="1"/>
      <c r="P31" s="1"/>
      <c r="Q31" s="1"/>
      <c r="R31" s="1">
        <v>5000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152</v>
      </c>
      <c r="C32" s="11">
        <v>30</v>
      </c>
      <c r="D32" s="11" t="s">
        <v>153</v>
      </c>
      <c r="F32" s="11" t="s">
        <v>36</v>
      </c>
      <c r="G32" s="18" t="s">
        <v>49</v>
      </c>
      <c r="H32" s="12">
        <f t="shared" si="0"/>
        <v>34000</v>
      </c>
      <c r="I32" s="1"/>
      <c r="J32" s="1"/>
      <c r="K32" s="1"/>
      <c r="L32" s="1"/>
      <c r="M32" s="1"/>
      <c r="N32" s="1"/>
      <c r="O32" s="20">
        <v>16000</v>
      </c>
      <c r="P32" s="1"/>
      <c r="Q32" s="1"/>
      <c r="R32" s="20">
        <v>6000</v>
      </c>
      <c r="S32" s="1"/>
      <c r="T32" s="1">
        <v>6000</v>
      </c>
      <c r="U32" s="1"/>
      <c r="V32" s="1"/>
      <c r="W32" s="1"/>
      <c r="X32" s="1"/>
      <c r="Y32" s="20">
        <v>6000</v>
      </c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4000</v>
      </c>
      <c r="I33" s="1"/>
      <c r="J33" s="1"/>
      <c r="K33" s="1">
        <v>1000</v>
      </c>
      <c r="L33" s="1"/>
      <c r="M33" s="1">
        <v>1000</v>
      </c>
      <c r="N33" s="1"/>
      <c r="O33" s="1"/>
      <c r="P33" s="1"/>
      <c r="Q33" s="1"/>
      <c r="R33" s="1"/>
      <c r="S33" s="1"/>
      <c r="T33" s="1">
        <v>1000</v>
      </c>
      <c r="U33" s="1">
        <v>1000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154</v>
      </c>
      <c r="C34" s="11">
        <v>32</v>
      </c>
      <c r="D34" s="11" t="s">
        <v>154</v>
      </c>
      <c r="F34" s="11" t="s">
        <v>51</v>
      </c>
      <c r="G34" s="18" t="s">
        <v>52</v>
      </c>
      <c r="H34" s="12">
        <f t="shared" si="0"/>
        <v>5000</v>
      </c>
      <c r="I34" s="1">
        <v>1000</v>
      </c>
      <c r="J34" s="1">
        <v>1000</v>
      </c>
      <c r="K34" s="1"/>
      <c r="L34" s="1"/>
      <c r="M34" s="1"/>
      <c r="N34" s="1">
        <v>1000</v>
      </c>
      <c r="O34" s="1">
        <v>1000</v>
      </c>
      <c r="P34" s="1"/>
      <c r="Q34" s="1"/>
      <c r="R34" s="1"/>
      <c r="S34" s="1"/>
      <c r="T34" s="1">
        <v>1000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7000</v>
      </c>
      <c r="I35" s="1"/>
      <c r="J35" s="1">
        <v>1000</v>
      </c>
      <c r="K35" s="1">
        <v>1000</v>
      </c>
      <c r="L35" s="1"/>
      <c r="M35" s="1">
        <v>2000</v>
      </c>
      <c r="N35" s="1"/>
      <c r="O35" s="1">
        <v>1000</v>
      </c>
      <c r="P35" s="1"/>
      <c r="Q35" s="1"/>
      <c r="R35" s="1"/>
      <c r="S35" s="1"/>
      <c r="T35" s="1">
        <v>1000</v>
      </c>
      <c r="U35" s="1"/>
      <c r="V35" s="1"/>
      <c r="W35" s="1"/>
      <c r="X35" s="1"/>
      <c r="Y35" s="1">
        <v>1000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155</v>
      </c>
      <c r="E36" s="11">
        <v>7654800030</v>
      </c>
      <c r="F36" s="11" t="s">
        <v>51</v>
      </c>
      <c r="G36" s="18" t="s">
        <v>54</v>
      </c>
      <c r="H36" s="12">
        <f t="shared" si="0"/>
        <v>2000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25000</v>
      </c>
      <c r="I37" s="1"/>
      <c r="J37" s="20">
        <v>3000</v>
      </c>
      <c r="K37" s="20">
        <v>3000</v>
      </c>
      <c r="L37" s="1"/>
      <c r="M37" s="20">
        <v>3000</v>
      </c>
      <c r="N37" s="1"/>
      <c r="O37" s="1"/>
      <c r="P37" s="1"/>
      <c r="Q37" s="1">
        <v>6000</v>
      </c>
      <c r="R37" s="20">
        <v>5000</v>
      </c>
      <c r="S37" s="1"/>
      <c r="T37" s="1"/>
      <c r="U37" s="1"/>
      <c r="V37" s="1"/>
      <c r="W37" s="1"/>
      <c r="X37" s="1"/>
      <c r="Y37" s="20">
        <v>5000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1000</v>
      </c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156</v>
      </c>
      <c r="C39" s="11">
        <v>37</v>
      </c>
      <c r="D39" s="11" t="s">
        <v>156</v>
      </c>
      <c r="F39" s="11" t="s">
        <v>51</v>
      </c>
      <c r="G39" s="18" t="s">
        <v>57</v>
      </c>
      <c r="H39" s="12">
        <f t="shared" si="0"/>
        <v>13000</v>
      </c>
      <c r="I39" s="1"/>
      <c r="J39" s="20">
        <v>3000</v>
      </c>
      <c r="K39" s="1"/>
      <c r="L39" s="1"/>
      <c r="M39" s="1"/>
      <c r="N39" s="1"/>
      <c r="O39" s="20">
        <v>3000</v>
      </c>
      <c r="P39" s="20">
        <v>1000</v>
      </c>
      <c r="Q39" s="1"/>
      <c r="R39" s="1"/>
      <c r="S39" s="1"/>
      <c r="T39" s="1"/>
      <c r="U39" s="20">
        <v>3000</v>
      </c>
      <c r="V39" s="1"/>
      <c r="W39" s="1"/>
      <c r="X39" s="1"/>
      <c r="Y39" s="20">
        <v>3000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157</v>
      </c>
      <c r="C40" s="11">
        <v>38</v>
      </c>
      <c r="D40" s="11" t="s">
        <v>157</v>
      </c>
      <c r="E40" s="11" t="s">
        <v>158</v>
      </c>
      <c r="F40" s="11" t="s">
        <v>51</v>
      </c>
      <c r="G40" s="18" t="s">
        <v>58</v>
      </c>
      <c r="H40" s="12">
        <f t="shared" si="0"/>
        <v>3000</v>
      </c>
      <c r="I40" s="1"/>
      <c r="J40" s="1"/>
      <c r="K40" s="1"/>
      <c r="L40" s="1"/>
      <c r="M40" s="20">
        <v>1000</v>
      </c>
      <c r="N40" s="1"/>
      <c r="O40" s="1"/>
      <c r="P40" s="1"/>
      <c r="Q40" s="1"/>
      <c r="R40" s="1"/>
      <c r="S40" s="1"/>
      <c r="T40" s="20">
        <v>2000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51</v>
      </c>
      <c r="G42" s="18" t="s">
        <v>60</v>
      </c>
      <c r="H42" s="12">
        <f t="shared" si="0"/>
        <v>8000</v>
      </c>
      <c r="I42" s="1"/>
      <c r="J42" s="1">
        <v>2000</v>
      </c>
      <c r="K42" s="1"/>
      <c r="L42" s="1"/>
      <c r="M42" s="1"/>
      <c r="N42" s="1">
        <v>2000</v>
      </c>
      <c r="O42" s="1"/>
      <c r="P42" s="1"/>
      <c r="Q42" s="1">
        <v>2000</v>
      </c>
      <c r="R42" s="1"/>
      <c r="S42" s="1"/>
      <c r="T42" s="1"/>
      <c r="U42" s="1"/>
      <c r="V42" s="1"/>
      <c r="W42" s="1"/>
      <c r="X42" s="1"/>
      <c r="Y42" s="1">
        <v>2000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23000</v>
      </c>
      <c r="I43" s="1"/>
      <c r="J43" s="1">
        <v>3000</v>
      </c>
      <c r="K43" s="1"/>
      <c r="L43" s="1"/>
      <c r="M43" s="20">
        <v>3000</v>
      </c>
      <c r="N43" s="1">
        <v>2000</v>
      </c>
      <c r="O43" s="1">
        <v>3000</v>
      </c>
      <c r="P43" s="1"/>
      <c r="Q43" s="1">
        <v>1000</v>
      </c>
      <c r="R43" s="1">
        <v>3000</v>
      </c>
      <c r="S43" s="1"/>
      <c r="T43" s="1">
        <v>3000</v>
      </c>
      <c r="U43" s="1"/>
      <c r="V43" s="1"/>
      <c r="W43" s="1"/>
      <c r="X43" s="1"/>
      <c r="Y43" s="1">
        <v>5000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159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>
        <v>2000</v>
      </c>
      <c r="L44" s="1"/>
      <c r="M44" s="1"/>
      <c r="N44" s="1"/>
      <c r="O44" s="1"/>
      <c r="P44" s="1"/>
      <c r="Q44" s="1"/>
      <c r="R44" s="1"/>
      <c r="S44" s="1"/>
      <c r="T44" s="1">
        <v>2000</v>
      </c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160</v>
      </c>
      <c r="F45" s="11" t="s">
        <v>51</v>
      </c>
      <c r="G45" s="18" t="s">
        <v>63</v>
      </c>
      <c r="H45" s="12">
        <f t="shared" si="0"/>
        <v>18000</v>
      </c>
      <c r="I45" s="1">
        <v>6000</v>
      </c>
      <c r="J45" s="1"/>
      <c r="K45" s="20">
        <v>3000</v>
      </c>
      <c r="L45" s="1"/>
      <c r="M45" s="1"/>
      <c r="N45" s="1"/>
      <c r="O45" s="1"/>
      <c r="P45" s="1"/>
      <c r="Q45" s="20">
        <v>3000</v>
      </c>
      <c r="R45" s="1"/>
      <c r="S45" s="1"/>
      <c r="T45" s="1"/>
      <c r="U45" s="1"/>
      <c r="V45" s="1"/>
      <c r="W45" s="1"/>
      <c r="X45" s="1"/>
      <c r="Y45" s="1">
        <v>6000</v>
      </c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161</v>
      </c>
      <c r="C46" s="11">
        <v>44</v>
      </c>
      <c r="D46" s="11" t="s">
        <v>161</v>
      </c>
      <c r="F46" s="11" t="s">
        <v>64</v>
      </c>
      <c r="G46" s="18" t="s">
        <v>65</v>
      </c>
      <c r="H46" s="12">
        <f t="shared" si="0"/>
        <v>12000</v>
      </c>
      <c r="I46" s="1"/>
      <c r="J46" s="1"/>
      <c r="K46" s="1"/>
      <c r="L46" s="1"/>
      <c r="M46" s="1">
        <v>3000</v>
      </c>
      <c r="N46" s="1"/>
      <c r="O46" s="1"/>
      <c r="P46" s="1"/>
      <c r="Q46" s="1">
        <v>6000</v>
      </c>
      <c r="R46" s="1"/>
      <c r="S46" s="1"/>
      <c r="T46" s="1"/>
      <c r="U46" s="1"/>
      <c r="V46" s="1"/>
      <c r="W46" s="1"/>
      <c r="X46" s="1"/>
      <c r="Y46" s="1"/>
      <c r="Z46" s="20">
        <v>3000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162</v>
      </c>
      <c r="F47" s="11" t="s">
        <v>64</v>
      </c>
      <c r="G47" s="18" t="s">
        <v>66</v>
      </c>
      <c r="H47" s="12">
        <f t="shared" si="0"/>
        <v>12000</v>
      </c>
      <c r="I47" s="1"/>
      <c r="J47" s="20">
        <v>3000</v>
      </c>
      <c r="K47" s="1"/>
      <c r="L47" s="1"/>
      <c r="M47" s="20">
        <v>2000</v>
      </c>
      <c r="N47" s="1"/>
      <c r="O47" s="1">
        <v>1000</v>
      </c>
      <c r="P47" s="1"/>
      <c r="Q47" s="1"/>
      <c r="R47" s="1"/>
      <c r="S47" s="1"/>
      <c r="T47" s="1"/>
      <c r="U47" s="1"/>
      <c r="V47" s="1"/>
      <c r="W47" s="20">
        <v>3000</v>
      </c>
      <c r="X47" s="1"/>
      <c r="Y47" s="20">
        <v>3000</v>
      </c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163</v>
      </c>
      <c r="C48" s="11">
        <v>46</v>
      </c>
      <c r="D48" s="11" t="s">
        <v>163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/>
      <c r="M48" s="20">
        <v>2000</v>
      </c>
      <c r="N48" s="1"/>
      <c r="O48" s="1"/>
      <c r="P48" s="1"/>
      <c r="Q48" s="20">
        <v>2000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164</v>
      </c>
      <c r="C49" s="11">
        <v>47</v>
      </c>
      <c r="D49" s="11" t="s">
        <v>164</v>
      </c>
      <c r="E49" s="11">
        <v>8863097933</v>
      </c>
      <c r="F49" s="11" t="s">
        <v>64</v>
      </c>
      <c r="G49" s="18" t="s">
        <v>68</v>
      </c>
      <c r="H49" s="12">
        <f t="shared" si="0"/>
        <v>20500</v>
      </c>
      <c r="I49" s="1"/>
      <c r="J49" s="1">
        <v>2500</v>
      </c>
      <c r="K49" s="1">
        <v>2000</v>
      </c>
      <c r="L49" s="1"/>
      <c r="M49" s="20">
        <v>3000</v>
      </c>
      <c r="N49" s="1"/>
      <c r="O49" s="1"/>
      <c r="P49" s="20">
        <v>5000</v>
      </c>
      <c r="Q49" s="1"/>
      <c r="R49" s="1">
        <v>3000</v>
      </c>
      <c r="S49" s="1"/>
      <c r="T49" s="1"/>
      <c r="U49" s="1"/>
      <c r="V49" s="1"/>
      <c r="W49" s="1"/>
      <c r="X49" s="1"/>
      <c r="Y49" s="1"/>
      <c r="Z49" s="20">
        <v>5000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165</v>
      </c>
      <c r="C50" s="11">
        <v>48</v>
      </c>
      <c r="D50" s="11" t="s">
        <v>165</v>
      </c>
      <c r="E50" s="11">
        <v>9835443096</v>
      </c>
      <c r="F50" s="11" t="s">
        <v>64</v>
      </c>
      <c r="G50" s="18" t="s">
        <v>69</v>
      </c>
      <c r="H50" s="12">
        <f t="shared" si="0"/>
        <v>6000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0">
        <v>6000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166</v>
      </c>
      <c r="C51" s="11">
        <v>49</v>
      </c>
      <c r="D51" s="11" t="s">
        <v>167</v>
      </c>
      <c r="F51" s="11" t="s">
        <v>64</v>
      </c>
      <c r="G51" s="18" t="s">
        <v>70</v>
      </c>
      <c r="H51" s="12">
        <f t="shared" si="0"/>
        <v>7000</v>
      </c>
      <c r="I51" s="1"/>
      <c r="J51" s="1"/>
      <c r="K51" s="1">
        <v>3000</v>
      </c>
      <c r="L51" s="1"/>
      <c r="M51" s="1">
        <v>2000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20">
        <v>2000</v>
      </c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168</v>
      </c>
      <c r="C53" s="11">
        <v>51</v>
      </c>
      <c r="D53" s="11" t="s">
        <v>168</v>
      </c>
      <c r="F53" s="11" t="s">
        <v>64</v>
      </c>
      <c r="G53" s="18" t="s">
        <v>72</v>
      </c>
      <c r="H53" s="12">
        <f t="shared" si="0"/>
        <v>13000</v>
      </c>
      <c r="I53" s="1"/>
      <c r="J53" s="1">
        <v>2000</v>
      </c>
      <c r="K53" s="1"/>
      <c r="L53" s="1"/>
      <c r="M53" s="1"/>
      <c r="N53" s="1">
        <v>3000</v>
      </c>
      <c r="O53" s="1"/>
      <c r="P53" s="20">
        <v>2000</v>
      </c>
      <c r="Q53" s="1"/>
      <c r="R53" s="20">
        <v>2000</v>
      </c>
      <c r="S53" s="1"/>
      <c r="T53" s="1"/>
      <c r="U53" s="1"/>
      <c r="V53" s="1"/>
      <c r="W53" s="20">
        <v>4000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10500</v>
      </c>
      <c r="I54" s="1"/>
      <c r="J54" s="1"/>
      <c r="K54" s="1"/>
      <c r="L54" s="1"/>
      <c r="M54" s="1">
        <v>4000</v>
      </c>
      <c r="N54" s="1"/>
      <c r="O54" s="1"/>
      <c r="P54" s="1"/>
      <c r="Q54" s="1">
        <v>2000</v>
      </c>
      <c r="R54" s="1"/>
      <c r="S54" s="1"/>
      <c r="T54" s="1"/>
      <c r="U54" s="1"/>
      <c r="V54" s="1"/>
      <c r="W54" s="1"/>
      <c r="X54" s="1"/>
      <c r="Y54" s="1"/>
      <c r="Z54" s="20">
        <v>4500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169</v>
      </c>
      <c r="C55" s="11">
        <v>53</v>
      </c>
      <c r="D55" s="11" t="s">
        <v>169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20">
        <v>2000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170</v>
      </c>
      <c r="C56" s="11">
        <v>54</v>
      </c>
      <c r="D56" s="11" t="s">
        <v>170</v>
      </c>
      <c r="F56" s="11" t="s">
        <v>64</v>
      </c>
      <c r="G56" s="18" t="s">
        <v>75</v>
      </c>
      <c r="H56" s="12">
        <f t="shared" si="0"/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20">
        <v>2000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4000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2000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171</v>
      </c>
      <c r="C59" s="11">
        <v>57</v>
      </c>
      <c r="D59" s="11" t="s">
        <v>171</v>
      </c>
      <c r="F59" s="11" t="s">
        <v>77</v>
      </c>
      <c r="G59" s="18" t="s">
        <v>79</v>
      </c>
      <c r="H59" s="12">
        <f t="shared" si="0"/>
        <v>20000</v>
      </c>
      <c r="I59" s="1"/>
      <c r="J59" s="1"/>
      <c r="K59" s="1"/>
      <c r="L59" s="1"/>
      <c r="M59" s="1"/>
      <c r="N59" s="1"/>
      <c r="O59" s="1"/>
      <c r="P59" s="1"/>
      <c r="Q59" s="1"/>
      <c r="R59" s="20">
        <v>10000</v>
      </c>
      <c r="S59" s="1"/>
      <c r="T59" s="1"/>
      <c r="U59" s="1"/>
      <c r="V59" s="1"/>
      <c r="W59" s="1"/>
      <c r="X59" s="1"/>
      <c r="Y59" s="1">
        <v>10000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172</v>
      </c>
      <c r="F60" s="11" t="s">
        <v>77</v>
      </c>
      <c r="G60" s="18" t="s">
        <v>80</v>
      </c>
      <c r="H60" s="12">
        <f t="shared" si="0"/>
        <v>15000</v>
      </c>
      <c r="I60" s="1"/>
      <c r="J60" s="1"/>
      <c r="K60" s="1"/>
      <c r="L60" s="1"/>
      <c r="M60" s="1"/>
      <c r="N60" s="1">
        <v>5000</v>
      </c>
      <c r="O60" s="1"/>
      <c r="P60" s="1"/>
      <c r="Q60" s="1"/>
      <c r="R60" s="1">
        <v>5000</v>
      </c>
      <c r="S60" s="1"/>
      <c r="T60" s="1"/>
      <c r="U60" s="1"/>
      <c r="V60" s="1"/>
      <c r="W60" s="1"/>
      <c r="X60" s="1"/>
      <c r="Y60" s="20">
        <v>5000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E61" s="11">
        <v>9798805204</v>
      </c>
      <c r="F61" s="11" t="s">
        <v>77</v>
      </c>
      <c r="G61" s="18" t="s">
        <v>81</v>
      </c>
      <c r="H61" s="12">
        <f t="shared" si="0"/>
        <v>5000</v>
      </c>
      <c r="I61" s="1"/>
      <c r="J61" s="1"/>
      <c r="K61" s="1"/>
      <c r="L61" s="1"/>
      <c r="M61" s="1"/>
      <c r="N61" s="1">
        <v>3000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2000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173</v>
      </c>
      <c r="C62" s="11">
        <v>60</v>
      </c>
      <c r="D62" s="11" t="s">
        <v>173</v>
      </c>
      <c r="E62" s="11">
        <v>9504958065</v>
      </c>
      <c r="F62" s="11" t="s">
        <v>82</v>
      </c>
      <c r="G62" s="18" t="s">
        <v>83</v>
      </c>
      <c r="H62" s="12">
        <f t="shared" si="0"/>
        <v>20000</v>
      </c>
      <c r="I62" s="1"/>
      <c r="J62" s="1"/>
      <c r="K62" s="1"/>
      <c r="L62" s="1"/>
      <c r="M62" s="1"/>
      <c r="N62" s="1"/>
      <c r="O62" s="20">
        <v>10000</v>
      </c>
      <c r="P62" s="1"/>
      <c r="Q62" s="1"/>
      <c r="R62" s="20">
        <v>5000</v>
      </c>
      <c r="S62" s="1"/>
      <c r="T62" s="1"/>
      <c r="U62" s="20">
        <v>5000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174</v>
      </c>
      <c r="C64" s="11">
        <v>62</v>
      </c>
      <c r="D64" s="11" t="s">
        <v>174</v>
      </c>
      <c r="E64" s="11" t="s">
        <v>175</v>
      </c>
      <c r="F64" s="11" t="s">
        <v>82</v>
      </c>
      <c r="G64" s="18" t="s">
        <v>87</v>
      </c>
      <c r="H64" s="12">
        <f t="shared" si="0"/>
        <v>5000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20">
        <v>5000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176</v>
      </c>
      <c r="C65" s="11">
        <v>63</v>
      </c>
      <c r="D65" s="11" t="s">
        <v>177</v>
      </c>
      <c r="E65" s="11">
        <v>7004399486</v>
      </c>
      <c r="F65" s="11" t="s">
        <v>88</v>
      </c>
      <c r="G65" s="11" t="s">
        <v>89</v>
      </c>
      <c r="H65" s="12">
        <f t="shared" si="0"/>
        <v>8000</v>
      </c>
      <c r="I65" s="1"/>
      <c r="J65" s="20">
        <v>2000</v>
      </c>
      <c r="K65" s="1"/>
      <c r="L65" s="1"/>
      <c r="M65" s="1"/>
      <c r="N65" s="20">
        <v>2000</v>
      </c>
      <c r="O65" s="1"/>
      <c r="P65" s="1"/>
      <c r="Q65" s="1"/>
      <c r="R65" s="1"/>
      <c r="S65" s="1"/>
      <c r="T65" s="1"/>
      <c r="U65" s="1"/>
      <c r="V65" s="20">
        <v>2000</v>
      </c>
      <c r="W65" s="1"/>
      <c r="X65" s="1"/>
      <c r="Y65" s="1"/>
      <c r="Z65" s="20">
        <v>2000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178</v>
      </c>
      <c r="C66" s="11">
        <v>64</v>
      </c>
      <c r="D66" s="11" t="s">
        <v>178</v>
      </c>
      <c r="F66" s="11" t="s">
        <v>88</v>
      </c>
      <c r="G66" s="18" t="s">
        <v>90</v>
      </c>
      <c r="H66" s="12">
        <f t="shared" ref="H66:H96" si="2">SUM(I66:AM66)</f>
        <v>6000</v>
      </c>
      <c r="I66" s="1"/>
      <c r="J66" s="1"/>
      <c r="K66" s="20">
        <v>2000</v>
      </c>
      <c r="L66" s="1"/>
      <c r="M66" s="1"/>
      <c r="N66" s="1"/>
      <c r="O66" s="1"/>
      <c r="P66" s="20">
        <v>2000</v>
      </c>
      <c r="Q66" s="1"/>
      <c r="R66" s="1"/>
      <c r="S66" s="1"/>
      <c r="T66" s="1"/>
      <c r="U66" s="1"/>
      <c r="V66" s="1"/>
      <c r="W66" s="20">
        <v>2000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8" t="s">
        <v>92</v>
      </c>
      <c r="H67" s="12">
        <f t="shared" si="2"/>
        <v>4000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2000</v>
      </c>
      <c r="S67" s="1"/>
      <c r="T67" s="1"/>
      <c r="U67" s="1"/>
      <c r="V67" s="1"/>
      <c r="W67" s="1"/>
      <c r="X67" s="1"/>
      <c r="Y67" s="1">
        <v>2000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8000</v>
      </c>
      <c r="I68" s="1"/>
      <c r="J68" s="1"/>
      <c r="K68" s="1"/>
      <c r="L68" s="1"/>
      <c r="M68" s="1"/>
      <c r="N68" s="1">
        <v>4000</v>
      </c>
      <c r="O68" s="1"/>
      <c r="P68" s="1"/>
      <c r="Q68" s="1"/>
      <c r="R68" s="1"/>
      <c r="S68" s="1"/>
      <c r="T68" s="1"/>
      <c r="U68" s="1">
        <v>4000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5500</v>
      </c>
      <c r="I69" s="1"/>
      <c r="J69" s="1"/>
      <c r="K69" s="1"/>
      <c r="L69" s="1"/>
      <c r="M69" s="1"/>
      <c r="N69" s="1">
        <v>3000</v>
      </c>
      <c r="O69" s="1">
        <v>1500</v>
      </c>
      <c r="P69" s="1"/>
      <c r="Q69" s="1"/>
      <c r="R69" s="1"/>
      <c r="S69" s="1"/>
      <c r="T69" s="1"/>
      <c r="U69" s="1"/>
      <c r="V69" s="1"/>
      <c r="W69" s="1"/>
      <c r="X69" s="1"/>
      <c r="Y69" s="1">
        <v>1000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2000</v>
      </c>
      <c r="I70" s="1">
        <v>2000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3000</v>
      </c>
      <c r="I71" s="1"/>
      <c r="J71" s="1"/>
      <c r="K71" s="1"/>
      <c r="L71" s="1"/>
      <c r="M71" s="1"/>
      <c r="N71" s="1">
        <v>1000</v>
      </c>
      <c r="O71" s="1"/>
      <c r="P71" s="1"/>
      <c r="Q71" s="1"/>
      <c r="R71" s="1"/>
      <c r="S71" s="1"/>
      <c r="T71" s="1">
        <v>1000</v>
      </c>
      <c r="U71" s="1"/>
      <c r="V71" s="1"/>
      <c r="W71" s="1"/>
      <c r="X71" s="1"/>
      <c r="Y71" s="1">
        <v>1000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179</v>
      </c>
      <c r="F72" s="11" t="s">
        <v>93</v>
      </c>
      <c r="G72" s="18" t="s">
        <v>98</v>
      </c>
      <c r="H72" s="12">
        <f t="shared" si="2"/>
        <v>35000</v>
      </c>
      <c r="I72" s="1">
        <v>5000</v>
      </c>
      <c r="J72" s="1"/>
      <c r="K72" s="22">
        <v>5000</v>
      </c>
      <c r="L72" s="1"/>
      <c r="M72" s="1"/>
      <c r="N72" s="1">
        <v>5000</v>
      </c>
      <c r="O72" s="20">
        <v>5000</v>
      </c>
      <c r="P72" s="1"/>
      <c r="Q72" s="1"/>
      <c r="R72" s="1"/>
      <c r="S72" s="1"/>
      <c r="T72" s="1">
        <v>5000</v>
      </c>
      <c r="U72" s="1">
        <v>5000</v>
      </c>
      <c r="V72" s="1"/>
      <c r="W72" s="1"/>
      <c r="X72" s="1"/>
      <c r="Y72" s="1">
        <v>5000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8" t="s">
        <v>99</v>
      </c>
      <c r="H73" s="12">
        <f t="shared" si="2"/>
        <v>18000</v>
      </c>
      <c r="I73" s="1">
        <v>3000</v>
      </c>
      <c r="J73" s="1"/>
      <c r="K73" s="22">
        <v>3000</v>
      </c>
      <c r="L73" s="1"/>
      <c r="M73" s="1"/>
      <c r="N73" s="1">
        <v>3000</v>
      </c>
      <c r="O73" s="1"/>
      <c r="P73" s="1"/>
      <c r="Q73" s="20">
        <v>2000</v>
      </c>
      <c r="R73" s="1"/>
      <c r="S73" s="1"/>
      <c r="T73" s="1"/>
      <c r="U73" s="1">
        <v>4000</v>
      </c>
      <c r="V73" s="1"/>
      <c r="W73" s="1"/>
      <c r="X73" s="1"/>
      <c r="Y73" s="1">
        <v>3000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180</v>
      </c>
      <c r="C74" s="11">
        <v>72</v>
      </c>
      <c r="D74" s="11" t="s">
        <v>181</v>
      </c>
      <c r="E74" s="11">
        <v>8825370430</v>
      </c>
      <c r="F74" s="11" t="s">
        <v>93</v>
      </c>
      <c r="G74" s="18" t="s">
        <v>100</v>
      </c>
      <c r="H74" s="12">
        <f t="shared" si="2"/>
        <v>6000</v>
      </c>
      <c r="I74" s="1"/>
      <c r="J74" s="1">
        <v>2000</v>
      </c>
      <c r="K74" s="1"/>
      <c r="L74" s="1"/>
      <c r="M74" s="1"/>
      <c r="N74" s="1">
        <v>2000</v>
      </c>
      <c r="O74" s="1"/>
      <c r="P74" s="1"/>
      <c r="Q74" s="1"/>
      <c r="R74" s="1"/>
      <c r="S74" s="1"/>
      <c r="T74" s="20">
        <v>2000</v>
      </c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2000</v>
      </c>
      <c r="I76" s="1"/>
      <c r="J76" s="1"/>
      <c r="K76" s="1"/>
      <c r="L76" s="1"/>
      <c r="M76" s="1"/>
      <c r="N76" s="1"/>
      <c r="O76" s="1">
        <v>1000</v>
      </c>
      <c r="P76" s="1"/>
      <c r="Q76" s="1"/>
      <c r="R76" s="1"/>
      <c r="S76" s="1"/>
      <c r="T76" s="1">
        <v>1000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182</v>
      </c>
      <c r="C77" s="11">
        <v>75</v>
      </c>
      <c r="D77" s="11" t="s">
        <v>182</v>
      </c>
      <c r="E77" s="11">
        <v>6200769032</v>
      </c>
      <c r="F77" s="11" t="s">
        <v>103</v>
      </c>
      <c r="G77" s="18" t="s">
        <v>104</v>
      </c>
      <c r="H77" s="12">
        <f t="shared" si="2"/>
        <v>7800</v>
      </c>
      <c r="I77" s="1"/>
      <c r="J77" s="1"/>
      <c r="K77" s="1"/>
      <c r="L77" s="1"/>
      <c r="M77" s="1"/>
      <c r="N77" s="1"/>
      <c r="O77" s="20">
        <v>2800</v>
      </c>
      <c r="P77" s="1"/>
      <c r="Q77" s="1"/>
      <c r="R77" s="1">
        <v>1000</v>
      </c>
      <c r="S77" s="1"/>
      <c r="T77" s="1"/>
      <c r="U77" s="1">
        <v>2000</v>
      </c>
      <c r="V77" s="1"/>
      <c r="X77" s="1"/>
      <c r="Y77" s="20">
        <v>2000</v>
      </c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183</v>
      </c>
      <c r="C78" s="11">
        <v>76</v>
      </c>
      <c r="D78" s="11" t="s">
        <v>184</v>
      </c>
      <c r="F78" s="11" t="s">
        <v>103</v>
      </c>
      <c r="G78" s="18" t="s">
        <v>105</v>
      </c>
      <c r="H78" s="12">
        <f t="shared" si="2"/>
        <v>18000</v>
      </c>
      <c r="I78" s="1"/>
      <c r="J78" s="1"/>
      <c r="K78" s="20">
        <v>3000</v>
      </c>
      <c r="L78" s="1"/>
      <c r="M78" s="20">
        <v>3000</v>
      </c>
      <c r="N78" s="20">
        <v>3000</v>
      </c>
      <c r="O78" s="1"/>
      <c r="P78" s="1"/>
      <c r="Q78" s="1"/>
      <c r="R78" s="1"/>
      <c r="S78" s="20">
        <v>3000</v>
      </c>
      <c r="T78" s="1"/>
      <c r="U78" s="1"/>
      <c r="V78" s="1"/>
      <c r="W78" s="20">
        <v>6000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185</v>
      </c>
      <c r="C79" s="11">
        <v>77</v>
      </c>
      <c r="D79" s="11" t="s">
        <v>186</v>
      </c>
      <c r="F79" s="11" t="s">
        <v>103</v>
      </c>
      <c r="G79" s="18" t="s">
        <v>106</v>
      </c>
      <c r="H79" s="12">
        <f t="shared" si="2"/>
        <v>8000</v>
      </c>
      <c r="I79" s="1"/>
      <c r="J79" s="1"/>
      <c r="K79" s="1"/>
      <c r="L79" s="1"/>
      <c r="M79" s="20">
        <v>4000</v>
      </c>
      <c r="N79" s="1"/>
      <c r="O79" s="1"/>
      <c r="P79" s="1"/>
      <c r="Q79" s="1"/>
      <c r="R79" s="1"/>
      <c r="S79" s="1"/>
      <c r="T79" s="1"/>
      <c r="U79" s="1"/>
      <c r="V79" s="1"/>
      <c r="W79" s="1">
        <v>3000</v>
      </c>
      <c r="X79" s="1"/>
      <c r="Y79" s="1">
        <v>1000</v>
      </c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187</v>
      </c>
      <c r="C81" s="11">
        <v>79</v>
      </c>
      <c r="D81" s="11" t="s">
        <v>187</v>
      </c>
      <c r="E81" s="11" t="s">
        <v>188</v>
      </c>
      <c r="F81" s="11" t="s">
        <v>108</v>
      </c>
      <c r="G81" s="18" t="s">
        <v>109</v>
      </c>
      <c r="H81" s="12">
        <f t="shared" si="2"/>
        <v>6000</v>
      </c>
      <c r="I81" s="1"/>
      <c r="J81" s="1"/>
      <c r="K81" s="1"/>
      <c r="L81" s="1"/>
      <c r="M81" s="1"/>
      <c r="N81" s="1"/>
      <c r="O81" s="20">
        <v>2000</v>
      </c>
      <c r="P81" s="1"/>
      <c r="Q81" s="1"/>
      <c r="R81" s="1"/>
      <c r="S81" s="1"/>
      <c r="T81" s="1"/>
      <c r="U81" s="1"/>
      <c r="V81" s="1"/>
      <c r="W81" s="1"/>
      <c r="X81" s="1"/>
      <c r="Y81" s="20">
        <v>4000</v>
      </c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4000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20">
        <v>2000</v>
      </c>
      <c r="V83" s="1"/>
      <c r="W83" s="1"/>
      <c r="X83" s="1"/>
      <c r="Y83" s="1">
        <v>2000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189</v>
      </c>
      <c r="C85" s="11">
        <v>83</v>
      </c>
      <c r="D85" s="11" t="s">
        <v>189</v>
      </c>
      <c r="F85" s="11" t="s">
        <v>114</v>
      </c>
      <c r="G85" s="18" t="s">
        <v>115</v>
      </c>
      <c r="H85" s="12">
        <f t="shared" si="2"/>
        <v>10000</v>
      </c>
      <c r="I85" s="1"/>
      <c r="J85" s="1"/>
      <c r="K85" s="1"/>
      <c r="L85" s="1"/>
      <c r="M85" s="1"/>
      <c r="N85" s="1"/>
      <c r="O85" s="1"/>
      <c r="P85" s="1">
        <v>10000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>
        <v>5000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190</v>
      </c>
      <c r="C87" s="11">
        <v>85</v>
      </c>
      <c r="D87" s="11" t="s">
        <v>190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191</v>
      </c>
      <c r="E88" s="11">
        <v>9911430509</v>
      </c>
      <c r="F88" s="11" t="s">
        <v>118</v>
      </c>
      <c r="G88" s="18" t="s">
        <v>119</v>
      </c>
      <c r="H88" s="12">
        <f t="shared" si="2"/>
        <v>4000</v>
      </c>
      <c r="I88" s="1"/>
      <c r="J88" s="1"/>
      <c r="K88" s="1"/>
      <c r="L88" s="1"/>
      <c r="M88" s="1"/>
      <c r="N88" s="1"/>
      <c r="O88" s="20">
        <v>2000</v>
      </c>
      <c r="P88" s="1"/>
      <c r="Q88" s="1"/>
      <c r="R88" s="1"/>
      <c r="S88" s="1"/>
      <c r="T88" s="1"/>
      <c r="U88" s="1"/>
      <c r="V88" s="1"/>
      <c r="W88" s="1"/>
      <c r="X88" s="1"/>
      <c r="Y88" s="20">
        <v>2000</v>
      </c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192</v>
      </c>
      <c r="C90" s="11">
        <v>88</v>
      </c>
      <c r="D90" s="11" t="s">
        <v>192</v>
      </c>
      <c r="G90" s="18" t="s">
        <v>121</v>
      </c>
      <c r="H90" s="12">
        <f t="shared" si="2"/>
        <v>2000</v>
      </c>
      <c r="I90" s="1"/>
      <c r="J90" s="20">
        <v>1000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20">
        <v>1000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193</v>
      </c>
      <c r="E92" s="11">
        <v>9015378357</v>
      </c>
      <c r="F92" s="11" t="s">
        <v>194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1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195</v>
      </c>
      <c r="F94" s="11" t="s">
        <v>125</v>
      </c>
      <c r="G94" s="18" t="s">
        <v>126</v>
      </c>
      <c r="H94" s="12">
        <f t="shared" si="2"/>
        <v>2000</v>
      </c>
      <c r="I94" s="1">
        <v>1000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20">
        <v>1000</v>
      </c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2"/>
    </row>
    <row r="98" spans="8:8">
      <c r="H98" s="12"/>
    </row>
    <row r="99" spans="8:8">
      <c r="H99" s="12"/>
    </row>
    <row r="100" spans="8:8">
      <c r="H100" s="12"/>
    </row>
    <row r="101" spans="8:8">
      <c r="H101" s="12"/>
    </row>
    <row r="102" spans="8:8">
      <c r="H102" s="12"/>
    </row>
    <row r="103" spans="8:8">
      <c r="H103" s="12"/>
    </row>
    <row r="104" spans="8:8">
      <c r="H104" s="12"/>
    </row>
    <row r="105" spans="8:8">
      <c r="H105" s="12"/>
    </row>
    <row r="106" spans="8:8">
      <c r="H106" s="12"/>
    </row>
    <row r="107" spans="8:8">
      <c r="H107" s="12"/>
    </row>
    <row r="108" spans="8:8">
      <c r="H108" s="12"/>
    </row>
    <row r="109" spans="8:8">
      <c r="H109" s="12"/>
    </row>
    <row r="110" spans="8:8">
      <c r="H110" s="12"/>
    </row>
    <row r="111" spans="8:8">
      <c r="H111" s="12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opLeftCell="A34" workbookViewId="0">
      <selection activeCell="D54" sqref="D5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196</v>
      </c>
    </row>
    <row r="2" spans="1:5">
      <c r="A2" s="4"/>
      <c r="B2" s="4"/>
      <c r="C2" s="5" t="s">
        <v>8</v>
      </c>
      <c r="D2" s="6">
        <f>Orders!F2-Collection!H2</f>
        <v>260300</v>
      </c>
      <c r="E2" s="7">
        <f>SUM(D3:D96)</f>
        <v>260300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2500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2000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3000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25000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2000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2000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7500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1000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8000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3000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2000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3000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5000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2000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2000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10000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1000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3000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3000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3000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5000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7000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2000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1000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3000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7000</v>
      </c>
    </row>
    <row r="44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3000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0</v>
      </c>
    </row>
    <row r="48" spans="1:4">
      <c r="A48" s="8" t="s">
        <v>64</v>
      </c>
      <c r="B48" s="8"/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7500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2000</v>
      </c>
    </row>
    <row r="52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5500</v>
      </c>
    </row>
    <row r="55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5000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2000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5000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2000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4200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3000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2000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10000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>
        <v>9905739212</v>
      </c>
      <c r="C90" s="9" t="s">
        <v>121</v>
      </c>
      <c r="D90" s="10">
        <f>Orders!F90-Collection!H90</f>
        <v>1000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2000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2000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2021-04-19T14:13:51Z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