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L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1040-Manual
1040-Auto</t>
        </r>
      </text>
    </comment>
    <comment ref="N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I5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I7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K8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O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10000-Digital
6000-Digital</t>
        </r>
      </text>
    </comment>
  </commentList>
</comments>
</file>

<file path=xl/sharedStrings.xml><?xml version="1.0" encoding="utf-8"?>
<sst xmlns="http://schemas.openxmlformats.org/spreadsheetml/2006/main" count="660" uniqueCount="191">
  <si>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</si>
  <si>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</si>
  <si>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</si>
  <si>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</si>
  <si>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</si>
  <si>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</si>
  <si>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</si>
  <si>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</si>
  <si>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</si>
  <si>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</si>
  <si>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</si>
  <si>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</si>
  <si>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</si>
  <si>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</si>
  <si>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</si>
  <si>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</si>
  <si>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</si>
  <si>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</si>
  <si>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</si>
  <si>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</si>
  <si>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</si>
  <si>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</si>
  <si>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</si>
  <si>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</si>
  <si>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</si>
  <si>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</si>
  <si>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</si>
  <si>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</si>
  <si>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</si>
  <si>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</si>
  <si>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</si>
  <si>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</si>
  <si>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</si>
  <si>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</si>
  <si>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</si>
  <si>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</si>
  <si>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</si>
  <si>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</si>
  <si>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</si>
  <si>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</si>
  <si>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</si>
  <si>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</si>
  <si>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</si>
  <si>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</si>
  <si>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</si>
  <si>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</si>
  <si>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</si>
  <si>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</si>
  <si>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</si>
  <si>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</si>
  <si>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</si>
  <si>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</si>
  <si>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</si>
  <si>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</si>
  <si>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</si>
  <si>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</si>
  <si>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</si>
  <si>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</si>
  <si>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</si>
  <si>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</si>
  <si>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</si>
  <si>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</si>
  <si>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</si>
  <si>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</si>
  <si>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</si>
  <si>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</si>
  <si>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</si>
  <si>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</si>
  <si>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</si>
  <si>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</si>
  <si>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</si>
  <si>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</si>
  <si>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</si>
  <si>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</si>
  <si>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</si>
  <si>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</si>
  <si>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</si>
  <si>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</si>
  <si>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</si>
  <si>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</si>
  <si>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</si>
  <si>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</si>
  <si>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</si>
  <si>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</si>
  <si>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</si>
  <si>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</si>
  <si>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</si>
  <si>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</si>
  <si>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</si>
  <si>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</si>
  <si>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</si>
  <si>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</si>
  <si>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</si>
  <si>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</si>
  <si>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</si>
  <si>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</si>
  <si>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</si>
  <si>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</si>
  <si>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</si>
  <si>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</si>
  <si>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</si>
  <si>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</si>
  <si>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</si>
  <si>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</si>
  <si>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</si>
  <si>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</si>
  <si>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</si>
  <si>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</si>
  <si>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</si>
  <si>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</si>
  <si>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</si>
  <si>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</si>
  <si>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</si>
  <si>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</si>
  <si>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</si>
  <si>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</si>
  <si>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</si>
  <si>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</si>
  <si>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</si>
  <si>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</si>
  <si>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</si>
  <si>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</si>
  <si>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</si>
  <si>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</si>
  <si>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</si>
  <si>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</si>
  <si>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</si>
  <si>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</si>
  <si>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</si>
  <si>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</si>
  <si>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</si>
  <si>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</si>
  <si>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</si>
  <si>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</si>
  <si>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</si>
  <si>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Shakti/Ashok</t>
  </si>
  <si>
    <t>Naveen</t>
  </si>
  <si>
    <t>Reyazul</t>
  </si>
  <si>
    <t>MD Gulam</t>
  </si>
  <si>
    <t>MD Gulam,Rina kri</t>
  </si>
  <si>
    <t>Sushil Kr.</t>
  </si>
  <si>
    <t>Vikas Amir Bigha</t>
  </si>
  <si>
    <t>Ranveer/Rina</t>
  </si>
  <si>
    <t>Sailesh</t>
  </si>
  <si>
    <t>Ajay 9939757903</t>
  </si>
  <si>
    <t>Aarti 9523733118</t>
  </si>
  <si>
    <t>Rajnish Kr 9708003669</t>
  </si>
  <si>
    <t>Shantnu Kr.</t>
  </si>
  <si>
    <t>Munna Kr.(PNB)</t>
  </si>
  <si>
    <t>Nitish Kr.</t>
  </si>
  <si>
    <t>Basant Kr.</t>
  </si>
  <si>
    <t>Basant Kr./SHREE</t>
  </si>
  <si>
    <t>Binay Lal</t>
  </si>
  <si>
    <t>Sonu/Rupa 9708329918</t>
  </si>
  <si>
    <t>PK</t>
  </si>
  <si>
    <t>8709954402/6207783075</t>
  </si>
  <si>
    <t>HARENDRA</t>
  </si>
  <si>
    <t>CHANDAN</t>
  </si>
  <si>
    <t>Deepak 7004687745</t>
  </si>
  <si>
    <t>PINTU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</si>
  <si>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</si>
  <si>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</si>
  <si>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</si>
  <si>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</si>
  <si>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</si>
  <si>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</si>
  <si>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</si>
  <si>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</si>
  <si>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</si>
  <si>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</si>
  <si>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</si>
  <si>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</si>
  <si>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Munna Kr.(UCO)</t>
  </si>
  <si>
    <t>D.K.</t>
  </si>
  <si>
    <t>Shashi</t>
  </si>
  <si>
    <t>Rajiv Kr/ Rajeev Kamal</t>
  </si>
  <si>
    <t>RAVINDRA /Rajiv Kr/ Rajeev Kamal</t>
  </si>
  <si>
    <t>Brajesh Kr.</t>
  </si>
  <si>
    <t>Chandan Kr</t>
  </si>
  <si>
    <t>Chandan Kr UCO</t>
  </si>
  <si>
    <t>Sunil Kr./Gudiya</t>
  </si>
  <si>
    <t>Sunil Kr./Gudiya/Ajit Kr</t>
  </si>
  <si>
    <t>INDRJEET KUMAR</t>
  </si>
  <si>
    <t>8789783884/7061621223</t>
  </si>
  <si>
    <t>Khatri sudhir sahani</t>
  </si>
  <si>
    <t>Ajay Kr.</t>
  </si>
  <si>
    <t>Dev Kr.</t>
  </si>
  <si>
    <t>MD Aslam</t>
  </si>
  <si>
    <t>Vikas Kr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</si>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</sst>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[$-409]d\-mmm;@"/>
    <numFmt numFmtId="178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21" borderId="3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30" borderId="7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34" borderId="9" applyNumberForma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9" fillId="3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7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1" fillId="10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11" borderId="0" xfId="0" applyNumberFormat="1" applyFont="1" applyFill="1" applyAlignment="1" applyProtection="1">
      <alignment horizontal="center" vertical="center"/>
    </xf>
    <xf numFmtId="0" fontId="0" fillId="9" borderId="0" xfId="0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7" fontId="1" fillId="10" borderId="0" xfId="0" applyNumberFormat="1" applyFont="1" applyFill="1" applyAlignment="1" applyProtection="1">
      <alignment horizontal="center" vertical="center"/>
    </xf>
    <xf numFmtId="0" fontId="0" fillId="12" borderId="0" xfId="0" applyFill="1" applyAlignment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pane xSplit="7" ySplit="2" topLeftCell="M26" activePane="bottomRight" state="frozen"/>
      <selection/>
      <selection pane="topRight"/>
      <selection pane="bottomLeft"/>
      <selection pane="bottomRight" activeCell="P2" sqref="P2"/>
    </sheetView>
  </sheetViews>
  <sheetFormatPr defaultColWidth="9.14285714285714" defaultRowHeight="15"/>
  <cols>
    <col min="1" max="1" width="5.71428571428571" style="11" customWidth="1"/>
    <col min="2" max="2" width="11.5714285714286" style="23" customWidth="1"/>
    <col min="3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4" customWidth="1"/>
    <col min="9" max="16384" width="9.14285714285714" style="11"/>
  </cols>
  <sheetData>
    <row r="1" s="12" customFormat="1" spans="1:4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32">
        <v>44287</v>
      </c>
      <c r="J1" s="32">
        <v>44288</v>
      </c>
      <c r="K1" s="32">
        <v>44289</v>
      </c>
      <c r="L1" s="32">
        <v>44290</v>
      </c>
      <c r="M1" s="32">
        <v>44291</v>
      </c>
      <c r="N1" s="32">
        <v>44292</v>
      </c>
      <c r="O1" s="32">
        <v>44293</v>
      </c>
      <c r="P1" s="32">
        <v>44294</v>
      </c>
      <c r="Q1" s="32">
        <v>44295</v>
      </c>
      <c r="R1" s="32">
        <v>44296</v>
      </c>
      <c r="S1" s="32">
        <v>44297</v>
      </c>
      <c r="T1" s="32">
        <v>44298</v>
      </c>
      <c r="U1" s="32">
        <v>44299</v>
      </c>
      <c r="V1" s="32">
        <v>44300</v>
      </c>
      <c r="W1" s="32">
        <v>44301</v>
      </c>
      <c r="X1" s="32">
        <v>44302</v>
      </c>
      <c r="Y1" s="32">
        <v>44303</v>
      </c>
      <c r="Z1" s="32">
        <v>44304</v>
      </c>
      <c r="AA1" s="32">
        <v>44305</v>
      </c>
      <c r="AB1" s="32">
        <v>44306</v>
      </c>
      <c r="AC1" s="32">
        <v>44307</v>
      </c>
      <c r="AD1" s="32">
        <v>44308</v>
      </c>
      <c r="AE1" s="32">
        <v>44309</v>
      </c>
      <c r="AF1" s="32">
        <v>44310</v>
      </c>
      <c r="AG1" s="32">
        <v>44311</v>
      </c>
      <c r="AH1" s="32">
        <v>44312</v>
      </c>
      <c r="AI1" s="32">
        <v>44313</v>
      </c>
      <c r="AJ1" s="32">
        <v>44314</v>
      </c>
      <c r="AK1" s="32">
        <v>44315</v>
      </c>
      <c r="AL1" s="32">
        <v>44316</v>
      </c>
      <c r="AM1" s="32"/>
      <c r="AN1" s="34"/>
      <c r="AO1" s="34"/>
      <c r="AP1" s="34"/>
      <c r="AQ1" s="34"/>
      <c r="AR1" s="34"/>
      <c r="AS1" s="34"/>
    </row>
    <row r="2" s="12" customFormat="1" spans="1:39">
      <c r="A2" s="14"/>
      <c r="B2" s="26">
        <f>SUM(F3:F121)</f>
        <v>560600</v>
      </c>
      <c r="D2" s="15">
        <f>SUM(G3:G121)</f>
        <v>400920</v>
      </c>
      <c r="E2" s="16" t="s">
        <v>8</v>
      </c>
      <c r="F2" s="27">
        <f>G2/1.04+H2</f>
        <v>560600</v>
      </c>
      <c r="G2" s="15">
        <f t="shared" ref="G2:G65" si="0">SUM(I2:AM2)</f>
        <v>400920</v>
      </c>
      <c r="H2" s="28">
        <f t="shared" ref="H2:AM2" si="1">SUM(H3:H121)</f>
        <v>175100</v>
      </c>
      <c r="I2" s="12">
        <f t="shared" si="1"/>
        <v>44200</v>
      </c>
      <c r="J2" s="12">
        <f t="shared" si="1"/>
        <v>65520</v>
      </c>
      <c r="K2" s="12">
        <f t="shared" si="1"/>
        <v>65520</v>
      </c>
      <c r="L2" s="12">
        <f t="shared" si="1"/>
        <v>50960</v>
      </c>
      <c r="M2" s="12">
        <f t="shared" si="1"/>
        <v>65520</v>
      </c>
      <c r="N2" s="12">
        <f t="shared" si="1"/>
        <v>48880</v>
      </c>
      <c r="O2" s="12">
        <f t="shared" si="1"/>
        <v>41600</v>
      </c>
      <c r="P2" s="12">
        <f t="shared" si="1"/>
        <v>18720</v>
      </c>
      <c r="Q2" s="12">
        <f t="shared" si="1"/>
        <v>0</v>
      </c>
      <c r="R2" s="12">
        <f t="shared" si="1"/>
        <v>0</v>
      </c>
      <c r="S2" s="12">
        <f t="shared" si="1"/>
        <v>0</v>
      </c>
      <c r="T2" s="12">
        <f t="shared" si="1"/>
        <v>0</v>
      </c>
      <c r="U2" s="12">
        <f t="shared" si="1"/>
        <v>0</v>
      </c>
      <c r="V2" s="12">
        <f t="shared" si="1"/>
        <v>0</v>
      </c>
      <c r="W2" s="12">
        <f t="shared" si="1"/>
        <v>0</v>
      </c>
      <c r="X2" s="12">
        <f t="shared" si="1"/>
        <v>0</v>
      </c>
      <c r="Y2" s="12">
        <f t="shared" si="1"/>
        <v>0</v>
      </c>
      <c r="Z2" s="12">
        <f t="shared" si="1"/>
        <v>0</v>
      </c>
      <c r="AA2" s="12">
        <f t="shared" si="1"/>
        <v>0</v>
      </c>
      <c r="AB2" s="12">
        <f t="shared" si="1"/>
        <v>0</v>
      </c>
      <c r="AC2" s="12">
        <f t="shared" si="1"/>
        <v>0</v>
      </c>
      <c r="AD2" s="12">
        <f t="shared" si="1"/>
        <v>0</v>
      </c>
      <c r="AE2" s="12">
        <f t="shared" si="1"/>
        <v>0</v>
      </c>
      <c r="AF2" s="12">
        <f t="shared" si="1"/>
        <v>0</v>
      </c>
      <c r="AG2" s="12">
        <f t="shared" si="1"/>
        <v>0</v>
      </c>
      <c r="AH2" s="12">
        <f t="shared" si="1"/>
        <v>0</v>
      </c>
      <c r="AI2" s="12">
        <f t="shared" si="1"/>
        <v>0</v>
      </c>
      <c r="AJ2" s="12">
        <f t="shared" si="1"/>
        <v>0</v>
      </c>
      <c r="AK2" s="12">
        <f t="shared" si="1"/>
        <v>0</v>
      </c>
      <c r="AL2" s="12">
        <f t="shared" si="1"/>
        <v>0</v>
      </c>
      <c r="AM2" s="12">
        <f t="shared" si="1"/>
        <v>0</v>
      </c>
    </row>
    <row r="3" s="11" customFormat="1" spans="1:39">
      <c r="A3" s="11">
        <v>1</v>
      </c>
      <c r="B3" s="23"/>
      <c r="D3" s="11" t="s">
        <v>9</v>
      </c>
      <c r="E3" s="18" t="s">
        <v>10</v>
      </c>
      <c r="F3" s="12">
        <f t="shared" ref="F2:F18" si="2">G3/1.04+H3</f>
        <v>3000</v>
      </c>
      <c r="G3" s="12">
        <f t="shared" si="0"/>
        <v>3120</v>
      </c>
      <c r="H3" s="29">
        <v>0</v>
      </c>
      <c r="I3" s="1"/>
      <c r="J3" s="1"/>
      <c r="K3" s="1"/>
      <c r="L3" s="1"/>
      <c r="M3" s="1"/>
      <c r="N3" s="1">
        <v>3120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="11" customFormat="1" spans="1:39">
      <c r="A4" s="11">
        <v>2</v>
      </c>
      <c r="B4" s="23"/>
      <c r="D4" s="11" t="s">
        <v>9</v>
      </c>
      <c r="E4" s="18" t="s">
        <v>11</v>
      </c>
      <c r="F4" s="12">
        <f t="shared" si="2"/>
        <v>6000</v>
      </c>
      <c r="G4" s="12">
        <f t="shared" si="0"/>
        <v>5200</v>
      </c>
      <c r="H4" s="29">
        <v>1000</v>
      </c>
      <c r="I4" s="1">
        <v>1040</v>
      </c>
      <c r="J4" s="1">
        <v>1040</v>
      </c>
      <c r="K4" s="1"/>
      <c r="L4" s="33">
        <v>2080</v>
      </c>
      <c r="M4" s="1">
        <v>1040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="11" customFormat="1" spans="1:39">
      <c r="A5" s="11">
        <v>3</v>
      </c>
      <c r="B5" s="23" t="s">
        <v>12</v>
      </c>
      <c r="D5" s="11" t="s">
        <v>9</v>
      </c>
      <c r="E5" s="18" t="s">
        <v>13</v>
      </c>
      <c r="F5" s="12">
        <f t="shared" si="2"/>
        <v>4000</v>
      </c>
      <c r="G5" s="12">
        <f t="shared" si="0"/>
        <v>3120</v>
      </c>
      <c r="H5" s="29">
        <v>1000</v>
      </c>
      <c r="I5" s="1"/>
      <c r="J5" s="33">
        <v>1040</v>
      </c>
      <c r="K5" s="1">
        <v>1040</v>
      </c>
      <c r="L5" s="1"/>
      <c r="M5" s="1">
        <v>1040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="11" customFormat="1" spans="1:39">
      <c r="A6" s="11">
        <v>4</v>
      </c>
      <c r="B6" s="23" t="s">
        <v>14</v>
      </c>
      <c r="D6" s="11" t="s">
        <v>9</v>
      </c>
      <c r="E6" s="18" t="s">
        <v>15</v>
      </c>
      <c r="F6" s="12">
        <f t="shared" si="2"/>
        <v>9000</v>
      </c>
      <c r="G6" s="12">
        <f t="shared" si="0"/>
        <v>5200</v>
      </c>
      <c r="H6" s="29">
        <v>4000</v>
      </c>
      <c r="I6" s="1"/>
      <c r="J6" s="1"/>
      <c r="K6" s="1"/>
      <c r="L6" s="1"/>
      <c r="M6" s="1"/>
      <c r="N6" s="1"/>
      <c r="O6" s="1">
        <v>5200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="11" customFormat="1" spans="1:39">
      <c r="A7" s="11">
        <v>5</v>
      </c>
      <c r="B7" s="23" t="s">
        <v>16</v>
      </c>
      <c r="D7" s="11" t="s">
        <v>9</v>
      </c>
      <c r="E7" s="18" t="s">
        <v>17</v>
      </c>
      <c r="F7" s="12">
        <f t="shared" si="2"/>
        <v>35000</v>
      </c>
      <c r="G7" s="12">
        <f t="shared" si="0"/>
        <v>16640</v>
      </c>
      <c r="H7" s="29">
        <v>19000</v>
      </c>
      <c r="I7" s="1">
        <v>2080</v>
      </c>
      <c r="J7" s="1">
        <v>2080</v>
      </c>
      <c r="K7" s="1">
        <v>2080</v>
      </c>
      <c r="L7" s="1">
        <v>2080</v>
      </c>
      <c r="M7" s="1">
        <v>2080</v>
      </c>
      <c r="N7" s="1">
        <v>4160</v>
      </c>
      <c r="O7" s="1"/>
      <c r="P7" s="1">
        <v>2080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="11" customFormat="1" spans="1:39">
      <c r="A8" s="11">
        <v>6</v>
      </c>
      <c r="B8" s="23" t="s">
        <v>18</v>
      </c>
      <c r="D8" s="11" t="s">
        <v>9</v>
      </c>
      <c r="E8" s="18" t="s">
        <v>19</v>
      </c>
      <c r="F8" s="12">
        <f t="shared" si="2"/>
        <v>4000</v>
      </c>
      <c r="G8" s="12">
        <f t="shared" si="0"/>
        <v>2080</v>
      </c>
      <c r="H8" s="29">
        <v>2000</v>
      </c>
      <c r="I8" s="1"/>
      <c r="J8" s="1"/>
      <c r="K8" s="1"/>
      <c r="L8" s="1"/>
      <c r="M8" s="1"/>
      <c r="N8" s="1">
        <v>2080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="11" customFormat="1" spans="1:39">
      <c r="A9" s="11">
        <v>7</v>
      </c>
      <c r="B9" s="23"/>
      <c r="D9" s="11" t="s">
        <v>9</v>
      </c>
      <c r="E9" s="18" t="s">
        <v>20</v>
      </c>
      <c r="F9" s="12">
        <f t="shared" si="2"/>
        <v>2000</v>
      </c>
      <c r="G9" s="12">
        <f t="shared" si="0"/>
        <v>2080</v>
      </c>
      <c r="H9" s="29">
        <v>0</v>
      </c>
      <c r="I9" s="1"/>
      <c r="J9" s="1"/>
      <c r="K9" s="1"/>
      <c r="L9" s="1"/>
      <c r="M9" s="1"/>
      <c r="N9" s="1">
        <v>2080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="11" customFormat="1" spans="1:39">
      <c r="A10" s="11">
        <v>8</v>
      </c>
      <c r="B10" s="23" t="s">
        <v>21</v>
      </c>
      <c r="D10" s="11" t="s">
        <v>9</v>
      </c>
      <c r="E10" s="18" t="s">
        <v>22</v>
      </c>
      <c r="F10" s="12">
        <f t="shared" si="2"/>
        <v>15000</v>
      </c>
      <c r="G10" s="12">
        <f t="shared" si="0"/>
        <v>10400</v>
      </c>
      <c r="H10" s="29">
        <v>5000</v>
      </c>
      <c r="I10" s="1"/>
      <c r="J10" s="1"/>
      <c r="K10" s="1">
        <v>5200</v>
      </c>
      <c r="L10" s="1"/>
      <c r="M10" s="1">
        <v>5200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="11" customFormat="1" spans="1:39">
      <c r="A11" s="11">
        <v>9</v>
      </c>
      <c r="B11" s="23"/>
      <c r="D11" s="11" t="s">
        <v>23</v>
      </c>
      <c r="E11" s="18" t="s">
        <v>24</v>
      </c>
      <c r="F11" s="12">
        <f t="shared" si="2"/>
        <v>2000</v>
      </c>
      <c r="G11" s="12">
        <f t="shared" si="0"/>
        <v>2080</v>
      </c>
      <c r="H11" s="29">
        <v>0</v>
      </c>
      <c r="I11" s="1">
        <v>2080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="11" customFormat="1" spans="1:39">
      <c r="A12" s="11">
        <v>10</v>
      </c>
      <c r="B12" s="23"/>
      <c r="D12" s="11" t="s">
        <v>23</v>
      </c>
      <c r="E12" s="18" t="s">
        <v>25</v>
      </c>
      <c r="F12" s="12">
        <f t="shared" si="2"/>
        <v>3000</v>
      </c>
      <c r="G12" s="12">
        <f t="shared" si="0"/>
        <v>2080</v>
      </c>
      <c r="H12" s="29">
        <v>1000</v>
      </c>
      <c r="I12" s="1">
        <v>1040</v>
      </c>
      <c r="J12" s="1"/>
      <c r="K12" s="1"/>
      <c r="L12" s="1"/>
      <c r="M12" s="1">
        <v>1040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11" customFormat="1" spans="1:39">
      <c r="A13" s="11">
        <v>11</v>
      </c>
      <c r="B13" s="23"/>
      <c r="D13" s="11" t="s">
        <v>23</v>
      </c>
      <c r="E13" s="18" t="s">
        <v>26</v>
      </c>
      <c r="F13" s="12">
        <f t="shared" si="2"/>
        <v>10000</v>
      </c>
      <c r="G13" s="12">
        <f t="shared" si="0"/>
        <v>5200</v>
      </c>
      <c r="H13" s="29">
        <v>5000</v>
      </c>
      <c r="I13" s="1"/>
      <c r="J13" s="1"/>
      <c r="K13" s="1"/>
      <c r="L13" s="1">
        <v>5200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="11" customFormat="1" spans="1:39">
      <c r="A14" s="11">
        <v>12</v>
      </c>
      <c r="B14" s="23"/>
      <c r="D14" s="11" t="s">
        <v>23</v>
      </c>
      <c r="E14" s="18" t="s">
        <v>27</v>
      </c>
      <c r="F14" s="12">
        <f t="shared" si="2"/>
        <v>19000</v>
      </c>
      <c r="G14" s="12">
        <f t="shared" si="0"/>
        <v>15600</v>
      </c>
      <c r="H14" s="29">
        <v>4000</v>
      </c>
      <c r="I14" s="1"/>
      <c r="J14" s="33">
        <v>5200</v>
      </c>
      <c r="K14" s="1"/>
      <c r="L14" s="1">
        <v>5200</v>
      </c>
      <c r="M14" s="1"/>
      <c r="N14" s="1"/>
      <c r="O14" s="1"/>
      <c r="P14" s="1">
        <v>5200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="11" customFormat="1" spans="1:39">
      <c r="A15" s="11">
        <v>13</v>
      </c>
      <c r="B15" s="23" t="s">
        <v>28</v>
      </c>
      <c r="D15" s="11" t="s">
        <v>23</v>
      </c>
      <c r="E15" s="18" t="s">
        <v>29</v>
      </c>
      <c r="F15" s="12">
        <f t="shared" si="2"/>
        <v>4000</v>
      </c>
      <c r="G15" s="12">
        <f t="shared" si="0"/>
        <v>2080</v>
      </c>
      <c r="H15" s="29">
        <v>2000</v>
      </c>
      <c r="I15" s="1"/>
      <c r="J15" s="1"/>
      <c r="K15" s="1"/>
      <c r="L15" s="1"/>
      <c r="M15" s="1">
        <v>2080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="11" customFormat="1" spans="1:39">
      <c r="A16" s="11">
        <v>14</v>
      </c>
      <c r="B16" s="23"/>
      <c r="D16" s="11" t="s">
        <v>23</v>
      </c>
      <c r="E16" s="18" t="s">
        <v>30</v>
      </c>
      <c r="F16" s="12">
        <f t="shared" si="2"/>
        <v>3000</v>
      </c>
      <c r="G16" s="12">
        <f t="shared" si="0"/>
        <v>1040</v>
      </c>
      <c r="H16" s="29">
        <v>2000</v>
      </c>
      <c r="I16" s="1"/>
      <c r="J16" s="1"/>
      <c r="K16" s="1">
        <v>1040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="11" customFormat="1" spans="1:39">
      <c r="A17" s="11">
        <v>15</v>
      </c>
      <c r="B17" s="23" t="s">
        <v>31</v>
      </c>
      <c r="D17" s="11" t="s">
        <v>23</v>
      </c>
      <c r="E17" s="18" t="s">
        <v>32</v>
      </c>
      <c r="F17" s="12">
        <f t="shared" si="2"/>
        <v>3000</v>
      </c>
      <c r="G17" s="12">
        <f t="shared" si="0"/>
        <v>2600</v>
      </c>
      <c r="H17" s="29">
        <v>500</v>
      </c>
      <c r="I17" s="33">
        <v>520</v>
      </c>
      <c r="J17" s="1"/>
      <c r="K17" s="1">
        <v>1040</v>
      </c>
      <c r="L17" s="1"/>
      <c r="M17" s="1"/>
      <c r="N17" s="1"/>
      <c r="O17" s="1">
        <v>1040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="11" customFormat="1" spans="1:39">
      <c r="A18" s="11">
        <v>16</v>
      </c>
      <c r="B18" s="30" t="s">
        <v>33</v>
      </c>
      <c r="C18" s="11">
        <v>683909556</v>
      </c>
      <c r="D18" s="11" t="s">
        <v>23</v>
      </c>
      <c r="E18" s="31" t="s">
        <v>34</v>
      </c>
      <c r="F18" s="12">
        <f t="shared" si="2"/>
        <v>2000</v>
      </c>
      <c r="G18" s="12">
        <f t="shared" si="0"/>
        <v>1040</v>
      </c>
      <c r="H18" s="29">
        <v>1000</v>
      </c>
      <c r="I18" s="1"/>
      <c r="J18" s="1"/>
      <c r="K18" s="1">
        <v>1040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="11" customFormat="1" spans="1:39">
      <c r="A19" s="11">
        <v>17</v>
      </c>
      <c r="B19" s="23"/>
      <c r="D19" s="11" t="s">
        <v>23</v>
      </c>
      <c r="E19" s="18" t="s">
        <v>35</v>
      </c>
      <c r="F19" s="12">
        <f t="shared" ref="F19:F82" si="3">G19/1.04+H19</f>
        <v>6000</v>
      </c>
      <c r="G19" s="12">
        <f t="shared" si="0"/>
        <v>6240</v>
      </c>
      <c r="H19" s="29">
        <v>0</v>
      </c>
      <c r="I19" s="1"/>
      <c r="J19" s="1">
        <v>3120</v>
      </c>
      <c r="K19" s="1"/>
      <c r="L19" s="1"/>
      <c r="M19" s="1"/>
      <c r="N19" s="1">
        <v>3120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="11" customFormat="1" spans="1:39">
      <c r="A20" s="11">
        <v>18</v>
      </c>
      <c r="B20" s="23"/>
      <c r="D20" s="11" t="s">
        <v>36</v>
      </c>
      <c r="E20" s="18" t="s">
        <v>37</v>
      </c>
      <c r="F20" s="12">
        <f t="shared" si="3"/>
        <v>15000</v>
      </c>
      <c r="G20" s="12">
        <f t="shared" si="0"/>
        <v>8320</v>
      </c>
      <c r="H20" s="29">
        <v>7000</v>
      </c>
      <c r="I20" s="33">
        <v>3120</v>
      </c>
      <c r="J20" s="1"/>
      <c r="K20" s="1"/>
      <c r="L20" s="1">
        <v>5200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="11" customFormat="1" spans="1:39">
      <c r="A21" s="11">
        <v>19</v>
      </c>
      <c r="B21" s="23"/>
      <c r="D21" s="11" t="s">
        <v>36</v>
      </c>
      <c r="E21" s="18" t="s">
        <v>38</v>
      </c>
      <c r="F21" s="12">
        <f t="shared" si="3"/>
        <v>2000</v>
      </c>
      <c r="G21" s="12">
        <f t="shared" si="0"/>
        <v>2080</v>
      </c>
      <c r="H21" s="29">
        <v>0</v>
      </c>
      <c r="I21" s="1"/>
      <c r="J21" s="1"/>
      <c r="K21" s="1"/>
      <c r="L21" s="1"/>
      <c r="M21" s="1"/>
      <c r="N21" s="1"/>
      <c r="O21" s="1">
        <v>2080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="11" customFormat="1" spans="1:39">
      <c r="A22" s="11">
        <v>20</v>
      </c>
      <c r="B22" s="23"/>
      <c r="D22" s="11" t="s">
        <v>36</v>
      </c>
      <c r="E22" s="18" t="s">
        <v>39</v>
      </c>
      <c r="F22" s="12">
        <f t="shared" si="3"/>
        <v>5000</v>
      </c>
      <c r="G22" s="12">
        <f t="shared" si="0"/>
        <v>4160</v>
      </c>
      <c r="H22" s="29">
        <v>1000</v>
      </c>
      <c r="I22" s="1"/>
      <c r="J22" s="1"/>
      <c r="K22" s="1"/>
      <c r="L22" s="1">
        <v>1040</v>
      </c>
      <c r="M22" s="1">
        <v>1040</v>
      </c>
      <c r="N22" s="1">
        <v>1040</v>
      </c>
      <c r="O22" s="1">
        <v>1040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="11" customFormat="1" spans="1:39">
      <c r="A23" s="11">
        <v>21</v>
      </c>
      <c r="B23" s="23"/>
      <c r="D23" s="11" t="s">
        <v>36</v>
      </c>
      <c r="E23" s="18" t="s">
        <v>40</v>
      </c>
      <c r="F23" s="12">
        <f t="shared" si="3"/>
        <v>10000</v>
      </c>
      <c r="G23" s="12">
        <f t="shared" si="0"/>
        <v>5200</v>
      </c>
      <c r="H23" s="29">
        <v>5000</v>
      </c>
      <c r="I23" s="1"/>
      <c r="J23" s="1"/>
      <c r="K23" s="1">
        <v>5200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="11" customFormat="1" spans="1:39">
      <c r="A24" s="11">
        <v>22</v>
      </c>
      <c r="B24" s="23"/>
      <c r="D24" s="11" t="s">
        <v>36</v>
      </c>
      <c r="E24" s="18" t="s">
        <v>41</v>
      </c>
      <c r="F24" s="12">
        <f t="shared" si="3"/>
        <v>0</v>
      </c>
      <c r="G24" s="12">
        <f t="shared" si="0"/>
        <v>0</v>
      </c>
      <c r="H24" s="29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="11" customFormat="1" spans="1:39">
      <c r="A25" s="11">
        <v>23</v>
      </c>
      <c r="B25" s="23"/>
      <c r="D25" s="11" t="s">
        <v>36</v>
      </c>
      <c r="E25" s="18" t="s">
        <v>42</v>
      </c>
      <c r="F25" s="12">
        <f t="shared" si="3"/>
        <v>9000</v>
      </c>
      <c r="G25" s="12">
        <f t="shared" si="0"/>
        <v>6240</v>
      </c>
      <c r="H25" s="29">
        <v>3000</v>
      </c>
      <c r="I25" s="1"/>
      <c r="J25" s="1"/>
      <c r="K25" s="1"/>
      <c r="L25" s="1"/>
      <c r="M25" s="1">
        <v>3120</v>
      </c>
      <c r="N25" s="1">
        <v>3120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="11" customFormat="1" spans="1:39">
      <c r="A26" s="11">
        <v>24</v>
      </c>
      <c r="B26" s="23"/>
      <c r="D26" s="11" t="s">
        <v>36</v>
      </c>
      <c r="E26" s="18" t="s">
        <v>43</v>
      </c>
      <c r="F26" s="12">
        <f t="shared" si="3"/>
        <v>10000</v>
      </c>
      <c r="G26" s="12">
        <f t="shared" si="0"/>
        <v>10400</v>
      </c>
      <c r="H26" s="29">
        <v>0</v>
      </c>
      <c r="I26" s="1"/>
      <c r="J26" s="1">
        <v>5200</v>
      </c>
      <c r="K26" s="1"/>
      <c r="L26" s="1"/>
      <c r="M26" s="1">
        <v>5200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="11" customFormat="1" spans="1:39">
      <c r="A27" s="11">
        <v>25</v>
      </c>
      <c r="B27" s="23"/>
      <c r="D27" s="11" t="s">
        <v>36</v>
      </c>
      <c r="E27" s="18" t="s">
        <v>44</v>
      </c>
      <c r="F27" s="12">
        <f t="shared" si="3"/>
        <v>9000</v>
      </c>
      <c r="G27" s="12">
        <f t="shared" si="0"/>
        <v>6240</v>
      </c>
      <c r="H27" s="29">
        <v>3000</v>
      </c>
      <c r="I27" s="1"/>
      <c r="J27" s="1">
        <v>3120</v>
      </c>
      <c r="K27" s="1"/>
      <c r="L27" s="1"/>
      <c r="M27" s="1"/>
      <c r="N27" s="1">
        <v>3120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="11" customFormat="1" spans="1:39">
      <c r="A28" s="11">
        <v>26</v>
      </c>
      <c r="B28" s="23"/>
      <c r="D28" s="11" t="s">
        <v>36</v>
      </c>
      <c r="E28" s="18" t="s">
        <v>45</v>
      </c>
      <c r="F28" s="12">
        <f t="shared" si="3"/>
        <v>4000</v>
      </c>
      <c r="G28" s="12">
        <f t="shared" si="0"/>
        <v>4160</v>
      </c>
      <c r="H28" s="29">
        <v>0</v>
      </c>
      <c r="I28" s="1">
        <v>2080</v>
      </c>
      <c r="J28" s="1"/>
      <c r="K28" s="1">
        <v>2080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="11" customFormat="1" spans="1:39">
      <c r="A29" s="11">
        <v>27</v>
      </c>
      <c r="B29" s="23"/>
      <c r="D29" s="11" t="s">
        <v>36</v>
      </c>
      <c r="E29" s="18" t="s">
        <v>46</v>
      </c>
      <c r="F29" s="12">
        <f t="shared" si="3"/>
        <v>2000</v>
      </c>
      <c r="G29" s="12">
        <f t="shared" si="0"/>
        <v>4160</v>
      </c>
      <c r="H29" s="29">
        <v>-2000</v>
      </c>
      <c r="I29" s="1">
        <v>2080</v>
      </c>
      <c r="J29" s="1"/>
      <c r="K29" s="1"/>
      <c r="L29" s="1"/>
      <c r="M29" s="1">
        <v>2080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="11" customFormat="1" spans="1:39">
      <c r="A30" s="11">
        <v>28</v>
      </c>
      <c r="B30" s="23"/>
      <c r="D30" s="11" t="s">
        <v>36</v>
      </c>
      <c r="E30" s="18" t="s">
        <v>47</v>
      </c>
      <c r="F30" s="12">
        <f t="shared" si="3"/>
        <v>4000</v>
      </c>
      <c r="G30" s="12">
        <f t="shared" si="0"/>
        <v>4160</v>
      </c>
      <c r="H30" s="29">
        <v>0</v>
      </c>
      <c r="I30" s="1">
        <v>2080</v>
      </c>
      <c r="J30" s="1"/>
      <c r="K30" s="1"/>
      <c r="L30" s="1"/>
      <c r="M30" s="1"/>
      <c r="N30" s="1"/>
      <c r="O30" s="1">
        <v>2080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="11" customFormat="1" spans="1:39">
      <c r="A31" s="11">
        <v>29</v>
      </c>
      <c r="B31" s="23"/>
      <c r="D31" s="11" t="s">
        <v>36</v>
      </c>
      <c r="E31" s="18" t="s">
        <v>48</v>
      </c>
      <c r="F31" s="12">
        <f t="shared" si="3"/>
        <v>5000</v>
      </c>
      <c r="G31" s="12">
        <f t="shared" si="0"/>
        <v>5200</v>
      </c>
      <c r="H31" s="29">
        <v>0</v>
      </c>
      <c r="I31" s="1"/>
      <c r="J31" s="1"/>
      <c r="K31" s="1">
        <v>5200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="11" customFormat="1" spans="1:39">
      <c r="A32" s="11">
        <v>30</v>
      </c>
      <c r="B32" s="23"/>
      <c r="D32" s="11" t="s">
        <v>36</v>
      </c>
      <c r="E32" s="18" t="s">
        <v>49</v>
      </c>
      <c r="F32" s="12">
        <f t="shared" si="3"/>
        <v>26000</v>
      </c>
      <c r="G32" s="12">
        <f t="shared" si="0"/>
        <v>15600</v>
      </c>
      <c r="H32" s="29">
        <v>11000</v>
      </c>
      <c r="I32" s="1"/>
      <c r="J32" s="1"/>
      <c r="K32" s="1">
        <v>5200</v>
      </c>
      <c r="L32" s="1"/>
      <c r="M32" s="1"/>
      <c r="N32" s="1">
        <v>5200</v>
      </c>
      <c r="O32" s="1"/>
      <c r="P32" s="1">
        <v>5200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="11" customFormat="1" spans="1:39">
      <c r="A33" s="11">
        <v>31</v>
      </c>
      <c r="B33" s="23"/>
      <c r="D33" s="11" t="s">
        <v>36</v>
      </c>
      <c r="E33" s="18" t="s">
        <v>50</v>
      </c>
      <c r="F33" s="12">
        <f t="shared" si="3"/>
        <v>2000</v>
      </c>
      <c r="G33" s="12">
        <f t="shared" si="0"/>
        <v>2080</v>
      </c>
      <c r="H33" s="29">
        <v>0</v>
      </c>
      <c r="I33" s="1"/>
      <c r="J33" s="1">
        <v>2080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="11" customFormat="1" spans="1:39">
      <c r="A34" s="11">
        <v>32</v>
      </c>
      <c r="B34" s="23"/>
      <c r="D34" s="11" t="s">
        <v>51</v>
      </c>
      <c r="E34" s="18" t="s">
        <v>52</v>
      </c>
      <c r="F34" s="12">
        <f t="shared" si="3"/>
        <v>4000</v>
      </c>
      <c r="G34" s="12">
        <f t="shared" si="0"/>
        <v>3120</v>
      </c>
      <c r="H34" s="29">
        <v>1000</v>
      </c>
      <c r="I34" s="1"/>
      <c r="J34" s="1">
        <v>1040</v>
      </c>
      <c r="K34" s="1"/>
      <c r="L34" s="1"/>
      <c r="M34" s="1">
        <v>1040</v>
      </c>
      <c r="N34" s="1"/>
      <c r="O34" s="1">
        <v>1040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11" customFormat="1" spans="1:39">
      <c r="A35" s="11">
        <v>33</v>
      </c>
      <c r="B35" s="23"/>
      <c r="D35" s="11" t="s">
        <v>51</v>
      </c>
      <c r="E35" s="18" t="s">
        <v>53</v>
      </c>
      <c r="F35" s="12">
        <f t="shared" si="3"/>
        <v>5000</v>
      </c>
      <c r="G35" s="12">
        <f t="shared" si="0"/>
        <v>5200</v>
      </c>
      <c r="H35" s="29">
        <v>0</v>
      </c>
      <c r="I35" s="1">
        <v>1040</v>
      </c>
      <c r="J35" s="1">
        <v>1040</v>
      </c>
      <c r="K35" s="1">
        <v>1040</v>
      </c>
      <c r="L35" s="1">
        <v>1040</v>
      </c>
      <c r="M35" s="1"/>
      <c r="N35" s="1">
        <v>1040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="11" customFormat="1" spans="1:39">
      <c r="A36" s="11">
        <v>34</v>
      </c>
      <c r="B36" s="23"/>
      <c r="D36" s="11" t="s">
        <v>51</v>
      </c>
      <c r="E36" s="18" t="s">
        <v>54</v>
      </c>
      <c r="F36" s="12">
        <f t="shared" si="3"/>
        <v>0</v>
      </c>
      <c r="G36" s="12">
        <f t="shared" si="0"/>
        <v>0</v>
      </c>
      <c r="H36" s="29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="11" customFormat="1" spans="1:39">
      <c r="A37" s="11">
        <v>35</v>
      </c>
      <c r="B37" s="23"/>
      <c r="D37" s="11" t="s">
        <v>51</v>
      </c>
      <c r="E37" s="18" t="s">
        <v>55</v>
      </c>
      <c r="F37" s="12">
        <f t="shared" si="3"/>
        <v>15000</v>
      </c>
      <c r="G37" s="12">
        <f t="shared" si="0"/>
        <v>15600</v>
      </c>
      <c r="H37" s="29">
        <v>0</v>
      </c>
      <c r="I37" s="1">
        <v>3120</v>
      </c>
      <c r="J37" s="1"/>
      <c r="K37" s="1">
        <v>3120</v>
      </c>
      <c r="L37" s="33">
        <v>3120</v>
      </c>
      <c r="M37" s="1">
        <v>3120</v>
      </c>
      <c r="N37" s="1"/>
      <c r="O37" s="1"/>
      <c r="P37" s="1">
        <v>3120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="11" customFormat="1" spans="1:39">
      <c r="A38" s="11">
        <v>36</v>
      </c>
      <c r="B38" s="23"/>
      <c r="D38" s="11" t="s">
        <v>51</v>
      </c>
      <c r="E38" s="18" t="s">
        <v>56</v>
      </c>
      <c r="F38" s="12">
        <f t="shared" si="3"/>
        <v>1000</v>
      </c>
      <c r="G38" s="12">
        <f t="shared" si="0"/>
        <v>1040</v>
      </c>
      <c r="H38" s="29">
        <v>0</v>
      </c>
      <c r="I38" s="1"/>
      <c r="J38" s="1"/>
      <c r="K38" s="1"/>
      <c r="L38" s="1"/>
      <c r="M38" s="1"/>
      <c r="N38" s="1"/>
      <c r="O38" s="1">
        <v>1040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11" customFormat="1" spans="1:39">
      <c r="A39" s="11">
        <v>37</v>
      </c>
      <c r="B39" s="23"/>
      <c r="D39" s="11" t="s">
        <v>51</v>
      </c>
      <c r="E39" s="18" t="s">
        <v>57</v>
      </c>
      <c r="F39" s="12">
        <f t="shared" si="3"/>
        <v>7000</v>
      </c>
      <c r="G39" s="12">
        <f t="shared" si="0"/>
        <v>7280</v>
      </c>
      <c r="H39" s="29">
        <v>0</v>
      </c>
      <c r="I39" s="33">
        <v>1040</v>
      </c>
      <c r="J39" s="1">
        <v>3120</v>
      </c>
      <c r="K39" s="1"/>
      <c r="L39" s="1"/>
      <c r="M39" s="1">
        <v>3120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="11" customFormat="1" spans="1:39">
      <c r="A40" s="11">
        <v>38</v>
      </c>
      <c r="B40" s="23"/>
      <c r="C40" s="11">
        <v>684087396</v>
      </c>
      <c r="D40" s="11" t="s">
        <v>51</v>
      </c>
      <c r="E40" s="18" t="s">
        <v>58</v>
      </c>
      <c r="F40" s="12">
        <f t="shared" si="3"/>
        <v>1000</v>
      </c>
      <c r="G40" s="12">
        <f t="shared" si="0"/>
        <v>1040</v>
      </c>
      <c r="H40" s="29">
        <v>0</v>
      </c>
      <c r="I40" s="1"/>
      <c r="J40" s="1"/>
      <c r="K40" s="1"/>
      <c r="L40" s="1"/>
      <c r="M40" s="33">
        <v>1040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="11" customFormat="1" spans="1:39">
      <c r="A41" s="11">
        <v>39</v>
      </c>
      <c r="B41" s="23"/>
      <c r="D41" s="11" t="s">
        <v>51</v>
      </c>
      <c r="E41" s="18" t="s">
        <v>59</v>
      </c>
      <c r="F41" s="12">
        <f t="shared" si="3"/>
        <v>0</v>
      </c>
      <c r="G41" s="12">
        <f t="shared" si="0"/>
        <v>0</v>
      </c>
      <c r="H41" s="29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11" customFormat="1" spans="1:39">
      <c r="A42" s="11">
        <v>40</v>
      </c>
      <c r="B42" s="23"/>
      <c r="D42" s="11" t="s">
        <v>51</v>
      </c>
      <c r="E42" s="18" t="s">
        <v>60</v>
      </c>
      <c r="F42" s="12">
        <f t="shared" si="3"/>
        <v>4000</v>
      </c>
      <c r="G42" s="12">
        <f t="shared" si="0"/>
        <v>4160</v>
      </c>
      <c r="H42" s="29">
        <v>0</v>
      </c>
      <c r="I42" s="1"/>
      <c r="J42" s="1">
        <v>2080</v>
      </c>
      <c r="K42" s="1"/>
      <c r="L42" s="1"/>
      <c r="M42" s="1">
        <v>2080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11" customFormat="1" spans="1:39">
      <c r="A43" s="11">
        <v>41</v>
      </c>
      <c r="B43" s="23"/>
      <c r="D43" s="11" t="s">
        <v>51</v>
      </c>
      <c r="E43" s="18" t="s">
        <v>61</v>
      </c>
      <c r="F43" s="12">
        <f t="shared" si="3"/>
        <v>12000</v>
      </c>
      <c r="G43" s="12">
        <f t="shared" si="0"/>
        <v>9360</v>
      </c>
      <c r="H43" s="29">
        <v>3000</v>
      </c>
      <c r="I43" s="1"/>
      <c r="J43" s="1">
        <v>3120</v>
      </c>
      <c r="K43" s="1"/>
      <c r="L43" s="1">
        <v>3120</v>
      </c>
      <c r="M43" s="1"/>
      <c r="N43" s="1"/>
      <c r="O43" s="1">
        <v>3120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="11" customFormat="1" spans="1:39">
      <c r="A44" s="11">
        <v>42</v>
      </c>
      <c r="B44" s="23"/>
      <c r="D44" s="11" t="s">
        <v>51</v>
      </c>
      <c r="E44" s="18" t="s">
        <v>62</v>
      </c>
      <c r="F44" s="12">
        <f t="shared" si="3"/>
        <v>2000</v>
      </c>
      <c r="G44" s="12">
        <f t="shared" si="0"/>
        <v>2080</v>
      </c>
      <c r="H44" s="29">
        <v>0</v>
      </c>
      <c r="I44" s="1"/>
      <c r="J44" s="1">
        <v>2080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="11" customFormat="1" spans="1:39">
      <c r="A45" s="11">
        <v>43</v>
      </c>
      <c r="B45" s="23"/>
      <c r="D45" s="11" t="s">
        <v>51</v>
      </c>
      <c r="E45" s="18" t="s">
        <v>63</v>
      </c>
      <c r="F45" s="12">
        <f t="shared" si="3"/>
        <v>12000</v>
      </c>
      <c r="G45" s="12">
        <f t="shared" si="0"/>
        <v>6240</v>
      </c>
      <c r="H45" s="29">
        <v>6000</v>
      </c>
      <c r="I45" s="1"/>
      <c r="J45" s="1"/>
      <c r="K45" s="1">
        <v>3120</v>
      </c>
      <c r="L45" s="1"/>
      <c r="M45" s="1"/>
      <c r="N45" s="1"/>
      <c r="O45" s="1">
        <v>3120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="11" customFormat="1" spans="1:39">
      <c r="A46" s="11">
        <v>44</v>
      </c>
      <c r="B46" s="23"/>
      <c r="D46" s="11" t="s">
        <v>64</v>
      </c>
      <c r="E46" s="18" t="s">
        <v>65</v>
      </c>
      <c r="F46" s="12">
        <f t="shared" si="3"/>
        <v>9000</v>
      </c>
      <c r="G46" s="12">
        <f t="shared" si="0"/>
        <v>9360</v>
      </c>
      <c r="H46" s="29">
        <v>0</v>
      </c>
      <c r="I46" s="1"/>
      <c r="J46" s="1">
        <v>3120</v>
      </c>
      <c r="K46" s="1"/>
      <c r="L46" s="1"/>
      <c r="M46" s="1">
        <v>3120</v>
      </c>
      <c r="N46" s="1">
        <v>3120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="11" customFormat="1" spans="1:39">
      <c r="A47" s="11">
        <v>45</v>
      </c>
      <c r="B47" s="23"/>
      <c r="D47" s="11" t="s">
        <v>64</v>
      </c>
      <c r="E47" s="18" t="s">
        <v>66</v>
      </c>
      <c r="F47" s="12">
        <f t="shared" si="3"/>
        <v>6000</v>
      </c>
      <c r="G47" s="12">
        <f t="shared" si="0"/>
        <v>3120</v>
      </c>
      <c r="H47" s="29">
        <v>3000</v>
      </c>
      <c r="I47" s="1"/>
      <c r="J47" s="1"/>
      <c r="K47" s="1"/>
      <c r="L47" s="1"/>
      <c r="M47" s="1">
        <v>3120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="11" customFormat="1" spans="1:39">
      <c r="A48" s="11">
        <v>46</v>
      </c>
      <c r="B48" s="23"/>
      <c r="D48" s="11" t="s">
        <v>64</v>
      </c>
      <c r="E48" s="18" t="s">
        <v>67</v>
      </c>
      <c r="F48" s="12">
        <f t="shared" si="3"/>
        <v>4000</v>
      </c>
      <c r="G48" s="12">
        <f t="shared" si="0"/>
        <v>4160</v>
      </c>
      <c r="H48" s="29">
        <v>0</v>
      </c>
      <c r="I48" s="1"/>
      <c r="J48" s="1">
        <v>2080</v>
      </c>
      <c r="K48" s="1"/>
      <c r="L48" s="1"/>
      <c r="M48" s="1"/>
      <c r="N48" s="1"/>
      <c r="O48" s="1">
        <v>2080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="11" customFormat="1" spans="1:39">
      <c r="A49" s="11">
        <v>47</v>
      </c>
      <c r="B49" s="23"/>
      <c r="D49" s="11" t="s">
        <v>64</v>
      </c>
      <c r="E49" s="18" t="s">
        <v>68</v>
      </c>
      <c r="F49" s="12">
        <f t="shared" si="3"/>
        <v>16000</v>
      </c>
      <c r="G49" s="12">
        <f t="shared" si="0"/>
        <v>15600</v>
      </c>
      <c r="H49" s="29">
        <v>1000</v>
      </c>
      <c r="I49" s="1">
        <v>3120</v>
      </c>
      <c r="J49" s="1">
        <v>3120</v>
      </c>
      <c r="K49" s="1"/>
      <c r="L49" s="1">
        <v>3120</v>
      </c>
      <c r="M49" s="1">
        <v>3120</v>
      </c>
      <c r="N49" s="1"/>
      <c r="O49" s="1">
        <v>3120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="11" customFormat="1" spans="1:39">
      <c r="A50" s="11">
        <v>48</v>
      </c>
      <c r="B50" s="23"/>
      <c r="D50" s="11" t="s">
        <v>64</v>
      </c>
      <c r="E50" s="18" t="s">
        <v>69</v>
      </c>
      <c r="F50" s="12">
        <f t="shared" si="3"/>
        <v>3000</v>
      </c>
      <c r="G50" s="12">
        <f t="shared" si="0"/>
        <v>3120</v>
      </c>
      <c r="H50" s="29">
        <v>0</v>
      </c>
      <c r="I50" s="1"/>
      <c r="J50" s="1"/>
      <c r="K50" s="1"/>
      <c r="L50" s="1"/>
      <c r="M50" s="1">
        <v>3120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="11" customFormat="1" spans="1:39">
      <c r="A51" s="11">
        <v>49</v>
      </c>
      <c r="B51" s="23"/>
      <c r="D51" s="11" t="s">
        <v>64</v>
      </c>
      <c r="E51" s="18" t="s">
        <v>70</v>
      </c>
      <c r="F51" s="12">
        <f t="shared" si="3"/>
        <v>5000</v>
      </c>
      <c r="G51" s="12">
        <f t="shared" si="0"/>
        <v>4160</v>
      </c>
      <c r="H51" s="29">
        <v>1000</v>
      </c>
      <c r="I51" s="1"/>
      <c r="J51" s="1"/>
      <c r="K51" s="1">
        <v>2080</v>
      </c>
      <c r="L51" s="1">
        <v>2080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="11" customFormat="1" spans="1:39">
      <c r="A52" s="11">
        <v>50</v>
      </c>
      <c r="B52" s="23"/>
      <c r="D52" s="11" t="s">
        <v>64</v>
      </c>
      <c r="E52" s="18" t="s">
        <v>71</v>
      </c>
      <c r="F52" s="12">
        <f t="shared" si="3"/>
        <v>0</v>
      </c>
      <c r="G52" s="12">
        <f t="shared" si="0"/>
        <v>0</v>
      </c>
      <c r="H52" s="29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="11" customFormat="1" spans="1:39">
      <c r="A53" s="11">
        <v>51</v>
      </c>
      <c r="B53" s="23"/>
      <c r="D53" s="11" t="s">
        <v>64</v>
      </c>
      <c r="E53" s="18" t="s">
        <v>72</v>
      </c>
      <c r="F53" s="12">
        <f t="shared" si="3"/>
        <v>8000</v>
      </c>
      <c r="G53" s="12">
        <f t="shared" si="0"/>
        <v>8320</v>
      </c>
      <c r="H53" s="29">
        <v>0</v>
      </c>
      <c r="I53" s="1">
        <v>2080</v>
      </c>
      <c r="J53" s="1">
        <v>1040</v>
      </c>
      <c r="K53" s="1">
        <v>1040</v>
      </c>
      <c r="L53" s="1">
        <v>1040</v>
      </c>
      <c r="M53" s="1">
        <v>1040</v>
      </c>
      <c r="N53" s="1">
        <v>1040</v>
      </c>
      <c r="O53" s="1"/>
      <c r="P53" s="1">
        <v>1040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="11" customFormat="1" spans="1:39">
      <c r="A54" s="11">
        <v>52</v>
      </c>
      <c r="B54" s="23"/>
      <c r="D54" s="11" t="s">
        <v>64</v>
      </c>
      <c r="E54" s="18" t="s">
        <v>73</v>
      </c>
      <c r="F54" s="12">
        <f t="shared" si="3"/>
        <v>6000</v>
      </c>
      <c r="G54" s="12">
        <f t="shared" si="0"/>
        <v>4160</v>
      </c>
      <c r="H54" s="29">
        <v>2000</v>
      </c>
      <c r="I54" s="1"/>
      <c r="J54" s="1"/>
      <c r="K54" s="1"/>
      <c r="L54" s="1">
        <v>2080</v>
      </c>
      <c r="M54" s="1"/>
      <c r="O54" s="1">
        <v>2080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="11" customFormat="1" spans="1:39">
      <c r="A55" s="11">
        <v>53</v>
      </c>
      <c r="B55" s="30"/>
      <c r="D55" s="11" t="s">
        <v>64</v>
      </c>
      <c r="E55" s="31" t="s">
        <v>74</v>
      </c>
      <c r="F55" s="12">
        <f t="shared" si="3"/>
        <v>2000</v>
      </c>
      <c r="G55" s="12">
        <f t="shared" si="0"/>
        <v>2080</v>
      </c>
      <c r="H55" s="29">
        <v>0</v>
      </c>
      <c r="I55" s="1"/>
      <c r="J55" s="1"/>
      <c r="K55" s="1"/>
      <c r="L55" s="33">
        <v>2080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="11" customFormat="1" spans="1:39">
      <c r="A56" s="11">
        <v>54</v>
      </c>
      <c r="B56" s="30"/>
      <c r="D56" s="11" t="s">
        <v>64</v>
      </c>
      <c r="E56" s="31" t="s">
        <v>75</v>
      </c>
      <c r="F56" s="12">
        <f t="shared" si="3"/>
        <v>2000</v>
      </c>
      <c r="G56" s="12">
        <f t="shared" si="0"/>
        <v>2080</v>
      </c>
      <c r="H56" s="29">
        <v>0</v>
      </c>
      <c r="I56" s="1">
        <v>1040</v>
      </c>
      <c r="J56" s="1"/>
      <c r="K56" s="1"/>
      <c r="L56" s="1">
        <v>1040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="11" customFormat="1" spans="1:39">
      <c r="A57" s="11">
        <v>55</v>
      </c>
      <c r="B57" s="30"/>
      <c r="D57" s="11" t="s">
        <v>64</v>
      </c>
      <c r="E57" s="31" t="s">
        <v>76</v>
      </c>
      <c r="F57" s="12">
        <f t="shared" si="3"/>
        <v>0</v>
      </c>
      <c r="G57" s="12">
        <f t="shared" si="0"/>
        <v>0</v>
      </c>
      <c r="H57" s="29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="11" customFormat="1" spans="1:39">
      <c r="A58" s="11">
        <v>56</v>
      </c>
      <c r="B58" s="23"/>
      <c r="D58" s="11" t="s">
        <v>77</v>
      </c>
      <c r="E58" s="18" t="s">
        <v>78</v>
      </c>
      <c r="F58" s="12">
        <f t="shared" si="3"/>
        <v>0</v>
      </c>
      <c r="G58" s="12">
        <f t="shared" si="0"/>
        <v>0</v>
      </c>
      <c r="H58" s="29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="11" customFormat="1" spans="1:39">
      <c r="A59" s="11">
        <v>57</v>
      </c>
      <c r="B59" s="23"/>
      <c r="D59" s="11" t="s">
        <v>77</v>
      </c>
      <c r="E59" s="18" t="s">
        <v>79</v>
      </c>
      <c r="F59" s="12">
        <f t="shared" si="3"/>
        <v>10000</v>
      </c>
      <c r="G59" s="12">
        <f t="shared" si="0"/>
        <v>10400</v>
      </c>
      <c r="H59" s="29">
        <v>0</v>
      </c>
      <c r="I59" s="1"/>
      <c r="J59" s="1">
        <v>5200</v>
      </c>
      <c r="K59" s="1"/>
      <c r="L59" s="1"/>
      <c r="M59" s="1"/>
      <c r="N59" s="1"/>
      <c r="O59" s="1">
        <v>5200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="11" customFormat="1" spans="1:39">
      <c r="A60" s="11">
        <v>58</v>
      </c>
      <c r="B60" s="23"/>
      <c r="D60" s="11" t="s">
        <v>77</v>
      </c>
      <c r="E60" s="18" t="s">
        <v>80</v>
      </c>
      <c r="F60" s="12">
        <f t="shared" si="3"/>
        <v>5000</v>
      </c>
      <c r="G60" s="12">
        <f t="shared" si="0"/>
        <v>5200</v>
      </c>
      <c r="H60" s="29">
        <v>0</v>
      </c>
      <c r="I60" s="1"/>
      <c r="J60" s="1"/>
      <c r="K60" s="1"/>
      <c r="L60" s="1"/>
      <c r="M60" s="1">
        <v>5200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="11" customFormat="1" spans="1:39">
      <c r="A61" s="11">
        <v>59</v>
      </c>
      <c r="B61" s="23"/>
      <c r="D61" s="11" t="s">
        <v>77</v>
      </c>
      <c r="E61" s="18" t="s">
        <v>81</v>
      </c>
      <c r="F61" s="12">
        <f t="shared" si="3"/>
        <v>3000</v>
      </c>
      <c r="G61" s="12">
        <f t="shared" si="0"/>
        <v>4160</v>
      </c>
      <c r="H61" s="29">
        <v>-1000</v>
      </c>
      <c r="I61" s="1"/>
      <c r="J61" s="1"/>
      <c r="K61" s="1">
        <v>2080</v>
      </c>
      <c r="L61" s="1"/>
      <c r="M61" s="1"/>
      <c r="N61" s="1">
        <v>2080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="11" customFormat="1" spans="1:39">
      <c r="A62" s="11">
        <v>60</v>
      </c>
      <c r="B62" s="30"/>
      <c r="D62" s="11" t="s">
        <v>82</v>
      </c>
      <c r="E62" s="31" t="s">
        <v>83</v>
      </c>
      <c r="F62" s="12">
        <f t="shared" si="3"/>
        <v>15000</v>
      </c>
      <c r="G62" s="12">
        <f t="shared" si="0"/>
        <v>15600</v>
      </c>
      <c r="H62" s="29">
        <v>0</v>
      </c>
      <c r="I62" s="1">
        <v>5200</v>
      </c>
      <c r="J62" s="1"/>
      <c r="K62" s="1"/>
      <c r="L62" s="1">
        <v>5200</v>
      </c>
      <c r="M62" s="1"/>
      <c r="N62" s="1">
        <v>5200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="11" customFormat="1" spans="1:39">
      <c r="A63" s="11">
        <v>61</v>
      </c>
      <c r="B63" s="30"/>
      <c r="D63" s="11" t="s">
        <v>82</v>
      </c>
      <c r="E63" s="31" t="s">
        <v>84</v>
      </c>
      <c r="F63" s="12">
        <f t="shared" si="3"/>
        <v>1100</v>
      </c>
      <c r="G63" s="12">
        <f t="shared" si="0"/>
        <v>0</v>
      </c>
      <c r="H63" s="29">
        <v>1100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="11" customFormat="1" spans="1:39">
      <c r="A64" s="11">
        <v>62</v>
      </c>
      <c r="B64" s="23"/>
      <c r="C64" s="11" t="s">
        <v>85</v>
      </c>
      <c r="D64" s="11" t="s">
        <v>82</v>
      </c>
      <c r="E64" s="18" t="s">
        <v>86</v>
      </c>
      <c r="F64" s="12">
        <f t="shared" si="3"/>
        <v>0</v>
      </c>
      <c r="G64" s="12">
        <f t="shared" si="0"/>
        <v>0</v>
      </c>
      <c r="H64" s="29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="11" customFormat="1" spans="1:39">
      <c r="A65" s="11">
        <v>63</v>
      </c>
      <c r="B65" s="23"/>
      <c r="C65" s="11">
        <v>685671039</v>
      </c>
      <c r="D65" s="11" t="s">
        <v>87</v>
      </c>
      <c r="E65" s="11" t="s">
        <v>88</v>
      </c>
      <c r="F65" s="12">
        <f t="shared" si="3"/>
        <v>4000</v>
      </c>
      <c r="G65" s="12">
        <f t="shared" si="0"/>
        <v>2080</v>
      </c>
      <c r="H65" s="24">
        <v>2000</v>
      </c>
      <c r="I65" s="1"/>
      <c r="J65" s="1"/>
      <c r="K65" s="1">
        <v>2080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="11" customFormat="1" spans="1:39">
      <c r="A66" s="11">
        <v>64</v>
      </c>
      <c r="B66" s="30"/>
      <c r="D66" s="11" t="s">
        <v>87</v>
      </c>
      <c r="E66" s="31" t="s">
        <v>89</v>
      </c>
      <c r="F66" s="12">
        <f t="shared" si="3"/>
        <v>10000</v>
      </c>
      <c r="G66" s="12">
        <f t="shared" ref="G66:G96" si="4">SUM(I66:AM66)</f>
        <v>4160</v>
      </c>
      <c r="H66" s="29">
        <v>6000</v>
      </c>
      <c r="I66" s="1"/>
      <c r="J66" s="1"/>
      <c r="K66" s="1">
        <v>2080</v>
      </c>
      <c r="L66" s="1"/>
      <c r="M66" s="1"/>
      <c r="N66" s="1"/>
      <c r="O66" s="1">
        <v>2080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="11" customFormat="1" spans="1:39">
      <c r="A67" s="11">
        <v>65</v>
      </c>
      <c r="B67" s="30"/>
      <c r="D67" s="11" t="s">
        <v>90</v>
      </c>
      <c r="E67" s="31" t="s">
        <v>91</v>
      </c>
      <c r="F67" s="12">
        <f t="shared" si="3"/>
        <v>2000</v>
      </c>
      <c r="G67" s="12">
        <f t="shared" si="4"/>
        <v>2080</v>
      </c>
      <c r="H67" s="29">
        <v>0</v>
      </c>
      <c r="I67" s="1"/>
      <c r="J67" s="1"/>
      <c r="K67" s="1">
        <v>2080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="11" customFormat="1" spans="1:39">
      <c r="A68" s="11">
        <v>66</v>
      </c>
      <c r="B68" s="23"/>
      <c r="D68" s="11" t="s">
        <v>92</v>
      </c>
      <c r="E68" s="18" t="s">
        <v>93</v>
      </c>
      <c r="F68" s="12">
        <f t="shared" si="3"/>
        <v>4000</v>
      </c>
      <c r="G68" s="12">
        <f t="shared" si="4"/>
        <v>4160</v>
      </c>
      <c r="H68" s="29">
        <v>0</v>
      </c>
      <c r="I68" s="1"/>
      <c r="J68" s="1"/>
      <c r="K68" s="1">
        <v>2080</v>
      </c>
      <c r="L68" s="1"/>
      <c r="M68" s="1"/>
      <c r="N68" s="1">
        <v>2080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="11" customFormat="1" spans="1:39">
      <c r="A69" s="11">
        <v>67</v>
      </c>
      <c r="B69" s="23"/>
      <c r="D69" s="11" t="s">
        <v>92</v>
      </c>
      <c r="E69" s="18" t="s">
        <v>94</v>
      </c>
      <c r="F69" s="12">
        <f t="shared" si="3"/>
        <v>3500</v>
      </c>
      <c r="G69" s="12">
        <f t="shared" si="4"/>
        <v>4160</v>
      </c>
      <c r="H69" s="29">
        <v>-500</v>
      </c>
      <c r="I69" s="1"/>
      <c r="J69" s="1">
        <v>2080</v>
      </c>
      <c r="K69" s="1"/>
      <c r="L69" s="1"/>
      <c r="M69" s="1">
        <v>2080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="11" customFormat="1" spans="1:39">
      <c r="A70" s="11">
        <v>68</v>
      </c>
      <c r="B70" s="23"/>
      <c r="D70" s="11" t="s">
        <v>92</v>
      </c>
      <c r="E70" s="18" t="s">
        <v>95</v>
      </c>
      <c r="F70" s="12">
        <f t="shared" si="3"/>
        <v>2000</v>
      </c>
      <c r="G70" s="12">
        <f t="shared" si="4"/>
        <v>2080</v>
      </c>
      <c r="H70" s="29">
        <v>0</v>
      </c>
      <c r="I70" s="1">
        <v>2080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="11" customFormat="1" spans="1:39">
      <c r="A71" s="11">
        <v>69</v>
      </c>
      <c r="B71" s="23"/>
      <c r="D71" s="11" t="s">
        <v>92</v>
      </c>
      <c r="E71" s="18" t="s">
        <v>96</v>
      </c>
      <c r="F71" s="12">
        <f t="shared" si="3"/>
        <v>1000</v>
      </c>
      <c r="G71" s="12">
        <f t="shared" si="4"/>
        <v>1040</v>
      </c>
      <c r="H71" s="29">
        <v>0</v>
      </c>
      <c r="I71" s="1"/>
      <c r="J71" s="1"/>
      <c r="K71" s="1">
        <v>1040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="11" customFormat="1" spans="1:39">
      <c r="A72" s="11">
        <v>70</v>
      </c>
      <c r="B72" s="23"/>
      <c r="D72" s="11" t="s">
        <v>92</v>
      </c>
      <c r="E72" s="18" t="s">
        <v>97</v>
      </c>
      <c r="F72" s="12">
        <f t="shared" si="3"/>
        <v>20000</v>
      </c>
      <c r="G72" s="12">
        <f t="shared" si="4"/>
        <v>15600</v>
      </c>
      <c r="H72" s="29">
        <v>5000</v>
      </c>
      <c r="I72" s="1"/>
      <c r="J72" s="1">
        <v>5200</v>
      </c>
      <c r="K72" s="1">
        <v>5200</v>
      </c>
      <c r="L72" s="1"/>
      <c r="M72" s="1"/>
      <c r="N72" s="1">
        <v>5200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="11" customFormat="1" spans="1:39">
      <c r="A73" s="11">
        <v>71</v>
      </c>
      <c r="B73" s="23"/>
      <c r="D73" s="11" t="s">
        <v>92</v>
      </c>
      <c r="E73" s="18" t="s">
        <v>98</v>
      </c>
      <c r="F73" s="12">
        <f t="shared" si="3"/>
        <v>9000</v>
      </c>
      <c r="G73" s="12">
        <f t="shared" si="4"/>
        <v>6240</v>
      </c>
      <c r="H73" s="29">
        <v>3000</v>
      </c>
      <c r="I73" s="1"/>
      <c r="J73" s="1">
        <v>3120</v>
      </c>
      <c r="K73" s="1"/>
      <c r="L73" s="1"/>
      <c r="M73" s="1">
        <v>3120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="11" customFormat="1" spans="1:39">
      <c r="A74" s="11">
        <v>72</v>
      </c>
      <c r="B74" s="30"/>
      <c r="D74" s="11" t="s">
        <v>92</v>
      </c>
      <c r="E74" s="31" t="s">
        <v>99</v>
      </c>
      <c r="F74" s="12">
        <f t="shared" si="3"/>
        <v>4000</v>
      </c>
      <c r="G74" s="12">
        <f t="shared" si="4"/>
        <v>4160</v>
      </c>
      <c r="H74" s="29">
        <v>0</v>
      </c>
      <c r="I74" s="1"/>
      <c r="J74" s="1">
        <v>2080</v>
      </c>
      <c r="K74" s="1"/>
      <c r="L74" s="1"/>
      <c r="M74" s="1"/>
      <c r="N74" s="1">
        <v>2080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="11" customFormat="1" spans="1:39">
      <c r="A75" s="11">
        <v>73</v>
      </c>
      <c r="B75" s="23"/>
      <c r="C75" s="11">
        <v>683909558</v>
      </c>
      <c r="D75" s="11" t="s">
        <v>92</v>
      </c>
      <c r="E75" s="18" t="s">
        <v>100</v>
      </c>
      <c r="F75" s="12">
        <f t="shared" si="3"/>
        <v>0</v>
      </c>
      <c r="G75" s="12">
        <f t="shared" si="4"/>
        <v>0</v>
      </c>
      <c r="H75" s="29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="11" customFormat="1" spans="1:39">
      <c r="A76" s="11">
        <v>74</v>
      </c>
      <c r="B76" s="30"/>
      <c r="D76" s="11" t="s">
        <v>92</v>
      </c>
      <c r="E76" s="31" t="s">
        <v>101</v>
      </c>
      <c r="F76" s="12">
        <f t="shared" si="3"/>
        <v>2000</v>
      </c>
      <c r="G76" s="12">
        <f t="shared" si="4"/>
        <v>2080</v>
      </c>
      <c r="H76" s="29">
        <v>0</v>
      </c>
      <c r="I76" s="1"/>
      <c r="J76" s="1"/>
      <c r="K76" s="1"/>
      <c r="L76" s="1"/>
      <c r="M76" s="1">
        <v>2080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="11" customFormat="1" spans="1:39">
      <c r="A77" s="11">
        <v>75</v>
      </c>
      <c r="B77" s="23"/>
      <c r="D77" s="11" t="s">
        <v>102</v>
      </c>
      <c r="E77" s="18" t="s">
        <v>103</v>
      </c>
      <c r="F77" s="12">
        <f t="shared" si="3"/>
        <v>4000</v>
      </c>
      <c r="G77" s="12">
        <f t="shared" si="4"/>
        <v>4160</v>
      </c>
      <c r="H77" s="29">
        <v>0</v>
      </c>
      <c r="I77" s="1">
        <v>2080</v>
      </c>
      <c r="J77" s="1"/>
      <c r="K77" s="1">
        <v>1040</v>
      </c>
      <c r="L77" s="1"/>
      <c r="M77" s="1">
        <v>1040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="11" customFormat="1" spans="1:39">
      <c r="A78" s="11">
        <v>76</v>
      </c>
      <c r="B78" s="23"/>
      <c r="D78" s="11" t="s">
        <v>102</v>
      </c>
      <c r="E78" s="18" t="s">
        <v>104</v>
      </c>
      <c r="F78" s="12">
        <f t="shared" si="3"/>
        <v>9000</v>
      </c>
      <c r="G78" s="12">
        <f t="shared" si="4"/>
        <v>6240</v>
      </c>
      <c r="H78" s="29">
        <v>3000</v>
      </c>
      <c r="I78" s="1"/>
      <c r="J78" s="1"/>
      <c r="K78" s="1"/>
      <c r="L78" s="1">
        <v>3120</v>
      </c>
      <c r="M78" s="1">
        <v>3120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="11" customFormat="1" spans="1:39">
      <c r="A79" s="11">
        <v>77</v>
      </c>
      <c r="B79" s="23"/>
      <c r="D79" s="11" t="s">
        <v>102</v>
      </c>
      <c r="E79" s="18" t="s">
        <v>105</v>
      </c>
      <c r="F79" s="12">
        <f t="shared" si="3"/>
        <v>6000</v>
      </c>
      <c r="G79" s="12">
        <f t="shared" si="4"/>
        <v>4160</v>
      </c>
      <c r="H79" s="29">
        <v>2000</v>
      </c>
      <c r="I79" s="1"/>
      <c r="J79" s="1"/>
      <c r="K79" s="1">
        <v>2080</v>
      </c>
      <c r="L79" s="1"/>
      <c r="M79" s="1"/>
      <c r="N79" s="1"/>
      <c r="O79" s="1"/>
      <c r="P79" s="1">
        <v>2080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="11" customFormat="1" spans="1:39">
      <c r="A80" s="11">
        <v>78</v>
      </c>
      <c r="B80" s="30"/>
      <c r="E80" s="31" t="s">
        <v>106</v>
      </c>
      <c r="F80" s="12">
        <f t="shared" si="3"/>
        <v>67000</v>
      </c>
      <c r="G80" s="12">
        <f t="shared" si="4"/>
        <v>6240</v>
      </c>
      <c r="H80" s="29">
        <v>61000</v>
      </c>
      <c r="I80" s="1"/>
      <c r="J80" s="1">
        <v>2080</v>
      </c>
      <c r="K80" s="33">
        <v>4160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="11" customFormat="1" spans="1:39">
      <c r="A81" s="11">
        <v>79</v>
      </c>
      <c r="B81" s="30"/>
      <c r="D81" s="11" t="s">
        <v>107</v>
      </c>
      <c r="E81" s="31" t="s">
        <v>108</v>
      </c>
      <c r="F81" s="12">
        <f t="shared" si="3"/>
        <v>2000</v>
      </c>
      <c r="G81" s="12">
        <f t="shared" si="4"/>
        <v>2080</v>
      </c>
      <c r="H81" s="29">
        <v>0</v>
      </c>
      <c r="I81" s="1"/>
      <c r="J81" s="1"/>
      <c r="K81" s="1"/>
      <c r="L81" s="1">
        <v>2080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="11" customFormat="1" spans="1:39">
      <c r="A82" s="11">
        <v>80</v>
      </c>
      <c r="B82" s="30"/>
      <c r="E82" s="31" t="s">
        <v>109</v>
      </c>
      <c r="F82" s="12">
        <f t="shared" si="3"/>
        <v>0</v>
      </c>
      <c r="G82" s="12">
        <f t="shared" si="4"/>
        <v>0</v>
      </c>
      <c r="H82" s="29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="11" customFormat="1" spans="1:39">
      <c r="A83" s="11">
        <v>81</v>
      </c>
      <c r="B83" s="30"/>
      <c r="D83" s="11" t="s">
        <v>110</v>
      </c>
      <c r="E83" s="31" t="s">
        <v>111</v>
      </c>
      <c r="F83" s="12">
        <f t="shared" ref="F83:F96" si="5">G83/1.04+H83</f>
        <v>2000</v>
      </c>
      <c r="G83" s="12">
        <f t="shared" si="4"/>
        <v>2080</v>
      </c>
      <c r="H83" s="29">
        <v>0</v>
      </c>
      <c r="I83" s="1">
        <v>2080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="11" customFormat="1" spans="1:39">
      <c r="A84" s="11">
        <v>82</v>
      </c>
      <c r="B84" s="30"/>
      <c r="E84" s="31" t="s">
        <v>112</v>
      </c>
      <c r="F84" s="12">
        <f t="shared" si="5"/>
        <v>0</v>
      </c>
      <c r="G84" s="12">
        <f t="shared" si="4"/>
        <v>0</v>
      </c>
      <c r="H84" s="29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="11" customFormat="1" spans="1:39">
      <c r="A85" s="11">
        <v>83</v>
      </c>
      <c r="B85" s="30"/>
      <c r="D85" s="11" t="s">
        <v>113</v>
      </c>
      <c r="E85" s="31" t="s">
        <v>114</v>
      </c>
      <c r="F85" s="12">
        <f t="shared" si="5"/>
        <v>10000</v>
      </c>
      <c r="G85" s="12">
        <f t="shared" si="4"/>
        <v>10400</v>
      </c>
      <c r="H85" s="29">
        <v>0</v>
      </c>
      <c r="I85" s="1">
        <v>5200</v>
      </c>
      <c r="J85" s="1"/>
      <c r="K85" s="1"/>
      <c r="L85" s="1"/>
      <c r="M85" s="1"/>
      <c r="N85" s="1"/>
      <c r="O85" s="1">
        <v>5200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="11" customFormat="1" spans="1:39">
      <c r="A86" s="11">
        <v>84</v>
      </c>
      <c r="B86" s="23"/>
      <c r="D86" s="11" t="s">
        <v>113</v>
      </c>
      <c r="E86" s="18" t="s">
        <v>115</v>
      </c>
      <c r="F86" s="12">
        <f t="shared" si="5"/>
        <v>0</v>
      </c>
      <c r="G86" s="12">
        <f t="shared" si="4"/>
        <v>0</v>
      </c>
      <c r="H86" s="29"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="11" customFormat="1" spans="1:39">
      <c r="A87" s="11">
        <v>85</v>
      </c>
      <c r="B87" s="30"/>
      <c r="C87" s="11">
        <v>683879115</v>
      </c>
      <c r="D87" s="11" t="s">
        <v>113</v>
      </c>
      <c r="E87" s="31" t="s">
        <v>116</v>
      </c>
      <c r="F87" s="12">
        <f t="shared" si="5"/>
        <v>0</v>
      </c>
      <c r="G87" s="12">
        <f t="shared" si="4"/>
        <v>0</v>
      </c>
      <c r="H87" s="29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="11" customFormat="1" spans="1:39">
      <c r="A88" s="11">
        <v>86</v>
      </c>
      <c r="B88" s="30"/>
      <c r="D88" s="11" t="s">
        <v>117</v>
      </c>
      <c r="E88" s="31" t="s">
        <v>118</v>
      </c>
      <c r="F88" s="12">
        <f t="shared" si="5"/>
        <v>2000</v>
      </c>
      <c r="G88" s="12">
        <f t="shared" si="4"/>
        <v>2080</v>
      </c>
      <c r="H88" s="29">
        <v>0</v>
      </c>
      <c r="I88" s="1"/>
      <c r="J88" s="1"/>
      <c r="K88" s="1"/>
      <c r="L88" s="1"/>
      <c r="M88" s="1"/>
      <c r="N88" s="1"/>
      <c r="O88" s="1">
        <v>2080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="11" customFormat="1" spans="1:39">
      <c r="A89" s="11">
        <v>87</v>
      </c>
      <c r="B89" s="30"/>
      <c r="E89" s="31" t="s">
        <v>119</v>
      </c>
      <c r="F89" s="12">
        <f t="shared" si="5"/>
        <v>0</v>
      </c>
      <c r="G89" s="12">
        <f t="shared" si="4"/>
        <v>0</v>
      </c>
      <c r="H89" s="29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="11" customFormat="1" spans="1:39">
      <c r="A90" s="11">
        <v>88</v>
      </c>
      <c r="B90" s="30"/>
      <c r="E90" s="31" t="s">
        <v>120</v>
      </c>
      <c r="F90" s="12">
        <f t="shared" si="5"/>
        <v>1000</v>
      </c>
      <c r="G90" s="12">
        <f t="shared" si="4"/>
        <v>1040</v>
      </c>
      <c r="H90" s="29">
        <v>0</v>
      </c>
      <c r="I90" s="1"/>
      <c r="J90" s="33">
        <v>1040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="11" customFormat="1" spans="1:39">
      <c r="A91" s="11">
        <v>89</v>
      </c>
      <c r="B91" s="30"/>
      <c r="E91" s="31" t="s">
        <v>121</v>
      </c>
      <c r="F91" s="12">
        <f t="shared" si="5"/>
        <v>0</v>
      </c>
      <c r="G91" s="12">
        <f t="shared" si="4"/>
        <v>0</v>
      </c>
      <c r="H91" s="29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="11" customFormat="1" spans="1:39">
      <c r="A92" s="11">
        <v>90</v>
      </c>
      <c r="B92" s="23"/>
      <c r="E92" s="18" t="s">
        <v>122</v>
      </c>
      <c r="F92" s="12">
        <f t="shared" si="5"/>
        <v>3000</v>
      </c>
      <c r="G92" s="12">
        <f t="shared" si="4"/>
        <v>3120</v>
      </c>
      <c r="H92" s="29">
        <v>0</v>
      </c>
      <c r="I92" s="1"/>
      <c r="J92" s="1"/>
      <c r="K92" s="1">
        <v>1040</v>
      </c>
      <c r="L92" s="1">
        <v>1040</v>
      </c>
      <c r="M92" s="1">
        <v>1040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="11" customFormat="1" spans="1:39">
      <c r="A93" s="11">
        <v>91</v>
      </c>
      <c r="B93" s="23"/>
      <c r="E93" s="18" t="s">
        <v>123</v>
      </c>
      <c r="F93" s="12">
        <f t="shared" si="5"/>
        <v>0</v>
      </c>
      <c r="G93" s="12">
        <f t="shared" si="4"/>
        <v>0</v>
      </c>
      <c r="H93" s="29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="11" customFormat="1" spans="1:39">
      <c r="A94" s="11">
        <v>92</v>
      </c>
      <c r="B94" s="23"/>
      <c r="D94" s="11" t="s">
        <v>124</v>
      </c>
      <c r="E94" s="18" t="s">
        <v>125</v>
      </c>
      <c r="F94" s="12">
        <f t="shared" si="5"/>
        <v>2000</v>
      </c>
      <c r="G94" s="12">
        <f t="shared" si="4"/>
        <v>1040</v>
      </c>
      <c r="H94" s="29">
        <v>1000</v>
      </c>
      <c r="I94" s="1"/>
      <c r="J94" s="1"/>
      <c r="K94" s="1">
        <v>1040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="11" customFormat="1" spans="1:39">
      <c r="A95" s="11">
        <v>93</v>
      </c>
      <c r="B95" s="23"/>
      <c r="E95" s="18" t="s">
        <v>126</v>
      </c>
      <c r="F95" s="12">
        <f t="shared" si="5"/>
        <v>0</v>
      </c>
      <c r="G95" s="12">
        <f t="shared" si="4"/>
        <v>0</v>
      </c>
      <c r="H95" s="29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="11" customFormat="1" spans="1:39">
      <c r="A96" s="11">
        <v>94</v>
      </c>
      <c r="B96" s="23"/>
      <c r="E96" s="18" t="s">
        <v>127</v>
      </c>
      <c r="F96" s="12">
        <f t="shared" si="5"/>
        <v>0</v>
      </c>
      <c r="G96" s="12">
        <f t="shared" si="4"/>
        <v>0</v>
      </c>
      <c r="H96" s="29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="11" customFormat="1" spans="2:8">
      <c r="B97" s="23"/>
      <c r="H97" s="24"/>
    </row>
    <row r="98" s="11" customFormat="1" spans="2:8">
      <c r="B98" s="23"/>
      <c r="H98" s="24"/>
    </row>
    <row r="99" s="11" customFormat="1" spans="2:8">
      <c r="B99" s="23"/>
      <c r="H99" s="24"/>
    </row>
    <row r="100" s="11" customFormat="1" spans="2:8">
      <c r="B100" s="23"/>
      <c r="H100" s="24"/>
    </row>
    <row r="101" s="11" customFormat="1" spans="2:8">
      <c r="B101" s="23"/>
      <c r="H101" s="24"/>
    </row>
    <row r="102" s="11" customFormat="1" spans="2:8">
      <c r="B102" s="23"/>
      <c r="H102" s="24"/>
    </row>
    <row r="103" s="11" customFormat="1" spans="2:8">
      <c r="B103" s="23"/>
      <c r="H103" s="24"/>
    </row>
    <row r="104" s="11" customFormat="1" spans="2:8">
      <c r="B104" s="23"/>
      <c r="H104" s="24"/>
    </row>
    <row r="105" s="11" customFormat="1" spans="2:8">
      <c r="B105" s="23"/>
      <c r="H105" s="24"/>
    </row>
    <row r="106" s="11" customFormat="1" spans="2:8">
      <c r="B106" s="23"/>
      <c r="H106" s="24"/>
    </row>
    <row r="107" s="11" customFormat="1" spans="2:8">
      <c r="B107" s="23"/>
      <c r="H107" s="24"/>
    </row>
    <row r="108" s="11" customFormat="1" spans="2:8">
      <c r="B108" s="23"/>
      <c r="H108" s="24"/>
    </row>
    <row r="109" s="11" customFormat="1" spans="2:8">
      <c r="B109" s="23"/>
      <c r="H109" s="24"/>
    </row>
    <row r="110" s="11" customFormat="1" spans="2:8">
      <c r="B110" s="23"/>
      <c r="H110" s="24"/>
    </row>
    <row r="111" s="11" customFormat="1" spans="2:8">
      <c r="B111" s="23"/>
      <c r="H111" s="24"/>
    </row>
    <row r="112" s="11" customFormat="1" spans="2:8">
      <c r="B112" s="23"/>
      <c r="H112" s="24"/>
    </row>
    <row r="113" s="11" customFormat="1" spans="2:8">
      <c r="B113" s="23"/>
      <c r="H113" s="24"/>
    </row>
    <row r="114" s="11" customFormat="1" spans="2:8">
      <c r="B114" s="23"/>
      <c r="H114" s="2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J81" activePane="bottomRight" state="frozen"/>
      <selection/>
      <selection pane="topRight"/>
      <selection pane="bottomLeft"/>
      <selection pane="bottomRight" activeCell="O101" sqref="O101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9" width="7.14285714285714" style="11" customWidth="1"/>
    <col min="40" max="16384" width="9.14285714285714" style="11"/>
  </cols>
  <sheetData>
    <row r="1" s="12" customFormat="1" spans="1:39">
      <c r="A1" s="13" t="s">
        <v>0</v>
      </c>
      <c r="B1" s="13" t="s">
        <v>1</v>
      </c>
      <c r="C1" s="13" t="s">
        <v>0</v>
      </c>
      <c r="D1" s="13" t="s">
        <v>1</v>
      </c>
      <c r="E1" s="13" t="s">
        <v>128</v>
      </c>
      <c r="F1" s="13" t="s">
        <v>3</v>
      </c>
      <c r="G1" s="13" t="s">
        <v>4</v>
      </c>
      <c r="H1" s="13" t="s">
        <v>129</v>
      </c>
      <c r="I1" s="19">
        <v>44287</v>
      </c>
      <c r="J1" s="19">
        <v>44288</v>
      </c>
      <c r="K1" s="19">
        <v>44289</v>
      </c>
      <c r="L1" s="19">
        <v>44290</v>
      </c>
      <c r="M1" s="19">
        <v>44291</v>
      </c>
      <c r="N1" s="19">
        <v>44292</v>
      </c>
      <c r="O1" s="19">
        <v>44293</v>
      </c>
      <c r="P1" s="19">
        <v>44294</v>
      </c>
      <c r="Q1" s="19">
        <v>44295</v>
      </c>
      <c r="R1" s="19">
        <v>44296</v>
      </c>
      <c r="S1" s="19">
        <v>44297</v>
      </c>
      <c r="T1" s="19">
        <v>44298</v>
      </c>
      <c r="U1" s="19">
        <v>44299</v>
      </c>
      <c r="V1" s="19">
        <v>44300</v>
      </c>
      <c r="W1" s="19">
        <v>44301</v>
      </c>
      <c r="X1" s="19">
        <v>44302</v>
      </c>
      <c r="Y1" s="19">
        <v>44303</v>
      </c>
      <c r="Z1" s="19">
        <v>44304</v>
      </c>
      <c r="AA1" s="19">
        <v>44305</v>
      </c>
      <c r="AB1" s="19">
        <v>44306</v>
      </c>
      <c r="AC1" s="19">
        <v>44307</v>
      </c>
      <c r="AD1" s="19">
        <v>44308</v>
      </c>
      <c r="AE1" s="19">
        <v>44309</v>
      </c>
      <c r="AF1" s="19">
        <v>44310</v>
      </c>
      <c r="AG1" s="19">
        <v>44311</v>
      </c>
      <c r="AH1" s="19">
        <v>44312</v>
      </c>
      <c r="AI1" s="19">
        <v>44313</v>
      </c>
      <c r="AJ1" s="19">
        <v>44314</v>
      </c>
      <c r="AK1" s="19">
        <v>44315</v>
      </c>
      <c r="AL1" s="19">
        <v>44316</v>
      </c>
      <c r="AM1" s="19"/>
    </row>
    <row r="2" s="12" customFormat="1" spans="1:38">
      <c r="A2" s="14"/>
      <c r="B2" s="14"/>
      <c r="C2" s="14"/>
      <c r="D2" s="14"/>
      <c r="E2" s="14"/>
      <c r="F2" s="15">
        <f>SUM(H3:H121)</f>
        <v>343800</v>
      </c>
      <c r="G2" s="16" t="s">
        <v>8</v>
      </c>
      <c r="H2" s="17">
        <f t="shared" ref="H2:H65" si="0">SUM(I2:AM2)</f>
        <v>343800</v>
      </c>
      <c r="I2" s="12">
        <f t="shared" ref="I2:AJ2" si="1">SUM(I3:I121)</f>
        <v>41000</v>
      </c>
      <c r="J2" s="12">
        <f t="shared" si="1"/>
        <v>52000</v>
      </c>
      <c r="K2" s="12">
        <f t="shared" si="1"/>
        <v>53400</v>
      </c>
      <c r="L2" s="12">
        <f t="shared" si="1"/>
        <v>2000</v>
      </c>
      <c r="M2" s="12">
        <f t="shared" si="1"/>
        <v>41100</v>
      </c>
      <c r="N2" s="12">
        <f t="shared" si="1"/>
        <v>81000</v>
      </c>
      <c r="O2" s="12">
        <f t="shared" si="1"/>
        <v>73300</v>
      </c>
      <c r="P2" s="12">
        <f t="shared" si="1"/>
        <v>0</v>
      </c>
      <c r="Q2" s="12">
        <f t="shared" si="1"/>
        <v>0</v>
      </c>
      <c r="R2" s="12">
        <f t="shared" si="1"/>
        <v>0</v>
      </c>
      <c r="S2" s="12">
        <f t="shared" si="1"/>
        <v>0</v>
      </c>
      <c r="T2" s="12">
        <f t="shared" si="1"/>
        <v>0</v>
      </c>
      <c r="U2" s="12">
        <f t="shared" si="1"/>
        <v>0</v>
      </c>
      <c r="V2" s="12">
        <f t="shared" si="1"/>
        <v>0</v>
      </c>
      <c r="W2" s="12">
        <f t="shared" si="1"/>
        <v>0</v>
      </c>
      <c r="X2" s="12">
        <f t="shared" si="1"/>
        <v>0</v>
      </c>
      <c r="Y2" s="12">
        <f t="shared" si="1"/>
        <v>0</v>
      </c>
      <c r="Z2" s="12">
        <f t="shared" si="1"/>
        <v>0</v>
      </c>
      <c r="AA2" s="12">
        <f t="shared" si="1"/>
        <v>0</v>
      </c>
      <c r="AB2" s="21">
        <f t="shared" si="1"/>
        <v>0</v>
      </c>
      <c r="AC2" s="12">
        <f t="shared" si="1"/>
        <v>0</v>
      </c>
      <c r="AD2" s="12">
        <f t="shared" si="1"/>
        <v>0</v>
      </c>
      <c r="AE2" s="12">
        <f t="shared" si="1"/>
        <v>0</v>
      </c>
      <c r="AF2" s="12">
        <f t="shared" si="1"/>
        <v>0</v>
      </c>
      <c r="AG2" s="12">
        <f t="shared" si="1"/>
        <v>0</v>
      </c>
      <c r="AH2" s="12">
        <f t="shared" si="1"/>
        <v>0</v>
      </c>
      <c r="AI2" s="12">
        <f t="shared" si="1"/>
        <v>0</v>
      </c>
      <c r="AJ2" s="12">
        <f t="shared" si="1"/>
        <v>0</v>
      </c>
      <c r="AK2" s="12">
        <f>SUM(AK97:AK121)</f>
        <v>0</v>
      </c>
      <c r="AL2" s="12">
        <f>SUM(AL3:AL121)</f>
        <v>0</v>
      </c>
    </row>
    <row r="3" s="11" customFormat="1" spans="1:39">
      <c r="A3" s="11">
        <v>1</v>
      </c>
      <c r="B3" s="11" t="s">
        <v>130</v>
      </c>
      <c r="C3" s="11">
        <v>1</v>
      </c>
      <c r="D3" s="11" t="s">
        <v>130</v>
      </c>
      <c r="E3" s="11">
        <v>9334066332</v>
      </c>
      <c r="F3" s="11" t="s">
        <v>9</v>
      </c>
      <c r="G3" s="18" t="s">
        <v>10</v>
      </c>
      <c r="H3" s="12">
        <f t="shared" si="0"/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="11" customFormat="1" spans="1:39">
      <c r="A4" s="11">
        <v>2</v>
      </c>
      <c r="B4" s="11" t="s">
        <v>131</v>
      </c>
      <c r="C4" s="11">
        <v>2</v>
      </c>
      <c r="D4" s="11" t="s">
        <v>131</v>
      </c>
      <c r="E4" s="11" t="s">
        <v>132</v>
      </c>
      <c r="F4" s="11" t="s">
        <v>9</v>
      </c>
      <c r="G4" s="18" t="s">
        <v>11</v>
      </c>
      <c r="H4" s="12">
        <f t="shared" si="0"/>
        <v>2000</v>
      </c>
      <c r="I4" s="1"/>
      <c r="J4" s="20">
        <v>2000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="11" customFormat="1" spans="1:39">
      <c r="A5" s="11">
        <v>3</v>
      </c>
      <c r="C5" s="11">
        <v>3</v>
      </c>
      <c r="E5" s="11">
        <v>8340365412</v>
      </c>
      <c r="F5" s="11" t="s">
        <v>9</v>
      </c>
      <c r="G5" s="18" t="s">
        <v>13</v>
      </c>
      <c r="H5" s="12">
        <f t="shared" si="0"/>
        <v>3500</v>
      </c>
      <c r="I5" s="1"/>
      <c r="J5" s="1">
        <v>1000</v>
      </c>
      <c r="K5" s="20">
        <v>1000</v>
      </c>
      <c r="L5" s="1"/>
      <c r="M5" s="1"/>
      <c r="N5" s="1">
        <v>1500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="11" customFormat="1" spans="1:39">
      <c r="A6" s="11">
        <v>4</v>
      </c>
      <c r="B6" s="11" t="s">
        <v>133</v>
      </c>
      <c r="C6" s="11">
        <v>4</v>
      </c>
      <c r="D6" s="11" t="s">
        <v>133</v>
      </c>
      <c r="E6" s="11">
        <v>9102317719</v>
      </c>
      <c r="F6" s="11" t="s">
        <v>9</v>
      </c>
      <c r="G6" s="18" t="s">
        <v>15</v>
      </c>
      <c r="H6" s="12">
        <f t="shared" si="0"/>
        <v>4000</v>
      </c>
      <c r="I6" s="1"/>
      <c r="J6" s="1"/>
      <c r="K6" s="20">
        <v>2000</v>
      </c>
      <c r="L6" s="1"/>
      <c r="M6" s="1"/>
      <c r="N6" s="20">
        <v>2000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="11" customFormat="1" spans="1:39">
      <c r="A7" s="11">
        <v>5</v>
      </c>
      <c r="B7" s="11" t="s">
        <v>134</v>
      </c>
      <c r="C7" s="11">
        <v>5</v>
      </c>
      <c r="D7" s="11" t="s">
        <v>135</v>
      </c>
      <c r="E7" s="11">
        <v>8210924561</v>
      </c>
      <c r="F7" s="11" t="s">
        <v>9</v>
      </c>
      <c r="G7" s="18" t="s">
        <v>17</v>
      </c>
      <c r="H7" s="12">
        <f t="shared" si="0"/>
        <v>23000</v>
      </c>
      <c r="I7" s="1"/>
      <c r="J7" s="20">
        <v>7000</v>
      </c>
      <c r="K7" s="1"/>
      <c r="L7" s="1"/>
      <c r="M7" s="1"/>
      <c r="N7" s="1"/>
      <c r="O7" s="20">
        <v>16000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="11" customFormat="1" spans="1:39">
      <c r="A8" s="11">
        <v>6</v>
      </c>
      <c r="C8" s="11">
        <v>6</v>
      </c>
      <c r="E8" s="11">
        <v>9110978139</v>
      </c>
      <c r="F8" s="11" t="s">
        <v>9</v>
      </c>
      <c r="G8" s="18" t="s">
        <v>19</v>
      </c>
      <c r="H8" s="12">
        <f t="shared" si="0"/>
        <v>4000</v>
      </c>
      <c r="I8" s="1">
        <v>2000</v>
      </c>
      <c r="J8" s="1"/>
      <c r="K8" s="1"/>
      <c r="L8" s="1"/>
      <c r="M8" s="1"/>
      <c r="N8" s="1">
        <v>2000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="11" customFormat="1" spans="1:39">
      <c r="A9" s="11">
        <v>7</v>
      </c>
      <c r="C9" s="11">
        <v>7</v>
      </c>
      <c r="E9" s="11">
        <v>8340201321</v>
      </c>
      <c r="F9" s="11" t="s">
        <v>9</v>
      </c>
      <c r="G9" s="18" t="s">
        <v>20</v>
      </c>
      <c r="H9" s="12">
        <f t="shared" si="0"/>
        <v>2000</v>
      </c>
      <c r="I9" s="1"/>
      <c r="J9" s="1"/>
      <c r="K9" s="1"/>
      <c r="L9" s="1"/>
      <c r="M9" s="1"/>
      <c r="N9" s="1">
        <v>2000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="11" customFormat="1" spans="1:39">
      <c r="A10" s="11">
        <v>8</v>
      </c>
      <c r="C10" s="11">
        <v>8</v>
      </c>
      <c r="E10" s="11">
        <v>7004365158</v>
      </c>
      <c r="F10" s="11" t="s">
        <v>9</v>
      </c>
      <c r="G10" s="18" t="s">
        <v>22</v>
      </c>
      <c r="H10" s="12">
        <f t="shared" si="0"/>
        <v>12500</v>
      </c>
      <c r="I10" s="1">
        <v>5000</v>
      </c>
      <c r="J10" s="1"/>
      <c r="K10" s="1">
        <v>5000</v>
      </c>
      <c r="L10" s="1"/>
      <c r="M10" s="1"/>
      <c r="N10" s="1">
        <v>2500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="11" customFormat="1" spans="1:39">
      <c r="A11" s="11">
        <v>9</v>
      </c>
      <c r="B11" s="11" t="s">
        <v>136</v>
      </c>
      <c r="C11" s="11">
        <v>9</v>
      </c>
      <c r="D11" s="11" t="s">
        <v>136</v>
      </c>
      <c r="E11" s="11">
        <v>9973022718</v>
      </c>
      <c r="F11" s="11" t="s">
        <v>23</v>
      </c>
      <c r="G11" s="18" t="s">
        <v>24</v>
      </c>
      <c r="H11" s="12">
        <f t="shared" si="0"/>
        <v>2000</v>
      </c>
      <c r="I11" s="1"/>
      <c r="J11" s="1"/>
      <c r="K11" s="1"/>
      <c r="L11" s="1"/>
      <c r="M11" s="1"/>
      <c r="N11" s="1">
        <v>2000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="11" customFormat="1" spans="1:39">
      <c r="A12" s="11">
        <v>10</v>
      </c>
      <c r="C12" s="11">
        <v>10</v>
      </c>
      <c r="E12" s="11">
        <v>7004923653</v>
      </c>
      <c r="F12" s="11" t="s">
        <v>23</v>
      </c>
      <c r="G12" s="18" t="s">
        <v>25</v>
      </c>
      <c r="H12" s="12">
        <f t="shared" si="0"/>
        <v>3000</v>
      </c>
      <c r="I12" s="1"/>
      <c r="J12" s="1"/>
      <c r="K12" s="1">
        <v>1400</v>
      </c>
      <c r="L12" s="1"/>
      <c r="M12" s="1">
        <v>1600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11" customFormat="1" spans="1:39">
      <c r="A13" s="11">
        <v>11</v>
      </c>
      <c r="C13" s="11">
        <v>11</v>
      </c>
      <c r="D13" s="11" t="s">
        <v>137</v>
      </c>
      <c r="E13" s="11">
        <v>8340182577</v>
      </c>
      <c r="F13" s="11" t="s">
        <v>23</v>
      </c>
      <c r="G13" s="18" t="s">
        <v>26</v>
      </c>
      <c r="H13" s="12">
        <f t="shared" si="0"/>
        <v>10000</v>
      </c>
      <c r="I13" s="1"/>
      <c r="J13" s="1"/>
      <c r="K13" s="1"/>
      <c r="L13" s="1"/>
      <c r="M13" s="1">
        <v>5000</v>
      </c>
      <c r="N13" s="20">
        <v>5000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="11" customFormat="1" spans="1:39">
      <c r="A14" s="11">
        <v>12</v>
      </c>
      <c r="B14" s="11" t="s">
        <v>138</v>
      </c>
      <c r="C14" s="11">
        <v>12</v>
      </c>
      <c r="D14" s="11" t="s">
        <v>139</v>
      </c>
      <c r="E14" s="11">
        <v>7004740439</v>
      </c>
      <c r="F14" s="11" t="s">
        <v>23</v>
      </c>
      <c r="G14" s="18" t="s">
        <v>27</v>
      </c>
      <c r="H14" s="12">
        <f t="shared" si="0"/>
        <v>8500</v>
      </c>
      <c r="I14" s="1">
        <v>2000</v>
      </c>
      <c r="J14" s="1">
        <v>1500</v>
      </c>
      <c r="K14" s="1">
        <v>1000</v>
      </c>
      <c r="L14" s="1"/>
      <c r="M14" s="1"/>
      <c r="N14" s="20">
        <v>1000</v>
      </c>
      <c r="O14" s="1">
        <v>3000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="11" customFormat="1" spans="1:39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8" t="s">
        <v>29</v>
      </c>
      <c r="H15" s="12">
        <f t="shared" si="0"/>
        <v>4000</v>
      </c>
      <c r="I15" s="1">
        <v>2000</v>
      </c>
      <c r="J15" s="1"/>
      <c r="K15" s="1"/>
      <c r="L15" s="1"/>
      <c r="M15" s="1"/>
      <c r="N15" s="1">
        <v>2000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="11" customFormat="1" spans="1:39">
      <c r="A16" s="11">
        <v>14</v>
      </c>
      <c r="B16" s="11" t="s">
        <v>140</v>
      </c>
      <c r="C16" s="11">
        <v>14</v>
      </c>
      <c r="D16" s="11" t="s">
        <v>140</v>
      </c>
      <c r="E16" s="11">
        <v>7321004323</v>
      </c>
      <c r="F16" s="11" t="s">
        <v>23</v>
      </c>
      <c r="G16" s="18" t="s">
        <v>30</v>
      </c>
      <c r="H16" s="12">
        <f t="shared" si="0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="11" customFormat="1" spans="1:39">
      <c r="A17" s="11">
        <v>15</v>
      </c>
      <c r="C17" s="11">
        <v>15</v>
      </c>
      <c r="D17" s="11" t="s">
        <v>141</v>
      </c>
      <c r="E17" s="11">
        <v>7903378748</v>
      </c>
      <c r="F17" s="11" t="s">
        <v>23</v>
      </c>
      <c r="G17" s="18" t="s">
        <v>32</v>
      </c>
      <c r="H17" s="12">
        <f t="shared" si="0"/>
        <v>1000</v>
      </c>
      <c r="I17" s="1">
        <v>1000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="11" customFormat="1" spans="1:39">
      <c r="A18" s="11">
        <v>16</v>
      </c>
      <c r="C18" s="11">
        <v>16</v>
      </c>
      <c r="D18" s="11" t="s">
        <v>33</v>
      </c>
      <c r="F18" s="11" t="s">
        <v>23</v>
      </c>
      <c r="G18" s="18" t="s">
        <v>34</v>
      </c>
      <c r="H18" s="12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="11" customFormat="1" spans="1:39">
      <c r="A19" s="11">
        <v>17</v>
      </c>
      <c r="B19" s="11" t="s">
        <v>142</v>
      </c>
      <c r="C19" s="11">
        <v>17</v>
      </c>
      <c r="D19" s="11" t="s">
        <v>142</v>
      </c>
      <c r="E19" s="11">
        <v>9608475282</v>
      </c>
      <c r="F19" s="11" t="s">
        <v>23</v>
      </c>
      <c r="G19" s="18" t="s">
        <v>35</v>
      </c>
      <c r="H19" s="12">
        <f t="shared" si="0"/>
        <v>4000</v>
      </c>
      <c r="I19" s="1"/>
      <c r="J19" s="1">
        <v>3000</v>
      </c>
      <c r="K19" s="1"/>
      <c r="L19" s="1"/>
      <c r="M19" s="1"/>
      <c r="N19" s="1"/>
      <c r="O19" s="1">
        <v>1000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="11" customFormat="1" spans="1:39">
      <c r="A20" s="11">
        <v>18</v>
      </c>
      <c r="B20" s="11" t="s">
        <v>143</v>
      </c>
      <c r="C20" s="11">
        <v>18</v>
      </c>
      <c r="D20" s="11" t="s">
        <v>143</v>
      </c>
      <c r="E20" s="11">
        <v>9661555592</v>
      </c>
      <c r="F20" s="11" t="s">
        <v>36</v>
      </c>
      <c r="G20" s="18" t="s">
        <v>37</v>
      </c>
      <c r="H20" s="12">
        <f t="shared" si="0"/>
        <v>10000</v>
      </c>
      <c r="I20" s="1"/>
      <c r="J20" s="1">
        <v>10000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="11" customFormat="1" spans="1:39">
      <c r="A21" s="11">
        <v>19</v>
      </c>
      <c r="B21" s="11" t="s">
        <v>144</v>
      </c>
      <c r="C21" s="11">
        <v>19</v>
      </c>
      <c r="D21" s="11" t="s">
        <v>144</v>
      </c>
      <c r="E21" s="11">
        <v>8340523512</v>
      </c>
      <c r="F21" s="11" t="s">
        <v>36</v>
      </c>
      <c r="G21" s="18" t="s">
        <v>38</v>
      </c>
      <c r="H21" s="12">
        <f t="shared" si="0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="11" customFormat="1" spans="1:39">
      <c r="A22" s="11">
        <v>20</v>
      </c>
      <c r="C22" s="11">
        <v>20</v>
      </c>
      <c r="E22" s="11">
        <v>8825310472</v>
      </c>
      <c r="F22" s="11" t="s">
        <v>36</v>
      </c>
      <c r="G22" s="18" t="s">
        <v>39</v>
      </c>
      <c r="H22" s="12">
        <f t="shared" si="0"/>
        <v>2500</v>
      </c>
      <c r="I22" s="1"/>
      <c r="J22" s="1">
        <v>1000</v>
      </c>
      <c r="K22" s="1"/>
      <c r="L22" s="1"/>
      <c r="M22" s="1">
        <v>500</v>
      </c>
      <c r="N22" s="1">
        <v>1000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="11" customFormat="1" spans="1:39">
      <c r="A23" s="11">
        <v>21</v>
      </c>
      <c r="B23" s="11" t="s">
        <v>145</v>
      </c>
      <c r="C23" s="11">
        <v>21</v>
      </c>
      <c r="D23" s="11" t="s">
        <v>145</v>
      </c>
      <c r="E23" s="11">
        <v>7004478123</v>
      </c>
      <c r="F23" s="11" t="s">
        <v>36</v>
      </c>
      <c r="G23" s="18" t="s">
        <v>40</v>
      </c>
      <c r="H23" s="12">
        <f t="shared" si="0"/>
        <v>10000</v>
      </c>
      <c r="I23" s="20">
        <v>5000</v>
      </c>
      <c r="J23" s="1"/>
      <c r="K23" s="1"/>
      <c r="L23" s="1"/>
      <c r="M23" s="1"/>
      <c r="N23" s="20">
        <v>5000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="11" customFormat="1" spans="1:39">
      <c r="A24" s="11">
        <v>22</v>
      </c>
      <c r="C24" s="11">
        <v>22</v>
      </c>
      <c r="E24" s="11">
        <v>7667895364</v>
      </c>
      <c r="F24" s="11" t="s">
        <v>36</v>
      </c>
      <c r="G24" s="18" t="s">
        <v>41</v>
      </c>
      <c r="H24" s="12">
        <f t="shared" si="0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="11" customFormat="1" spans="1:39">
      <c r="A25" s="11">
        <v>23</v>
      </c>
      <c r="B25" s="11" t="s">
        <v>146</v>
      </c>
      <c r="C25" s="11">
        <v>23</v>
      </c>
      <c r="D25" s="11" t="s">
        <v>146</v>
      </c>
      <c r="E25" s="11">
        <v>7006041121</v>
      </c>
      <c r="F25" s="11" t="s">
        <v>36</v>
      </c>
      <c r="G25" s="18" t="s">
        <v>42</v>
      </c>
      <c r="H25" s="12">
        <f t="shared" si="0"/>
        <v>9000</v>
      </c>
      <c r="I25" s="20">
        <v>3000</v>
      </c>
      <c r="J25" s="1"/>
      <c r="K25" s="1"/>
      <c r="L25" s="1"/>
      <c r="M25" s="1"/>
      <c r="N25" s="1">
        <v>3000</v>
      </c>
      <c r="O25" s="1">
        <v>3000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="11" customFormat="1" spans="1:39">
      <c r="A26" s="11">
        <v>24</v>
      </c>
      <c r="B26" s="11" t="s">
        <v>147</v>
      </c>
      <c r="C26" s="11">
        <v>24</v>
      </c>
      <c r="D26" s="11" t="s">
        <v>147</v>
      </c>
      <c r="E26" s="11">
        <v>8709658240</v>
      </c>
      <c r="F26" s="11" t="s">
        <v>36</v>
      </c>
      <c r="G26" s="18" t="s">
        <v>43</v>
      </c>
      <c r="H26" s="12">
        <f t="shared" si="0"/>
        <v>10000</v>
      </c>
      <c r="I26" s="1"/>
      <c r="J26" s="1"/>
      <c r="K26" s="20">
        <v>5000</v>
      </c>
      <c r="L26" s="1"/>
      <c r="M26" s="1"/>
      <c r="N26" s="20">
        <v>5000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="11" customFormat="1" spans="1:39">
      <c r="A27" s="11">
        <v>25</v>
      </c>
      <c r="C27" s="11">
        <v>25</v>
      </c>
      <c r="E27" s="11">
        <v>8709612020</v>
      </c>
      <c r="F27" s="11" t="s">
        <v>36</v>
      </c>
      <c r="G27" s="18" t="s">
        <v>44</v>
      </c>
      <c r="H27" s="12">
        <f t="shared" si="0"/>
        <v>9000</v>
      </c>
      <c r="I27" s="1">
        <v>3000</v>
      </c>
      <c r="J27" s="1"/>
      <c r="K27" s="1">
        <v>2000</v>
      </c>
      <c r="L27" s="1"/>
      <c r="M27" s="1">
        <v>1000</v>
      </c>
      <c r="N27" s="1">
        <v>2000</v>
      </c>
      <c r="O27" s="1">
        <v>1000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="11" customFormat="1" spans="1:39">
      <c r="A28" s="11">
        <v>26</v>
      </c>
      <c r="C28" s="11">
        <v>26</v>
      </c>
      <c r="D28" s="11" t="s">
        <v>148</v>
      </c>
      <c r="E28" s="11">
        <v>9973040600</v>
      </c>
      <c r="F28" s="11" t="s">
        <v>36</v>
      </c>
      <c r="G28" s="18" t="s">
        <v>45</v>
      </c>
      <c r="H28" s="12">
        <f t="shared" si="0"/>
        <v>3000</v>
      </c>
      <c r="I28" s="1"/>
      <c r="J28" s="1"/>
      <c r="K28" s="1">
        <v>2000</v>
      </c>
      <c r="L28" s="1"/>
      <c r="M28" s="1"/>
      <c r="N28" s="1">
        <v>1000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="11" customFormat="1" spans="1:39">
      <c r="A29" s="11">
        <v>27</v>
      </c>
      <c r="C29" s="11">
        <v>27</v>
      </c>
      <c r="E29" s="11">
        <v>9973345687</v>
      </c>
      <c r="F29" s="11" t="s">
        <v>36</v>
      </c>
      <c r="G29" s="18" t="s">
        <v>46</v>
      </c>
      <c r="H29" s="12">
        <f t="shared" si="0"/>
        <v>2000</v>
      </c>
      <c r="I29" s="1"/>
      <c r="J29" s="1"/>
      <c r="K29" s="1"/>
      <c r="L29" s="1"/>
      <c r="M29" s="1"/>
      <c r="N29" s="1">
        <v>2000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="11" customFormat="1" spans="1:39">
      <c r="A30" s="11">
        <v>28</v>
      </c>
      <c r="C30" s="11">
        <v>28</v>
      </c>
      <c r="E30" s="11">
        <v>9631391206</v>
      </c>
      <c r="F30" s="11" t="s">
        <v>36</v>
      </c>
      <c r="G30" s="18" t="s">
        <v>47</v>
      </c>
      <c r="H30" s="12">
        <f t="shared" si="0"/>
        <v>2000</v>
      </c>
      <c r="I30" s="1"/>
      <c r="J30" s="1">
        <v>1000</v>
      </c>
      <c r="K30" s="1">
        <v>1000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="11" customFormat="1" spans="1:39">
      <c r="A31" s="11">
        <v>29</v>
      </c>
      <c r="B31" s="11" t="s">
        <v>149</v>
      </c>
      <c r="C31" s="11">
        <v>29</v>
      </c>
      <c r="D31" s="11" t="s">
        <v>149</v>
      </c>
      <c r="F31" s="11" t="s">
        <v>36</v>
      </c>
      <c r="G31" s="18" t="s">
        <v>48</v>
      </c>
      <c r="H31" s="12">
        <f t="shared" si="0"/>
        <v>5000</v>
      </c>
      <c r="I31" s="1"/>
      <c r="J31" s="1"/>
      <c r="K31" s="1">
        <v>5000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="11" customFormat="1" spans="1:39">
      <c r="A32" s="11">
        <v>30</v>
      </c>
      <c r="B32" s="11" t="s">
        <v>150</v>
      </c>
      <c r="C32" s="11">
        <v>30</v>
      </c>
      <c r="D32" s="11" t="s">
        <v>151</v>
      </c>
      <c r="F32" s="11" t="s">
        <v>36</v>
      </c>
      <c r="G32" s="18" t="s">
        <v>49</v>
      </c>
      <c r="H32" s="12">
        <f t="shared" si="0"/>
        <v>16000</v>
      </c>
      <c r="I32" s="1"/>
      <c r="J32" s="1"/>
      <c r="K32" s="1"/>
      <c r="L32" s="1"/>
      <c r="M32" s="1"/>
      <c r="N32" s="1"/>
      <c r="O32" s="20">
        <v>16000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="11" customFormat="1" spans="1:39">
      <c r="A33" s="11">
        <v>31</v>
      </c>
      <c r="C33" s="11">
        <v>31</v>
      </c>
      <c r="F33" s="11" t="s">
        <v>36</v>
      </c>
      <c r="G33" s="18" t="s">
        <v>50</v>
      </c>
      <c r="H33" s="12">
        <f t="shared" si="0"/>
        <v>2000</v>
      </c>
      <c r="I33" s="1"/>
      <c r="J33" s="1"/>
      <c r="K33" s="1">
        <v>1000</v>
      </c>
      <c r="L33" s="1"/>
      <c r="M33" s="1">
        <v>1000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="11" customFormat="1" spans="1:39">
      <c r="A34" s="11">
        <v>32</v>
      </c>
      <c r="B34" s="11" t="s">
        <v>152</v>
      </c>
      <c r="C34" s="11">
        <v>32</v>
      </c>
      <c r="D34" s="11" t="s">
        <v>152</v>
      </c>
      <c r="F34" s="11" t="s">
        <v>51</v>
      </c>
      <c r="G34" s="18" t="s">
        <v>52</v>
      </c>
      <c r="H34" s="12">
        <f t="shared" si="0"/>
        <v>4000</v>
      </c>
      <c r="I34" s="1">
        <v>1000</v>
      </c>
      <c r="J34" s="1">
        <v>1000</v>
      </c>
      <c r="K34" s="1"/>
      <c r="L34" s="1"/>
      <c r="M34" s="1"/>
      <c r="N34" s="1">
        <v>1000</v>
      </c>
      <c r="O34" s="1">
        <v>1000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11" customFormat="1" spans="1:39">
      <c r="A35" s="11">
        <v>33</v>
      </c>
      <c r="C35" s="11">
        <v>33</v>
      </c>
      <c r="F35" s="11" t="s">
        <v>51</v>
      </c>
      <c r="G35" s="18" t="s">
        <v>53</v>
      </c>
      <c r="H35" s="12">
        <f t="shared" si="0"/>
        <v>5000</v>
      </c>
      <c r="I35" s="1"/>
      <c r="J35" s="1">
        <v>1000</v>
      </c>
      <c r="K35" s="1">
        <v>1000</v>
      </c>
      <c r="L35" s="1"/>
      <c r="M35" s="1">
        <v>2000</v>
      </c>
      <c r="N35" s="1"/>
      <c r="O35" s="1">
        <v>1000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="11" customFormat="1" spans="1:39">
      <c r="A36" s="11">
        <v>34</v>
      </c>
      <c r="C36" s="11">
        <v>34</v>
      </c>
      <c r="E36" s="11">
        <v>7654800030</v>
      </c>
      <c r="F36" s="11" t="s">
        <v>51</v>
      </c>
      <c r="G36" s="18" t="s">
        <v>54</v>
      </c>
      <c r="H36" s="12">
        <f t="shared" si="0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="11" customFormat="1" spans="1:39">
      <c r="A37" s="11">
        <v>35</v>
      </c>
      <c r="C37" s="11">
        <v>35</v>
      </c>
      <c r="F37" s="11" t="s">
        <v>51</v>
      </c>
      <c r="G37" s="18" t="s">
        <v>55</v>
      </c>
      <c r="H37" s="12">
        <f t="shared" si="0"/>
        <v>9000</v>
      </c>
      <c r="I37" s="1"/>
      <c r="J37" s="20">
        <v>3000</v>
      </c>
      <c r="K37" s="20">
        <v>3000</v>
      </c>
      <c r="L37" s="1"/>
      <c r="M37" s="20">
        <v>3000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="11" customFormat="1" spans="1:39">
      <c r="A38" s="11">
        <v>36</v>
      </c>
      <c r="C38" s="11">
        <v>36</v>
      </c>
      <c r="F38" s="11" t="s">
        <v>51</v>
      </c>
      <c r="G38" s="18" t="s">
        <v>56</v>
      </c>
      <c r="H38" s="12">
        <f t="shared" si="0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11" customFormat="1" spans="1:39">
      <c r="A39" s="11">
        <v>37</v>
      </c>
      <c r="B39" s="11" t="s">
        <v>153</v>
      </c>
      <c r="C39" s="11">
        <v>37</v>
      </c>
      <c r="D39" s="11" t="s">
        <v>153</v>
      </c>
      <c r="F39" s="11" t="s">
        <v>51</v>
      </c>
      <c r="G39" s="18" t="s">
        <v>57</v>
      </c>
      <c r="H39" s="12">
        <f t="shared" si="0"/>
        <v>6000</v>
      </c>
      <c r="I39" s="1"/>
      <c r="J39" s="20">
        <v>3000</v>
      </c>
      <c r="K39" s="1"/>
      <c r="L39" s="1"/>
      <c r="M39" s="1"/>
      <c r="N39" s="1"/>
      <c r="O39" s="20">
        <v>3000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="11" customFormat="1" spans="1:39">
      <c r="A40" s="11">
        <v>38</v>
      </c>
      <c r="B40" s="11" t="s">
        <v>154</v>
      </c>
      <c r="C40" s="11">
        <v>38</v>
      </c>
      <c r="D40" s="11" t="s">
        <v>154</v>
      </c>
      <c r="E40" s="11" t="s">
        <v>155</v>
      </c>
      <c r="F40" s="11" t="s">
        <v>51</v>
      </c>
      <c r="G40" s="18" t="s">
        <v>58</v>
      </c>
      <c r="H40" s="12">
        <f t="shared" si="0"/>
        <v>1000</v>
      </c>
      <c r="I40" s="1"/>
      <c r="J40" s="1"/>
      <c r="K40" s="1"/>
      <c r="L40" s="1"/>
      <c r="M40" s="20">
        <v>1000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="11" customFormat="1" spans="1:39">
      <c r="A41" s="11">
        <v>39</v>
      </c>
      <c r="C41" s="11">
        <v>39</v>
      </c>
      <c r="F41" s="11" t="s">
        <v>51</v>
      </c>
      <c r="G41" s="18" t="s">
        <v>59</v>
      </c>
      <c r="H41" s="12">
        <f t="shared" si="0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11" customFormat="1" spans="1:39">
      <c r="A42" s="11">
        <v>40</v>
      </c>
      <c r="C42" s="11">
        <v>40</v>
      </c>
      <c r="F42" s="11" t="s">
        <v>51</v>
      </c>
      <c r="G42" s="18" t="s">
        <v>60</v>
      </c>
      <c r="H42" s="12">
        <f t="shared" si="0"/>
        <v>4000</v>
      </c>
      <c r="I42" s="1"/>
      <c r="J42" s="1">
        <v>2000</v>
      </c>
      <c r="K42" s="1"/>
      <c r="L42" s="1"/>
      <c r="M42" s="1"/>
      <c r="N42" s="1">
        <v>2000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11" customFormat="1" spans="1:39">
      <c r="A43" s="11">
        <v>41</v>
      </c>
      <c r="C43" s="11">
        <v>41</v>
      </c>
      <c r="E43" s="11">
        <v>8210095108</v>
      </c>
      <c r="F43" s="11" t="s">
        <v>51</v>
      </c>
      <c r="G43" s="18" t="s">
        <v>61</v>
      </c>
      <c r="H43" s="12">
        <f t="shared" si="0"/>
        <v>11000</v>
      </c>
      <c r="I43" s="1"/>
      <c r="J43" s="1">
        <v>3000</v>
      </c>
      <c r="K43" s="1"/>
      <c r="L43" s="1"/>
      <c r="M43" s="20">
        <v>3000</v>
      </c>
      <c r="N43" s="1">
        <v>2000</v>
      </c>
      <c r="O43" s="1">
        <v>3000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="11" customFormat="1" spans="1:39">
      <c r="A44" s="11">
        <v>42</v>
      </c>
      <c r="C44" s="11">
        <v>42</v>
      </c>
      <c r="D44" s="11" t="s">
        <v>156</v>
      </c>
      <c r="F44" s="11" t="s">
        <v>51</v>
      </c>
      <c r="G44" s="18" t="s">
        <v>62</v>
      </c>
      <c r="H44" s="12">
        <f t="shared" si="0"/>
        <v>2000</v>
      </c>
      <c r="I44" s="1"/>
      <c r="J44" s="1"/>
      <c r="K44" s="1">
        <v>2000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="11" customFormat="1" spans="1:39">
      <c r="A45" s="11">
        <v>43</v>
      </c>
      <c r="C45" s="11">
        <v>43</v>
      </c>
      <c r="D45" s="11" t="s">
        <v>157</v>
      </c>
      <c r="F45" s="11" t="s">
        <v>51</v>
      </c>
      <c r="G45" s="18" t="s">
        <v>63</v>
      </c>
      <c r="H45" s="12">
        <f t="shared" si="0"/>
        <v>9000</v>
      </c>
      <c r="I45" s="1">
        <v>6000</v>
      </c>
      <c r="J45" s="1"/>
      <c r="K45" s="20">
        <v>3000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="11" customFormat="1" spans="1:39">
      <c r="A46" s="11">
        <v>44</v>
      </c>
      <c r="B46" s="11" t="s">
        <v>158</v>
      </c>
      <c r="C46" s="11">
        <v>44</v>
      </c>
      <c r="D46" s="11" t="s">
        <v>158</v>
      </c>
      <c r="F46" s="11" t="s">
        <v>64</v>
      </c>
      <c r="G46" s="18" t="s">
        <v>65</v>
      </c>
      <c r="H46" s="12">
        <f t="shared" si="0"/>
        <v>3000</v>
      </c>
      <c r="I46" s="1"/>
      <c r="J46" s="1"/>
      <c r="K46" s="1"/>
      <c r="L46" s="1"/>
      <c r="M46" s="1">
        <v>3000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="11" customFormat="1" spans="1:39">
      <c r="A47" s="11">
        <v>45</v>
      </c>
      <c r="C47" s="11">
        <v>45</v>
      </c>
      <c r="D47" s="11" t="s">
        <v>159</v>
      </c>
      <c r="F47" s="11" t="s">
        <v>64</v>
      </c>
      <c r="G47" s="18" t="s">
        <v>66</v>
      </c>
      <c r="H47" s="12">
        <f t="shared" si="0"/>
        <v>6000</v>
      </c>
      <c r="I47" s="1"/>
      <c r="J47" s="20">
        <v>3000</v>
      </c>
      <c r="K47" s="1"/>
      <c r="L47" s="1"/>
      <c r="M47" s="20">
        <v>2000</v>
      </c>
      <c r="N47" s="1"/>
      <c r="O47" s="1">
        <v>1000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="11" customFormat="1" spans="1:39">
      <c r="A48" s="11">
        <v>46</v>
      </c>
      <c r="B48" s="11" t="s">
        <v>160</v>
      </c>
      <c r="C48" s="11">
        <v>46</v>
      </c>
      <c r="D48" s="11" t="s">
        <v>160</v>
      </c>
      <c r="E48" s="11">
        <v>7004729703</v>
      </c>
      <c r="F48" s="11" t="s">
        <v>64</v>
      </c>
      <c r="G48" s="18" t="s">
        <v>67</v>
      </c>
      <c r="H48" s="12">
        <f t="shared" si="0"/>
        <v>2000</v>
      </c>
      <c r="I48" s="1"/>
      <c r="J48" s="1"/>
      <c r="K48" s="1"/>
      <c r="L48" s="1"/>
      <c r="M48" s="20">
        <v>2000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="11" customFormat="1" spans="1:39">
      <c r="A49" s="11">
        <v>47</v>
      </c>
      <c r="B49" s="11" t="s">
        <v>161</v>
      </c>
      <c r="C49" s="11">
        <v>47</v>
      </c>
      <c r="D49" s="11" t="s">
        <v>161</v>
      </c>
      <c r="E49" s="11">
        <v>8863097933</v>
      </c>
      <c r="F49" s="11" t="s">
        <v>64</v>
      </c>
      <c r="G49" s="18" t="s">
        <v>68</v>
      </c>
      <c r="H49" s="12">
        <f t="shared" si="0"/>
        <v>7500</v>
      </c>
      <c r="I49" s="1"/>
      <c r="J49" s="1">
        <v>2500</v>
      </c>
      <c r="K49" s="1">
        <v>2000</v>
      </c>
      <c r="L49" s="1"/>
      <c r="M49" s="20">
        <v>3000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="11" customFormat="1" spans="1:39">
      <c r="A50" s="11">
        <v>48</v>
      </c>
      <c r="B50" s="11" t="s">
        <v>162</v>
      </c>
      <c r="C50" s="11">
        <v>48</v>
      </c>
      <c r="D50" s="11" t="s">
        <v>162</v>
      </c>
      <c r="E50" s="11">
        <v>9835443096</v>
      </c>
      <c r="F50" s="11" t="s">
        <v>64</v>
      </c>
      <c r="G50" s="18" t="s">
        <v>69</v>
      </c>
      <c r="H50" s="12">
        <f t="shared" si="0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="11" customFormat="1" spans="1:39">
      <c r="A51" s="11">
        <v>49</v>
      </c>
      <c r="B51" s="11" t="s">
        <v>163</v>
      </c>
      <c r="C51" s="11">
        <v>49</v>
      </c>
      <c r="D51" s="11" t="s">
        <v>163</v>
      </c>
      <c r="F51" s="11" t="s">
        <v>64</v>
      </c>
      <c r="G51" s="18" t="s">
        <v>70</v>
      </c>
      <c r="H51" s="12">
        <f t="shared" si="0"/>
        <v>5000</v>
      </c>
      <c r="I51" s="1"/>
      <c r="J51" s="1"/>
      <c r="K51" s="1">
        <v>3000</v>
      </c>
      <c r="L51" s="1"/>
      <c r="M51" s="1">
        <v>2000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="11" customFormat="1" spans="1:39">
      <c r="A52" s="11">
        <v>50</v>
      </c>
      <c r="C52" s="11">
        <v>50</v>
      </c>
      <c r="F52" s="11" t="s">
        <v>64</v>
      </c>
      <c r="G52" s="18" t="s">
        <v>71</v>
      </c>
      <c r="H52" s="12">
        <f t="shared" si="0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="11" customFormat="1" spans="1:39">
      <c r="A53" s="11">
        <v>51</v>
      </c>
      <c r="B53" s="11" t="s">
        <v>164</v>
      </c>
      <c r="C53" s="11">
        <v>51</v>
      </c>
      <c r="D53" s="11" t="s">
        <v>164</v>
      </c>
      <c r="F53" s="11" t="s">
        <v>64</v>
      </c>
      <c r="G53" s="18" t="s">
        <v>72</v>
      </c>
      <c r="H53" s="12">
        <f t="shared" si="0"/>
        <v>5000</v>
      </c>
      <c r="I53" s="1"/>
      <c r="J53" s="1">
        <v>2000</v>
      </c>
      <c r="K53" s="1"/>
      <c r="L53" s="1"/>
      <c r="M53" s="1"/>
      <c r="N53" s="1">
        <v>3000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="11" customFormat="1" spans="1:39">
      <c r="A54" s="11">
        <v>52</v>
      </c>
      <c r="C54" s="11">
        <v>52</v>
      </c>
      <c r="F54" s="11" t="s">
        <v>64</v>
      </c>
      <c r="G54" s="18" t="s">
        <v>73</v>
      </c>
      <c r="H54" s="12">
        <f t="shared" si="0"/>
        <v>4000</v>
      </c>
      <c r="I54" s="1"/>
      <c r="J54" s="1"/>
      <c r="K54" s="1"/>
      <c r="L54" s="1"/>
      <c r="M54" s="1">
        <v>4000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="11" customFormat="1" spans="1:39">
      <c r="A55" s="11">
        <v>53</v>
      </c>
      <c r="B55" s="11" t="s">
        <v>165</v>
      </c>
      <c r="C55" s="11">
        <v>53</v>
      </c>
      <c r="D55" s="11" t="s">
        <v>165</v>
      </c>
      <c r="F55" s="11" t="s">
        <v>64</v>
      </c>
      <c r="G55" s="18" t="s">
        <v>74</v>
      </c>
      <c r="H55" s="12">
        <f t="shared" si="0"/>
        <v>2000</v>
      </c>
      <c r="I55" s="1"/>
      <c r="J55" s="1"/>
      <c r="K55" s="1"/>
      <c r="L55" s="20">
        <v>2000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="11" customFormat="1" spans="1:39">
      <c r="A56" s="11">
        <v>54</v>
      </c>
      <c r="B56" s="11" t="s">
        <v>166</v>
      </c>
      <c r="C56" s="11">
        <v>54</v>
      </c>
      <c r="D56" s="11" t="s">
        <v>166</v>
      </c>
      <c r="F56" s="11" t="s">
        <v>64</v>
      </c>
      <c r="G56" s="18" t="s">
        <v>75</v>
      </c>
      <c r="H56" s="12">
        <f t="shared" si="0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="11" customFormat="1" spans="1:39">
      <c r="A57" s="11">
        <v>55</v>
      </c>
      <c r="C57" s="11">
        <v>55</v>
      </c>
      <c r="E57" s="11">
        <v>6202424016</v>
      </c>
      <c r="F57" s="11" t="s">
        <v>64</v>
      </c>
      <c r="G57" s="18" t="s">
        <v>76</v>
      </c>
      <c r="H57" s="12">
        <f t="shared" si="0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="11" customFormat="1" spans="1:39">
      <c r="A58" s="11">
        <v>56</v>
      </c>
      <c r="C58" s="11">
        <v>56</v>
      </c>
      <c r="E58" s="11">
        <v>7004211364</v>
      </c>
      <c r="F58" s="11" t="s">
        <v>77</v>
      </c>
      <c r="G58" s="18" t="s">
        <v>78</v>
      </c>
      <c r="H58" s="12">
        <f t="shared" si="0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="11" customFormat="1" spans="1:39">
      <c r="A59" s="11">
        <v>57</v>
      </c>
      <c r="B59" s="11" t="s">
        <v>167</v>
      </c>
      <c r="C59" s="11">
        <v>57</v>
      </c>
      <c r="D59" s="11" t="s">
        <v>167</v>
      </c>
      <c r="F59" s="11" t="s">
        <v>77</v>
      </c>
      <c r="G59" s="18" t="s">
        <v>79</v>
      </c>
      <c r="H59" s="12">
        <f t="shared" si="0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="11" customFormat="1" spans="1:39">
      <c r="A60" s="11">
        <v>58</v>
      </c>
      <c r="C60" s="11">
        <v>58</v>
      </c>
      <c r="F60" s="11" t="s">
        <v>77</v>
      </c>
      <c r="G60" s="18" t="s">
        <v>80</v>
      </c>
      <c r="H60" s="12">
        <f t="shared" si="0"/>
        <v>5000</v>
      </c>
      <c r="I60" s="1"/>
      <c r="J60" s="1"/>
      <c r="K60" s="1"/>
      <c r="L60" s="1"/>
      <c r="M60" s="1"/>
      <c r="N60" s="1">
        <v>5000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="11" customFormat="1" spans="1:39">
      <c r="A61" s="11">
        <v>59</v>
      </c>
      <c r="C61" s="11">
        <v>59</v>
      </c>
      <c r="E61" s="11">
        <v>9798805204</v>
      </c>
      <c r="F61" s="11" t="s">
        <v>77</v>
      </c>
      <c r="G61" s="18" t="s">
        <v>81</v>
      </c>
      <c r="H61" s="12">
        <f t="shared" si="0"/>
        <v>3000</v>
      </c>
      <c r="I61" s="1"/>
      <c r="J61" s="1"/>
      <c r="K61" s="1"/>
      <c r="L61" s="1"/>
      <c r="M61" s="1"/>
      <c r="N61" s="1">
        <v>3000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="11" customFormat="1" spans="1:39">
      <c r="A62" s="11">
        <v>60</v>
      </c>
      <c r="B62" s="11" t="s">
        <v>168</v>
      </c>
      <c r="C62" s="11">
        <v>60</v>
      </c>
      <c r="D62" s="11" t="s">
        <v>168</v>
      </c>
      <c r="E62" s="11">
        <v>9504958065</v>
      </c>
      <c r="F62" s="11" t="s">
        <v>82</v>
      </c>
      <c r="G62" s="18" t="s">
        <v>83</v>
      </c>
      <c r="H62" s="12">
        <f t="shared" si="0"/>
        <v>10000</v>
      </c>
      <c r="I62" s="1"/>
      <c r="J62" s="1"/>
      <c r="K62" s="1"/>
      <c r="L62" s="1"/>
      <c r="M62" s="1"/>
      <c r="N62" s="1"/>
      <c r="O62" s="20">
        <v>10000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="11" customFormat="1" spans="1:39">
      <c r="A63" s="11">
        <v>61</v>
      </c>
      <c r="C63" s="11">
        <v>61</v>
      </c>
      <c r="E63" s="11">
        <v>9852299192</v>
      </c>
      <c r="F63" s="11" t="s">
        <v>82</v>
      </c>
      <c r="G63" s="18" t="s">
        <v>84</v>
      </c>
      <c r="H63" s="12">
        <f t="shared" si="0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="11" customFormat="1" spans="1:39">
      <c r="A64" s="11">
        <v>62</v>
      </c>
      <c r="B64" s="11" t="s">
        <v>169</v>
      </c>
      <c r="C64" s="11">
        <v>62</v>
      </c>
      <c r="D64" s="11" t="s">
        <v>169</v>
      </c>
      <c r="E64" s="11" t="s">
        <v>170</v>
      </c>
      <c r="F64" s="11" t="s">
        <v>82</v>
      </c>
      <c r="G64" s="18" t="s">
        <v>86</v>
      </c>
      <c r="H64" s="12">
        <f t="shared" si="0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="11" customFormat="1" spans="1:39">
      <c r="A65" s="11">
        <v>63</v>
      </c>
      <c r="B65" s="11" t="s">
        <v>171</v>
      </c>
      <c r="C65" s="11">
        <v>63</v>
      </c>
      <c r="D65" s="11" t="s">
        <v>172</v>
      </c>
      <c r="E65" s="11">
        <v>7004399486</v>
      </c>
      <c r="F65" s="11" t="s">
        <v>87</v>
      </c>
      <c r="G65" s="11" t="s">
        <v>88</v>
      </c>
      <c r="H65" s="12">
        <f t="shared" si="0"/>
        <v>4000</v>
      </c>
      <c r="I65" s="1"/>
      <c r="J65" s="20">
        <v>2000</v>
      </c>
      <c r="K65" s="1"/>
      <c r="L65" s="1"/>
      <c r="M65" s="1"/>
      <c r="N65" s="20">
        <v>2000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="11" customFormat="1" spans="1:39">
      <c r="A66" s="11">
        <v>64</v>
      </c>
      <c r="B66" s="11" t="s">
        <v>173</v>
      </c>
      <c r="C66" s="11">
        <v>64</v>
      </c>
      <c r="D66" s="11" t="s">
        <v>173</v>
      </c>
      <c r="F66" s="11" t="s">
        <v>87</v>
      </c>
      <c r="G66" s="18" t="s">
        <v>89</v>
      </c>
      <c r="H66" s="12">
        <f t="shared" ref="H66:H96" si="2">SUM(I66:AM66)</f>
        <v>2000</v>
      </c>
      <c r="I66" s="1"/>
      <c r="J66" s="1"/>
      <c r="K66" s="20">
        <v>2000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="11" customFormat="1" spans="1:39">
      <c r="A67" s="11">
        <v>65</v>
      </c>
      <c r="C67" s="11">
        <v>65</v>
      </c>
      <c r="F67" s="11" t="s">
        <v>90</v>
      </c>
      <c r="G67" s="18" t="s">
        <v>91</v>
      </c>
      <c r="H67" s="12">
        <f t="shared" si="2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="11" customFormat="1" spans="1:39">
      <c r="A68" s="11">
        <v>66</v>
      </c>
      <c r="C68" s="11">
        <v>66</v>
      </c>
      <c r="F68" s="11" t="s">
        <v>92</v>
      </c>
      <c r="G68" s="18" t="s">
        <v>93</v>
      </c>
      <c r="H68" s="12">
        <f t="shared" si="2"/>
        <v>4000</v>
      </c>
      <c r="I68" s="1"/>
      <c r="J68" s="1"/>
      <c r="K68" s="1"/>
      <c r="L68" s="1"/>
      <c r="M68" s="1"/>
      <c r="N68" s="1">
        <v>4000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="11" customFormat="1" spans="1:39">
      <c r="A69" s="11">
        <v>67</v>
      </c>
      <c r="C69" s="11">
        <v>67</v>
      </c>
      <c r="F69" s="11" t="s">
        <v>92</v>
      </c>
      <c r="G69" s="18" t="s">
        <v>94</v>
      </c>
      <c r="H69" s="12">
        <f t="shared" si="2"/>
        <v>4500</v>
      </c>
      <c r="I69" s="1"/>
      <c r="J69" s="1"/>
      <c r="K69" s="1"/>
      <c r="L69" s="1"/>
      <c r="M69" s="1"/>
      <c r="N69" s="1">
        <v>3000</v>
      </c>
      <c r="O69" s="1">
        <v>1500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="11" customFormat="1" spans="1:39">
      <c r="A70" s="11">
        <v>68</v>
      </c>
      <c r="C70" s="11">
        <v>68</v>
      </c>
      <c r="E70" s="11">
        <v>7903311240</v>
      </c>
      <c r="F70" s="11" t="s">
        <v>92</v>
      </c>
      <c r="G70" s="18" t="s">
        <v>95</v>
      </c>
      <c r="H70" s="12">
        <f t="shared" si="2"/>
        <v>2000</v>
      </c>
      <c r="I70" s="1">
        <v>2000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="11" customFormat="1" spans="1:39">
      <c r="A71" s="11">
        <v>69</v>
      </c>
      <c r="C71" s="11">
        <v>69</v>
      </c>
      <c r="F71" s="11" t="s">
        <v>92</v>
      </c>
      <c r="G71" s="18" t="s">
        <v>96</v>
      </c>
      <c r="H71" s="12">
        <f t="shared" si="2"/>
        <v>1000</v>
      </c>
      <c r="I71" s="1"/>
      <c r="J71" s="1"/>
      <c r="K71" s="1"/>
      <c r="L71" s="1"/>
      <c r="M71" s="1"/>
      <c r="N71" s="1">
        <v>1000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="11" customFormat="1" spans="1:39">
      <c r="A72" s="11">
        <v>70</v>
      </c>
      <c r="C72" s="11">
        <v>70</v>
      </c>
      <c r="D72" s="11" t="s">
        <v>174</v>
      </c>
      <c r="F72" s="11" t="s">
        <v>92</v>
      </c>
      <c r="G72" s="18" t="s">
        <v>97</v>
      </c>
      <c r="H72" s="12">
        <f t="shared" si="2"/>
        <v>20000</v>
      </c>
      <c r="I72" s="1">
        <v>5000</v>
      </c>
      <c r="J72" s="1"/>
      <c r="K72" s="22">
        <v>5000</v>
      </c>
      <c r="L72" s="1"/>
      <c r="M72" s="1"/>
      <c r="N72" s="1">
        <v>5000</v>
      </c>
      <c r="O72" s="20">
        <v>5000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="11" customFormat="1" spans="1:39">
      <c r="A73" s="11">
        <v>71</v>
      </c>
      <c r="C73" s="11">
        <v>71</v>
      </c>
      <c r="F73" s="11" t="s">
        <v>92</v>
      </c>
      <c r="G73" s="18" t="s">
        <v>98</v>
      </c>
      <c r="H73" s="12">
        <f t="shared" si="2"/>
        <v>9000</v>
      </c>
      <c r="I73" s="1">
        <v>3000</v>
      </c>
      <c r="J73" s="1"/>
      <c r="K73" s="22">
        <v>3000</v>
      </c>
      <c r="L73" s="1"/>
      <c r="M73" s="1"/>
      <c r="N73" s="1">
        <v>3000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="11" customFormat="1" spans="1:39">
      <c r="A74" s="11">
        <v>72</v>
      </c>
      <c r="B74" s="11" t="s">
        <v>175</v>
      </c>
      <c r="C74" s="11">
        <v>72</v>
      </c>
      <c r="D74" s="11" t="s">
        <v>176</v>
      </c>
      <c r="E74" s="11">
        <v>8825370430</v>
      </c>
      <c r="F74" s="11" t="s">
        <v>92</v>
      </c>
      <c r="G74" s="18" t="s">
        <v>99</v>
      </c>
      <c r="H74" s="12">
        <f t="shared" si="2"/>
        <v>4000</v>
      </c>
      <c r="I74" s="1"/>
      <c r="J74" s="1">
        <v>2000</v>
      </c>
      <c r="K74" s="1"/>
      <c r="L74" s="1"/>
      <c r="M74" s="1"/>
      <c r="N74" s="1">
        <v>2000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="11" customFormat="1" spans="1:39">
      <c r="A75" s="11">
        <v>73</v>
      </c>
      <c r="C75" s="11">
        <v>73</v>
      </c>
      <c r="E75" s="11">
        <v>9631378928</v>
      </c>
      <c r="F75" s="11" t="s">
        <v>92</v>
      </c>
      <c r="G75" s="18" t="s">
        <v>100</v>
      </c>
      <c r="H75" s="12">
        <f t="shared" si="2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="11" customFormat="1" spans="1:39">
      <c r="A76" s="11">
        <v>74</v>
      </c>
      <c r="C76" s="11">
        <v>74</v>
      </c>
      <c r="F76" s="11" t="s">
        <v>92</v>
      </c>
      <c r="G76" s="18" t="s">
        <v>101</v>
      </c>
      <c r="H76" s="12">
        <f t="shared" si="2"/>
        <v>1000</v>
      </c>
      <c r="I76" s="1"/>
      <c r="J76" s="1"/>
      <c r="K76" s="1"/>
      <c r="L76" s="1"/>
      <c r="M76" s="1"/>
      <c r="N76" s="1"/>
      <c r="O76" s="1">
        <v>1000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="11" customFormat="1" spans="1:39">
      <c r="A77" s="11">
        <v>75</v>
      </c>
      <c r="B77" s="11" t="s">
        <v>177</v>
      </c>
      <c r="C77" s="11">
        <v>75</v>
      </c>
      <c r="D77" s="11" t="s">
        <v>177</v>
      </c>
      <c r="E77" s="11">
        <v>6200769032</v>
      </c>
      <c r="F77" s="11" t="s">
        <v>102</v>
      </c>
      <c r="G77" s="18" t="s">
        <v>103</v>
      </c>
      <c r="H77" s="12">
        <f t="shared" si="2"/>
        <v>2800</v>
      </c>
      <c r="I77" s="1"/>
      <c r="J77" s="1"/>
      <c r="K77" s="1"/>
      <c r="L77" s="1"/>
      <c r="M77" s="1"/>
      <c r="N77" s="1"/>
      <c r="O77" s="20">
        <v>2800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="11" customFormat="1" spans="1:39">
      <c r="A78" s="11">
        <v>76</v>
      </c>
      <c r="B78" s="11" t="s">
        <v>178</v>
      </c>
      <c r="C78" s="11">
        <v>76</v>
      </c>
      <c r="D78" s="11" t="s">
        <v>179</v>
      </c>
      <c r="F78" s="11" t="s">
        <v>102</v>
      </c>
      <c r="G78" s="18" t="s">
        <v>104</v>
      </c>
      <c r="H78" s="12">
        <f t="shared" si="2"/>
        <v>9000</v>
      </c>
      <c r="I78" s="1"/>
      <c r="J78" s="1"/>
      <c r="K78" s="20">
        <v>3000</v>
      </c>
      <c r="L78" s="1"/>
      <c r="M78" s="20">
        <v>3000</v>
      </c>
      <c r="N78" s="20">
        <v>3000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="11" customFormat="1" spans="1:39">
      <c r="A79" s="11">
        <v>77</v>
      </c>
      <c r="B79" s="11" t="s">
        <v>180</v>
      </c>
      <c r="C79" s="11">
        <v>77</v>
      </c>
      <c r="D79" s="11" t="s">
        <v>181</v>
      </c>
      <c r="F79" s="11" t="s">
        <v>102</v>
      </c>
      <c r="G79" s="18" t="s">
        <v>105</v>
      </c>
      <c r="H79" s="12">
        <f t="shared" si="2"/>
        <v>4000</v>
      </c>
      <c r="I79" s="1"/>
      <c r="J79" s="1"/>
      <c r="K79" s="1"/>
      <c r="L79" s="1"/>
      <c r="M79" s="20">
        <v>4000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="11" customFormat="1" spans="1:39">
      <c r="A80" s="11">
        <v>78</v>
      </c>
      <c r="C80" s="11">
        <v>78</v>
      </c>
      <c r="G80" s="18" t="s">
        <v>106</v>
      </c>
      <c r="H80" s="12">
        <f t="shared" si="2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="11" customFormat="1" spans="1:39">
      <c r="A81" s="11">
        <v>79</v>
      </c>
      <c r="B81" s="11" t="s">
        <v>182</v>
      </c>
      <c r="C81" s="11">
        <v>79</v>
      </c>
      <c r="D81" s="11" t="s">
        <v>182</v>
      </c>
      <c r="E81" s="11" t="s">
        <v>183</v>
      </c>
      <c r="F81" s="11" t="s">
        <v>107</v>
      </c>
      <c r="G81" s="18" t="s">
        <v>108</v>
      </c>
      <c r="H81" s="12">
        <f t="shared" si="2"/>
        <v>2000</v>
      </c>
      <c r="I81" s="1"/>
      <c r="J81" s="1"/>
      <c r="K81" s="1"/>
      <c r="L81" s="1"/>
      <c r="M81" s="1"/>
      <c r="N81" s="1"/>
      <c r="O81" s="20">
        <v>2000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="11" customFormat="1" spans="1:39">
      <c r="A82" s="11">
        <v>80</v>
      </c>
      <c r="C82" s="11">
        <v>80</v>
      </c>
      <c r="G82" s="18" t="s">
        <v>109</v>
      </c>
      <c r="H82" s="12">
        <f t="shared" si="2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="11" customFormat="1" spans="1:39">
      <c r="A83" s="11">
        <v>81</v>
      </c>
      <c r="C83" s="11">
        <v>81</v>
      </c>
      <c r="F83" s="11" t="s">
        <v>110</v>
      </c>
      <c r="G83" s="18" t="s">
        <v>111</v>
      </c>
      <c r="H83" s="12">
        <f t="shared" si="2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="11" customFormat="1" spans="1:39">
      <c r="A84" s="11">
        <v>82</v>
      </c>
      <c r="C84" s="11">
        <v>82</v>
      </c>
      <c r="G84" s="18" t="s">
        <v>112</v>
      </c>
      <c r="H84" s="12">
        <f t="shared" si="2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="11" customFormat="1" spans="1:39">
      <c r="A85" s="11">
        <v>83</v>
      </c>
      <c r="B85" s="11" t="s">
        <v>184</v>
      </c>
      <c r="C85" s="11">
        <v>83</v>
      </c>
      <c r="D85" s="11" t="s">
        <v>184</v>
      </c>
      <c r="F85" s="11" t="s">
        <v>113</v>
      </c>
      <c r="G85" s="18" t="s">
        <v>114</v>
      </c>
      <c r="H85" s="12">
        <f t="shared" si="2"/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="11" customFormat="1" spans="1:39">
      <c r="A86" s="11">
        <v>84</v>
      </c>
      <c r="C86" s="11">
        <v>84</v>
      </c>
      <c r="E86" s="11">
        <v>9934079439</v>
      </c>
      <c r="F86" s="11" t="s">
        <v>113</v>
      </c>
      <c r="G86" s="18" t="s">
        <v>115</v>
      </c>
      <c r="H86" s="12">
        <f t="shared" si="2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="11" customFormat="1" spans="1:39">
      <c r="A87" s="11">
        <v>85</v>
      </c>
      <c r="B87" s="11" t="s">
        <v>185</v>
      </c>
      <c r="C87" s="11">
        <v>85</v>
      </c>
      <c r="D87" s="11" t="s">
        <v>185</v>
      </c>
      <c r="E87" s="11">
        <v>7903552643</v>
      </c>
      <c r="F87" s="11" t="s">
        <v>113</v>
      </c>
      <c r="G87" s="18" t="s">
        <v>116</v>
      </c>
      <c r="H87" s="12">
        <f t="shared" si="2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="11" customFormat="1" spans="1:39">
      <c r="A88" s="11">
        <v>86</v>
      </c>
      <c r="C88" s="11">
        <v>86</v>
      </c>
      <c r="D88" s="11" t="s">
        <v>186</v>
      </c>
      <c r="E88" s="11">
        <v>9911430509</v>
      </c>
      <c r="F88" s="11" t="s">
        <v>117</v>
      </c>
      <c r="G88" s="18" t="s">
        <v>118</v>
      </c>
      <c r="H88" s="12">
        <f t="shared" si="2"/>
        <v>2000</v>
      </c>
      <c r="I88" s="1"/>
      <c r="J88" s="1"/>
      <c r="K88" s="1"/>
      <c r="L88" s="1"/>
      <c r="M88" s="1"/>
      <c r="N88" s="1"/>
      <c r="O88" s="20">
        <v>2000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="11" customFormat="1" spans="1:39">
      <c r="A89" s="11">
        <v>87</v>
      </c>
      <c r="C89" s="11">
        <v>87</v>
      </c>
      <c r="G89" s="18" t="s">
        <v>119</v>
      </c>
      <c r="H89" s="12">
        <f t="shared" si="2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="11" customFormat="1" spans="1:39">
      <c r="A90" s="11">
        <v>88</v>
      </c>
      <c r="B90" s="11" t="s">
        <v>187</v>
      </c>
      <c r="C90" s="11">
        <v>88</v>
      </c>
      <c r="D90" s="11" t="s">
        <v>187</v>
      </c>
      <c r="G90" s="18" t="s">
        <v>120</v>
      </c>
      <c r="H90" s="12">
        <f t="shared" si="2"/>
        <v>1000</v>
      </c>
      <c r="I90" s="1"/>
      <c r="J90" s="20">
        <v>1000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="11" customFormat="1" spans="1:39">
      <c r="A91" s="11">
        <v>89</v>
      </c>
      <c r="C91" s="11">
        <v>89</v>
      </c>
      <c r="G91" s="18" t="s">
        <v>121</v>
      </c>
      <c r="H91" s="12">
        <f t="shared" si="2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="11" customFormat="1" spans="1:39">
      <c r="A92" s="11">
        <v>90</v>
      </c>
      <c r="C92" s="11">
        <v>90</v>
      </c>
      <c r="D92" s="11" t="s">
        <v>188</v>
      </c>
      <c r="E92" s="11">
        <v>9015378357</v>
      </c>
      <c r="F92" s="11" t="s">
        <v>189</v>
      </c>
      <c r="G92" s="18" t="s">
        <v>122</v>
      </c>
      <c r="H92" s="12">
        <f t="shared" si="2"/>
        <v>3000</v>
      </c>
      <c r="I92" s="1"/>
      <c r="J92" s="1"/>
      <c r="K92" s="1"/>
      <c r="L92" s="1"/>
      <c r="M92" s="1"/>
      <c r="N92" s="1">
        <v>3000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="11" customFormat="1" spans="1:39">
      <c r="A93" s="11">
        <v>91</v>
      </c>
      <c r="C93" s="11">
        <v>91</v>
      </c>
      <c r="G93" s="18" t="s">
        <v>123</v>
      </c>
      <c r="H93" s="12">
        <f t="shared" si="2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="11" customFormat="1" spans="1:39">
      <c r="A94" s="11">
        <v>92</v>
      </c>
      <c r="C94" s="11">
        <v>92</v>
      </c>
      <c r="F94" s="11" t="s">
        <v>124</v>
      </c>
      <c r="G94" s="18" t="s">
        <v>125</v>
      </c>
      <c r="H94" s="12">
        <f t="shared" si="2"/>
        <v>1000</v>
      </c>
      <c r="I94" s="1">
        <v>1000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="11" customFormat="1" spans="1:39">
      <c r="A95" s="11">
        <v>93</v>
      </c>
      <c r="C95" s="11">
        <v>93</v>
      </c>
      <c r="G95" s="18" t="s">
        <v>126</v>
      </c>
      <c r="H95" s="12">
        <f t="shared" si="2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="11" customFormat="1" spans="1:39">
      <c r="A96" s="11">
        <v>94</v>
      </c>
      <c r="C96" s="11">
        <v>94</v>
      </c>
      <c r="G96" s="18" t="s">
        <v>127</v>
      </c>
      <c r="H96" s="12">
        <f t="shared" si="2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8:8">
      <c r="H97" s="12"/>
    </row>
    <row r="98" spans="8:8">
      <c r="H98" s="12"/>
    </row>
    <row r="99" spans="8:8">
      <c r="H99" s="12"/>
    </row>
    <row r="100" spans="8:8">
      <c r="H100" s="12"/>
    </row>
    <row r="101" spans="8:8">
      <c r="H101" s="12"/>
    </row>
    <row r="102" spans="8:8">
      <c r="H102" s="12"/>
    </row>
    <row r="103" spans="8:8">
      <c r="H103" s="12"/>
    </row>
    <row r="104" spans="8:8">
      <c r="H104" s="12"/>
    </row>
    <row r="105" spans="8:8">
      <c r="H105" s="12"/>
    </row>
    <row r="106" spans="8:8">
      <c r="H106" s="12"/>
    </row>
    <row r="107" spans="8:8">
      <c r="H107" s="12"/>
    </row>
    <row r="108" spans="8:8">
      <c r="H108" s="12"/>
    </row>
    <row r="109" spans="8:8">
      <c r="H109" s="12"/>
    </row>
    <row r="110" spans="8:8">
      <c r="H110" s="12"/>
    </row>
    <row r="111" spans="8:8">
      <c r="H111" s="12"/>
    </row>
    <row r="112" spans="8:8">
      <c r="H112" s="1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6"/>
  <sheetViews>
    <sheetView tabSelected="1" workbookViewId="0">
      <selection activeCell="D1" sqref="A1:D94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128</v>
      </c>
      <c r="C1" s="3" t="s">
        <v>4</v>
      </c>
      <c r="D1" s="3" t="s">
        <v>190</v>
      </c>
    </row>
    <row r="2" spans="1:5">
      <c r="A2" s="4"/>
      <c r="B2" s="4"/>
      <c r="C2" s="5" t="s">
        <v>8</v>
      </c>
      <c r="D2" s="6">
        <f>Orders!F2-Collection!H2</f>
        <v>216800</v>
      </c>
      <c r="E2" s="7">
        <f>SUM(D3:D96)</f>
        <v>216800</v>
      </c>
    </row>
    <row r="3" spans="1:4">
      <c r="A3" s="8" t="s">
        <v>9</v>
      </c>
      <c r="B3" s="8">
        <v>9334066332</v>
      </c>
      <c r="C3" s="9" t="s">
        <v>10</v>
      </c>
      <c r="D3" s="10">
        <f>Orders!F3-Collection!H3</f>
        <v>3000</v>
      </c>
    </row>
    <row r="4" spans="1:4">
      <c r="A4" s="8" t="s">
        <v>9</v>
      </c>
      <c r="B4" s="8">
        <v>9123417146</v>
      </c>
      <c r="C4" s="9" t="s">
        <v>11</v>
      </c>
      <c r="D4" s="10">
        <f>Orders!F4-Collection!H4</f>
        <v>4000</v>
      </c>
    </row>
    <row r="5" spans="1:4">
      <c r="A5" s="8" t="s">
        <v>9</v>
      </c>
      <c r="B5" s="8">
        <v>8340365412</v>
      </c>
      <c r="C5" s="9" t="s">
        <v>13</v>
      </c>
      <c r="D5" s="10">
        <f>Orders!F5-Collection!H5</f>
        <v>500</v>
      </c>
    </row>
    <row r="6" spans="1:4">
      <c r="A6" s="8" t="s">
        <v>9</v>
      </c>
      <c r="B6" s="8">
        <v>9102317719</v>
      </c>
      <c r="C6" s="9" t="s">
        <v>15</v>
      </c>
      <c r="D6" s="10">
        <f>Orders!F6-Collection!H6</f>
        <v>5000</v>
      </c>
    </row>
    <row r="7" spans="1:4">
      <c r="A7" s="8" t="s">
        <v>9</v>
      </c>
      <c r="B7" s="8">
        <v>8210924561</v>
      </c>
      <c r="C7" s="9" t="s">
        <v>17</v>
      </c>
      <c r="D7" s="10">
        <f>Orders!F7-Collection!H7</f>
        <v>12000</v>
      </c>
    </row>
    <row r="8" hidden="1" spans="1:4">
      <c r="A8" s="8" t="s">
        <v>9</v>
      </c>
      <c r="B8" s="8">
        <v>9110978139</v>
      </c>
      <c r="C8" s="9" t="s">
        <v>19</v>
      </c>
      <c r="D8" s="10">
        <f>Orders!F8-Collection!H8</f>
        <v>0</v>
      </c>
    </row>
    <row r="9" hidden="1" spans="1:4">
      <c r="A9" s="8" t="s">
        <v>9</v>
      </c>
      <c r="B9" s="8">
        <v>8340201321</v>
      </c>
      <c r="C9" s="9" t="s">
        <v>20</v>
      </c>
      <c r="D9" s="10">
        <f>Orders!F9-Collection!H9</f>
        <v>0</v>
      </c>
    </row>
    <row r="10" spans="1:4">
      <c r="A10" s="8" t="s">
        <v>9</v>
      </c>
      <c r="B10" s="8">
        <v>7004365158</v>
      </c>
      <c r="C10" s="9" t="s">
        <v>22</v>
      </c>
      <c r="D10" s="10">
        <f>Orders!F10-Collection!H10</f>
        <v>2500</v>
      </c>
    </row>
    <row r="11" hidden="1" spans="1:4">
      <c r="A11" s="8" t="s">
        <v>23</v>
      </c>
      <c r="B11" s="8">
        <v>9973022718</v>
      </c>
      <c r="C11" s="9" t="s">
        <v>24</v>
      </c>
      <c r="D11" s="10">
        <f>Orders!F11-Collection!H11</f>
        <v>0</v>
      </c>
    </row>
    <row r="12" hidden="1" spans="1:4">
      <c r="A12" s="8" t="s">
        <v>23</v>
      </c>
      <c r="B12" s="8">
        <v>7004923653</v>
      </c>
      <c r="C12" s="9" t="s">
        <v>25</v>
      </c>
      <c r="D12" s="10">
        <f>Orders!F12-Collection!H12</f>
        <v>0</v>
      </c>
    </row>
    <row r="13" hidden="1" spans="1:4">
      <c r="A13" s="8" t="s">
        <v>23</v>
      </c>
      <c r="B13" s="8">
        <v>8340182577</v>
      </c>
      <c r="C13" s="9" t="s">
        <v>26</v>
      </c>
      <c r="D13" s="10">
        <f>Orders!F13-Collection!H13</f>
        <v>0</v>
      </c>
    </row>
    <row r="14" spans="1:4">
      <c r="A14" s="8" t="s">
        <v>23</v>
      </c>
      <c r="B14" s="8">
        <v>7004740439</v>
      </c>
      <c r="C14" s="9" t="s">
        <v>27</v>
      </c>
      <c r="D14" s="10">
        <f>Orders!F14-Collection!H14</f>
        <v>10500</v>
      </c>
    </row>
    <row r="15" hidden="1" spans="1:4">
      <c r="A15" s="8" t="s">
        <v>23</v>
      </c>
      <c r="B15" s="8">
        <v>7004936104</v>
      </c>
      <c r="C15" s="9" t="s">
        <v>29</v>
      </c>
      <c r="D15" s="10">
        <f>Orders!F15-Collection!H15</f>
        <v>0</v>
      </c>
    </row>
    <row r="16" spans="1:4">
      <c r="A16" s="8" t="s">
        <v>23</v>
      </c>
      <c r="B16" s="8">
        <v>7321004323</v>
      </c>
      <c r="C16" s="9" t="s">
        <v>30</v>
      </c>
      <c r="D16" s="10">
        <f>Orders!F16-Collection!H16</f>
        <v>3000</v>
      </c>
    </row>
    <row r="17" spans="1:4">
      <c r="A17" s="8" t="s">
        <v>23</v>
      </c>
      <c r="B17" s="11">
        <v>7903378748</v>
      </c>
      <c r="C17" s="9" t="s">
        <v>32</v>
      </c>
      <c r="D17" s="10">
        <f>Orders!F17-Collection!H17</f>
        <v>2000</v>
      </c>
    </row>
    <row r="18" spans="1:4">
      <c r="A18" s="8" t="s">
        <v>23</v>
      </c>
      <c r="B18" s="8">
        <v>7004493350</v>
      </c>
      <c r="C18" s="9" t="s">
        <v>34</v>
      </c>
      <c r="D18" s="10">
        <f>Orders!F18-Collection!H18</f>
        <v>2000</v>
      </c>
    </row>
    <row r="19" spans="1:4">
      <c r="A19" s="8" t="s">
        <v>23</v>
      </c>
      <c r="B19" s="8">
        <v>9608475282</v>
      </c>
      <c r="C19" s="9" t="s">
        <v>35</v>
      </c>
      <c r="D19" s="10">
        <f>Orders!F19-Collection!H19</f>
        <v>2000</v>
      </c>
    </row>
    <row r="20" spans="1:4">
      <c r="A20" s="8" t="s">
        <v>36</v>
      </c>
      <c r="B20" s="8">
        <v>9661555592</v>
      </c>
      <c r="C20" s="9" t="s">
        <v>37</v>
      </c>
      <c r="D20" s="10">
        <f>Orders!F20-Collection!H20</f>
        <v>5000</v>
      </c>
    </row>
    <row r="21" spans="1:4">
      <c r="A21" s="8" t="s">
        <v>36</v>
      </c>
      <c r="B21" s="8">
        <v>8340523512</v>
      </c>
      <c r="C21" s="9" t="s">
        <v>38</v>
      </c>
      <c r="D21" s="10">
        <f>Orders!F21-Collection!H21</f>
        <v>2000</v>
      </c>
    </row>
    <row r="22" spans="1:4">
      <c r="A22" s="8" t="s">
        <v>36</v>
      </c>
      <c r="B22" s="8">
        <v>8825310472</v>
      </c>
      <c r="C22" s="9" t="s">
        <v>39</v>
      </c>
      <c r="D22" s="10">
        <f>Orders!F22-Collection!H22</f>
        <v>2500</v>
      </c>
    </row>
    <row r="23" hidden="1" spans="1:4">
      <c r="A23" s="8" t="s">
        <v>36</v>
      </c>
      <c r="B23" s="8">
        <v>7004478123</v>
      </c>
      <c r="C23" s="9" t="s">
        <v>40</v>
      </c>
      <c r="D23" s="10">
        <f>Orders!F23-Collection!H23</f>
        <v>0</v>
      </c>
    </row>
    <row r="24" hidden="1" spans="1:4">
      <c r="A24" s="8" t="s">
        <v>36</v>
      </c>
      <c r="B24" s="8">
        <v>7667895364</v>
      </c>
      <c r="C24" s="9" t="s">
        <v>41</v>
      </c>
      <c r="D24" s="10">
        <f>Orders!F24-Collection!H24</f>
        <v>0</v>
      </c>
    </row>
    <row r="25" hidden="1" spans="1:4">
      <c r="A25" s="8" t="s">
        <v>36</v>
      </c>
      <c r="B25" s="8">
        <v>7006041121</v>
      </c>
      <c r="C25" s="9" t="s">
        <v>42</v>
      </c>
      <c r="D25" s="10">
        <f>Orders!F25-Collection!H25</f>
        <v>0</v>
      </c>
    </row>
    <row r="26" hidden="1" spans="1:4">
      <c r="A26" s="8" t="s">
        <v>36</v>
      </c>
      <c r="B26" s="8">
        <v>8709658240</v>
      </c>
      <c r="C26" s="9" t="s">
        <v>43</v>
      </c>
      <c r="D26" s="10">
        <f>Orders!F26-Collection!H26</f>
        <v>0</v>
      </c>
    </row>
    <row r="27" hidden="1" spans="1:4">
      <c r="A27" s="8" t="s">
        <v>36</v>
      </c>
      <c r="B27" s="8">
        <v>8709612020</v>
      </c>
      <c r="C27" s="9" t="s">
        <v>44</v>
      </c>
      <c r="D27" s="10">
        <f>Orders!F27-Collection!H27</f>
        <v>0</v>
      </c>
    </row>
    <row r="28" spans="1:4">
      <c r="A28" s="8" t="s">
        <v>36</v>
      </c>
      <c r="B28" s="8">
        <v>9973040600</v>
      </c>
      <c r="C28" s="9" t="s">
        <v>45</v>
      </c>
      <c r="D28" s="10">
        <f>Orders!F28-Collection!H28</f>
        <v>1000</v>
      </c>
    </row>
    <row r="29" hidden="1" spans="1:4">
      <c r="A29" s="8" t="s">
        <v>36</v>
      </c>
      <c r="B29" s="8">
        <v>9973345687</v>
      </c>
      <c r="C29" s="9" t="s">
        <v>46</v>
      </c>
      <c r="D29" s="10">
        <f>Orders!F29-Collection!H29</f>
        <v>0</v>
      </c>
    </row>
    <row r="30" spans="1:4">
      <c r="A30" s="8" t="s">
        <v>36</v>
      </c>
      <c r="B30" s="8">
        <v>9631391206</v>
      </c>
      <c r="C30" s="9" t="s">
        <v>47</v>
      </c>
      <c r="D30" s="10">
        <f>Orders!F30-Collection!H30</f>
        <v>2000</v>
      </c>
    </row>
    <row r="31" hidden="1" spans="1:4">
      <c r="A31" s="8" t="s">
        <v>36</v>
      </c>
      <c r="B31" s="8">
        <v>8340565882</v>
      </c>
      <c r="C31" s="9" t="s">
        <v>48</v>
      </c>
      <c r="D31" s="10">
        <f>Orders!F31-Collection!H31</f>
        <v>0</v>
      </c>
    </row>
    <row r="32" spans="1:4">
      <c r="A32" s="8" t="s">
        <v>36</v>
      </c>
      <c r="B32" s="8">
        <v>7004134938</v>
      </c>
      <c r="C32" s="9" t="s">
        <v>49</v>
      </c>
      <c r="D32" s="10">
        <f>Orders!F32-Collection!H32</f>
        <v>10000</v>
      </c>
    </row>
    <row r="33" hidden="1" spans="1:4">
      <c r="A33" s="8" t="s">
        <v>36</v>
      </c>
      <c r="B33" s="8">
        <v>7488143097</v>
      </c>
      <c r="C33" s="9" t="s">
        <v>50</v>
      </c>
      <c r="D33" s="10">
        <f>Orders!F33-Collection!H33</f>
        <v>0</v>
      </c>
    </row>
    <row r="34" hidden="1" spans="1:4">
      <c r="A34" s="8" t="s">
        <v>51</v>
      </c>
      <c r="B34" s="8">
        <v>9110951966</v>
      </c>
      <c r="C34" s="9" t="s">
        <v>52</v>
      </c>
      <c r="D34" s="10">
        <f>Orders!F34-Collection!H34</f>
        <v>0</v>
      </c>
    </row>
    <row r="35" hidden="1" spans="1:4">
      <c r="A35" s="8" t="s">
        <v>51</v>
      </c>
      <c r="B35" s="8">
        <v>7909015301</v>
      </c>
      <c r="C35" s="9" t="s">
        <v>53</v>
      </c>
      <c r="D35" s="10">
        <f>Orders!F35-Collection!H35</f>
        <v>0</v>
      </c>
    </row>
    <row r="36" hidden="1" spans="1:4">
      <c r="A36" s="8" t="s">
        <v>51</v>
      </c>
      <c r="B36" s="8">
        <v>7654800030</v>
      </c>
      <c r="C36" s="9" t="s">
        <v>54</v>
      </c>
      <c r="D36" s="10">
        <f>Orders!F36-Collection!H36</f>
        <v>0</v>
      </c>
    </row>
    <row r="37" spans="1:4">
      <c r="A37" s="8" t="s">
        <v>51</v>
      </c>
      <c r="B37" s="8">
        <v>7004687743</v>
      </c>
      <c r="C37" s="9" t="s">
        <v>55</v>
      </c>
      <c r="D37" s="10">
        <f>Orders!F37-Collection!H37</f>
        <v>6000</v>
      </c>
    </row>
    <row r="38" spans="1:4">
      <c r="A38" s="8" t="s">
        <v>51</v>
      </c>
      <c r="B38" s="8"/>
      <c r="C38" s="9" t="s">
        <v>56</v>
      </c>
      <c r="D38" s="10">
        <f>Orders!F38-Collection!H38</f>
        <v>1000</v>
      </c>
    </row>
    <row r="39" spans="1:4">
      <c r="A39" s="8" t="s">
        <v>51</v>
      </c>
      <c r="B39" s="8">
        <v>9708329918</v>
      </c>
      <c r="C39" s="9" t="s">
        <v>57</v>
      </c>
      <c r="D39" s="10">
        <f>Orders!F39-Collection!H39</f>
        <v>1000</v>
      </c>
    </row>
    <row r="40" hidden="1" spans="1:4">
      <c r="A40" s="8" t="s">
        <v>51</v>
      </c>
      <c r="B40" s="8">
        <v>8709954402</v>
      </c>
      <c r="C40" s="9" t="s">
        <v>58</v>
      </c>
      <c r="D40" s="10">
        <f>Orders!F40-Collection!H40</f>
        <v>0</v>
      </c>
    </row>
    <row r="41" hidden="1" spans="1:4">
      <c r="A41" s="8" t="s">
        <v>51</v>
      </c>
      <c r="B41" s="8">
        <v>8102542369</v>
      </c>
      <c r="C41" s="9" t="s">
        <v>59</v>
      </c>
      <c r="D41" s="10">
        <f>Orders!F41-Collection!H41</f>
        <v>0</v>
      </c>
    </row>
    <row r="42" hidden="1" spans="1:4">
      <c r="A42" s="8" t="s">
        <v>51</v>
      </c>
      <c r="B42" s="8">
        <v>9304671707</v>
      </c>
      <c r="C42" s="9" t="s">
        <v>60</v>
      </c>
      <c r="D42" s="10">
        <f>Orders!F42-Collection!H42</f>
        <v>0</v>
      </c>
    </row>
    <row r="43" spans="1:4">
      <c r="A43" s="8" t="s">
        <v>51</v>
      </c>
      <c r="B43" s="8">
        <v>8210095108</v>
      </c>
      <c r="C43" s="9" t="s">
        <v>61</v>
      </c>
      <c r="D43" s="10">
        <f>Orders!F43-Collection!H43</f>
        <v>1000</v>
      </c>
    </row>
    <row r="44" hidden="1" spans="1:4">
      <c r="A44" s="8" t="s">
        <v>51</v>
      </c>
      <c r="B44" s="8"/>
      <c r="C44" s="9" t="s">
        <v>62</v>
      </c>
      <c r="D44" s="10">
        <f>Orders!F44-Collection!H44</f>
        <v>0</v>
      </c>
    </row>
    <row r="45" spans="1:4">
      <c r="A45" s="8" t="s">
        <v>51</v>
      </c>
      <c r="B45" s="8">
        <v>8588878618</v>
      </c>
      <c r="C45" s="9" t="s">
        <v>63</v>
      </c>
      <c r="D45" s="10">
        <f>Orders!F45-Collection!H45</f>
        <v>3000</v>
      </c>
    </row>
    <row r="46" spans="1:4">
      <c r="A46" s="8" t="s">
        <v>64</v>
      </c>
      <c r="B46" s="8">
        <v>7004687745</v>
      </c>
      <c r="C46" s="9" t="s">
        <v>65</v>
      </c>
      <c r="D46" s="10">
        <f>Orders!F46-Collection!H46</f>
        <v>6000</v>
      </c>
    </row>
    <row r="47" hidden="1" spans="1:4">
      <c r="A47" s="8" t="s">
        <v>64</v>
      </c>
      <c r="B47" s="8">
        <v>7004454705</v>
      </c>
      <c r="C47" s="9" t="s">
        <v>66</v>
      </c>
      <c r="D47" s="10">
        <f>Orders!F47-Collection!H47</f>
        <v>0</v>
      </c>
    </row>
    <row r="48" spans="1:4">
      <c r="A48" s="8" t="s">
        <v>64</v>
      </c>
      <c r="B48" s="8"/>
      <c r="C48" s="9" t="s">
        <v>67</v>
      </c>
      <c r="D48" s="10">
        <f>Orders!F48-Collection!H48</f>
        <v>2000</v>
      </c>
    </row>
    <row r="49" spans="1:4">
      <c r="A49" s="8" t="s">
        <v>64</v>
      </c>
      <c r="B49" s="8">
        <v>8863097933</v>
      </c>
      <c r="C49" s="9" t="s">
        <v>68</v>
      </c>
      <c r="D49" s="10">
        <f>Orders!F49-Collection!H49</f>
        <v>8500</v>
      </c>
    </row>
    <row r="50" spans="1:4">
      <c r="A50" s="8" t="s">
        <v>64</v>
      </c>
      <c r="B50" s="8">
        <v>9835443096</v>
      </c>
      <c r="C50" s="9" t="s">
        <v>69</v>
      </c>
      <c r="D50" s="10">
        <f>Orders!F50-Collection!H50</f>
        <v>3000</v>
      </c>
    </row>
    <row r="51" hidden="1" spans="1:4">
      <c r="A51" s="8" t="s">
        <v>64</v>
      </c>
      <c r="B51" s="8">
        <v>7004191817</v>
      </c>
      <c r="C51" s="9" t="s">
        <v>70</v>
      </c>
      <c r="D51" s="10">
        <f>Orders!F51-Collection!H51</f>
        <v>0</v>
      </c>
    </row>
    <row r="52" hidden="1" spans="1:4">
      <c r="A52" s="8" t="s">
        <v>64</v>
      </c>
      <c r="B52" s="8"/>
      <c r="C52" s="9" t="s">
        <v>71</v>
      </c>
      <c r="D52" s="10">
        <f>Orders!F52-Collection!H52</f>
        <v>0</v>
      </c>
    </row>
    <row r="53" spans="1:4">
      <c r="A53" s="8" t="s">
        <v>64</v>
      </c>
      <c r="B53" s="8">
        <v>7004423721</v>
      </c>
      <c r="C53" s="9" t="s">
        <v>72</v>
      </c>
      <c r="D53" s="10">
        <f>Orders!F53-Collection!H53</f>
        <v>3000</v>
      </c>
    </row>
    <row r="54" spans="1:4">
      <c r="A54" s="8" t="s">
        <v>64</v>
      </c>
      <c r="B54" s="8">
        <v>6202424016</v>
      </c>
      <c r="C54" s="9" t="s">
        <v>73</v>
      </c>
      <c r="D54" s="10">
        <f>Orders!F54-Collection!H54</f>
        <v>2000</v>
      </c>
    </row>
    <row r="55" hidden="1" spans="1:4">
      <c r="A55" s="8" t="s">
        <v>64</v>
      </c>
      <c r="B55" s="8"/>
      <c r="C55" s="9" t="s">
        <v>74</v>
      </c>
      <c r="D55" s="10">
        <f>Orders!F55-Collection!H55</f>
        <v>0</v>
      </c>
    </row>
    <row r="56" spans="1:4">
      <c r="A56" s="8" t="s">
        <v>64</v>
      </c>
      <c r="B56" s="8">
        <v>7870055507</v>
      </c>
      <c r="C56" s="9" t="s">
        <v>75</v>
      </c>
      <c r="D56" s="10">
        <f>Orders!F56-Collection!H56</f>
        <v>2000</v>
      </c>
    </row>
    <row r="57" hidden="1" spans="1:4">
      <c r="A57" s="8" t="s">
        <v>64</v>
      </c>
      <c r="B57" s="8">
        <v>6202424016</v>
      </c>
      <c r="C57" s="9" t="s">
        <v>76</v>
      </c>
      <c r="D57" s="10">
        <f>Orders!F57-Collection!H57</f>
        <v>0</v>
      </c>
    </row>
    <row r="58" hidden="1" spans="1:4">
      <c r="A58" s="8" t="s">
        <v>77</v>
      </c>
      <c r="B58" s="8">
        <v>7004211364</v>
      </c>
      <c r="C58" s="9" t="s">
        <v>78</v>
      </c>
      <c r="D58" s="10">
        <f>Orders!F58-Collection!H58</f>
        <v>0</v>
      </c>
    </row>
    <row r="59" spans="1:4">
      <c r="A59" s="8" t="s">
        <v>77</v>
      </c>
      <c r="B59" s="8">
        <v>7979985074</v>
      </c>
      <c r="C59" s="9" t="s">
        <v>79</v>
      </c>
      <c r="D59" s="10">
        <f>Orders!F59-Collection!H59</f>
        <v>10000</v>
      </c>
    </row>
    <row r="60" hidden="1" spans="1:4">
      <c r="A60" s="8" t="s">
        <v>77</v>
      </c>
      <c r="B60" s="8">
        <v>9304063435</v>
      </c>
      <c r="C60" s="9" t="s">
        <v>80</v>
      </c>
      <c r="D60" s="10">
        <f>Orders!F60-Collection!H60</f>
        <v>0</v>
      </c>
    </row>
    <row r="61" hidden="1" spans="1:4">
      <c r="A61" s="8" t="s">
        <v>77</v>
      </c>
      <c r="B61" s="11">
        <v>9798805204</v>
      </c>
      <c r="C61" s="9" t="s">
        <v>81</v>
      </c>
      <c r="D61" s="10">
        <f>Orders!F61-Collection!H61</f>
        <v>0</v>
      </c>
    </row>
    <row r="62" spans="1:4">
      <c r="A62" s="8" t="s">
        <v>82</v>
      </c>
      <c r="B62" s="8">
        <v>9504958065</v>
      </c>
      <c r="C62" s="9" t="s">
        <v>83</v>
      </c>
      <c r="D62" s="10">
        <f>Orders!F62-Collection!H62</f>
        <v>5000</v>
      </c>
    </row>
    <row r="63" spans="1:4">
      <c r="A63" s="8" t="s">
        <v>82</v>
      </c>
      <c r="B63" s="8">
        <v>9852299192</v>
      </c>
      <c r="C63" s="9" t="s">
        <v>84</v>
      </c>
      <c r="D63" s="10">
        <f>Orders!F63-Collection!H63</f>
        <v>1100</v>
      </c>
    </row>
    <row r="64" hidden="1" spans="1:4">
      <c r="A64" s="8" t="s">
        <v>82</v>
      </c>
      <c r="B64" s="8">
        <v>9931812966</v>
      </c>
      <c r="C64" s="9" t="s">
        <v>86</v>
      </c>
      <c r="D64" s="10">
        <f>Orders!F64-Collection!H64</f>
        <v>0</v>
      </c>
    </row>
    <row r="65" hidden="1" spans="1:4">
      <c r="A65" s="8" t="s">
        <v>87</v>
      </c>
      <c r="B65" s="8">
        <v>7004399486</v>
      </c>
      <c r="C65" s="8" t="s">
        <v>88</v>
      </c>
      <c r="D65" s="10">
        <f>Orders!F65-Collection!H65</f>
        <v>0</v>
      </c>
    </row>
    <row r="66" spans="1:4">
      <c r="A66" s="8" t="s">
        <v>87</v>
      </c>
      <c r="B66" s="8">
        <v>9939935008</v>
      </c>
      <c r="C66" s="9" t="s">
        <v>89</v>
      </c>
      <c r="D66" s="10">
        <f>Orders!F66-Collection!H66</f>
        <v>8000</v>
      </c>
    </row>
    <row r="67" spans="1:4">
      <c r="A67" s="8" t="s">
        <v>90</v>
      </c>
      <c r="B67" s="8">
        <v>8271027441</v>
      </c>
      <c r="C67" s="9" t="s">
        <v>91</v>
      </c>
      <c r="D67" s="10">
        <f>Orders!F67-Collection!H67</f>
        <v>2000</v>
      </c>
    </row>
    <row r="68" hidden="1" spans="1:4">
      <c r="A68" s="8" t="s">
        <v>92</v>
      </c>
      <c r="B68" s="8">
        <v>8709494155</v>
      </c>
      <c r="C68" s="9" t="s">
        <v>93</v>
      </c>
      <c r="D68" s="10">
        <f>Orders!F68-Collection!H68</f>
        <v>0</v>
      </c>
    </row>
    <row r="69" hidden="1" spans="1:4">
      <c r="A69" s="8" t="s">
        <v>92</v>
      </c>
      <c r="B69" s="8">
        <v>8210273217</v>
      </c>
      <c r="C69" s="9" t="s">
        <v>94</v>
      </c>
      <c r="D69" s="10">
        <f>Orders!F69-Collection!H69</f>
        <v>-1000</v>
      </c>
    </row>
    <row r="70" hidden="1" spans="1:4">
      <c r="A70" s="8" t="s">
        <v>92</v>
      </c>
      <c r="B70" s="11">
        <v>7903311240</v>
      </c>
      <c r="C70" s="9" t="s">
        <v>95</v>
      </c>
      <c r="D70" s="10">
        <f>Orders!F70-Collection!H70</f>
        <v>0</v>
      </c>
    </row>
    <row r="71" hidden="1" spans="1:4">
      <c r="A71" s="8" t="s">
        <v>92</v>
      </c>
      <c r="B71" s="8">
        <v>6202448688</v>
      </c>
      <c r="C71" s="9" t="s">
        <v>96</v>
      </c>
      <c r="D71" s="10">
        <f>Orders!F71-Collection!H71</f>
        <v>0</v>
      </c>
    </row>
    <row r="72" hidden="1" spans="1:4">
      <c r="A72" s="8" t="s">
        <v>92</v>
      </c>
      <c r="B72" s="8">
        <v>8709017189</v>
      </c>
      <c r="C72" s="9" t="s">
        <v>97</v>
      </c>
      <c r="D72" s="10">
        <f>Orders!F72-Collection!H72</f>
        <v>0</v>
      </c>
    </row>
    <row r="73" hidden="1" spans="1:4">
      <c r="A73" s="8" t="s">
        <v>92</v>
      </c>
      <c r="B73" s="8">
        <v>7909071642</v>
      </c>
      <c r="C73" s="9" t="s">
        <v>98</v>
      </c>
      <c r="D73" s="10">
        <f>Orders!F73-Collection!H73</f>
        <v>0</v>
      </c>
    </row>
    <row r="74" hidden="1" spans="1:4">
      <c r="A74" s="8" t="s">
        <v>92</v>
      </c>
      <c r="B74" s="8">
        <v>8825370430</v>
      </c>
      <c r="C74" s="9" t="s">
        <v>99</v>
      </c>
      <c r="D74" s="10">
        <f>Orders!F74-Collection!H74</f>
        <v>0</v>
      </c>
    </row>
    <row r="75" hidden="1" spans="1:4">
      <c r="A75" s="8" t="s">
        <v>92</v>
      </c>
      <c r="B75" s="8">
        <v>9631378928</v>
      </c>
      <c r="C75" s="9" t="s">
        <v>100</v>
      </c>
      <c r="D75" s="10">
        <f>Orders!F75-Collection!H75</f>
        <v>0</v>
      </c>
    </row>
    <row r="76" spans="1:4">
      <c r="A76" s="8" t="s">
        <v>92</v>
      </c>
      <c r="B76" s="8">
        <v>8271027441</v>
      </c>
      <c r="C76" s="9" t="s">
        <v>101</v>
      </c>
      <c r="D76" s="10">
        <f>Orders!F76-Collection!H76</f>
        <v>1000</v>
      </c>
    </row>
    <row r="77" spans="1:4">
      <c r="A77" s="8" t="s">
        <v>102</v>
      </c>
      <c r="B77" s="8">
        <v>6200769032</v>
      </c>
      <c r="C77" s="9" t="s">
        <v>103</v>
      </c>
      <c r="D77" s="10">
        <f>Orders!F77-Collection!H77</f>
        <v>1200</v>
      </c>
    </row>
    <row r="78" hidden="1" spans="1:4">
      <c r="A78" s="8" t="s">
        <v>102</v>
      </c>
      <c r="B78" s="8">
        <v>7004695819</v>
      </c>
      <c r="C78" s="9" t="s">
        <v>104</v>
      </c>
      <c r="D78" s="10">
        <f>Orders!F78-Collection!H78</f>
        <v>0</v>
      </c>
    </row>
    <row r="79" spans="1:4">
      <c r="A79" s="8" t="s">
        <v>102</v>
      </c>
      <c r="B79" s="8">
        <v>8789354609</v>
      </c>
      <c r="C79" s="9" t="s">
        <v>105</v>
      </c>
      <c r="D79" s="10">
        <f>Orders!F79-Collection!H79</f>
        <v>2000</v>
      </c>
    </row>
    <row r="80" hidden="1" spans="1:4">
      <c r="A80" s="8"/>
      <c r="B80" s="8"/>
      <c r="C80" s="9" t="s">
        <v>106</v>
      </c>
      <c r="D80" s="10">
        <f>Orders!F80-Collection!H80</f>
        <v>67000</v>
      </c>
    </row>
    <row r="81" hidden="1" spans="1:4">
      <c r="A81" s="8" t="s">
        <v>107</v>
      </c>
      <c r="B81" s="8">
        <v>8789783884</v>
      </c>
      <c r="C81" s="9" t="s">
        <v>108</v>
      </c>
      <c r="D81" s="10">
        <f>Orders!F81-Collection!H81</f>
        <v>0</v>
      </c>
    </row>
    <row r="82" hidden="1" spans="1:4">
      <c r="A82" s="8"/>
      <c r="B82" s="8"/>
      <c r="C82" s="9" t="s">
        <v>109</v>
      </c>
      <c r="D82" s="10">
        <f>Orders!F82-Collection!H82</f>
        <v>0</v>
      </c>
    </row>
    <row r="83" spans="1:4">
      <c r="A83" s="8" t="s">
        <v>110</v>
      </c>
      <c r="B83" s="8">
        <v>7079312729</v>
      </c>
      <c r="C83" s="9" t="s">
        <v>111</v>
      </c>
      <c r="D83" s="10">
        <f>Orders!F83-Collection!H83</f>
        <v>2000</v>
      </c>
    </row>
    <row r="84" hidden="1" spans="1:4">
      <c r="A84" s="8"/>
      <c r="B84" s="8"/>
      <c r="C84" s="9" t="s">
        <v>112</v>
      </c>
      <c r="D84" s="10">
        <f>Orders!F84-Collection!H84</f>
        <v>0</v>
      </c>
    </row>
    <row r="85" spans="1:4">
      <c r="A85" s="8" t="s">
        <v>113</v>
      </c>
      <c r="B85" s="8">
        <v>7979068575</v>
      </c>
      <c r="C85" s="9" t="s">
        <v>114</v>
      </c>
      <c r="D85" s="10">
        <f>Orders!F85-Collection!H85</f>
        <v>10000</v>
      </c>
    </row>
    <row r="86" hidden="1" spans="1:4">
      <c r="A86" s="8" t="s">
        <v>113</v>
      </c>
      <c r="B86" s="8">
        <v>9934079439</v>
      </c>
      <c r="C86" s="9" t="s">
        <v>115</v>
      </c>
      <c r="D86" s="10">
        <f>Orders!F86-Collection!H86</f>
        <v>0</v>
      </c>
    </row>
    <row r="87" hidden="1" spans="1:4">
      <c r="A87" s="8" t="s">
        <v>113</v>
      </c>
      <c r="B87" s="8">
        <v>7903552643</v>
      </c>
      <c r="C87" s="9" t="s">
        <v>116</v>
      </c>
      <c r="D87" s="10">
        <f>Orders!F87-Collection!H87</f>
        <v>0</v>
      </c>
    </row>
    <row r="88" hidden="1" spans="1:4">
      <c r="A88" s="8" t="s">
        <v>117</v>
      </c>
      <c r="B88" s="8">
        <v>9911430509</v>
      </c>
      <c r="C88" s="9" t="s">
        <v>118</v>
      </c>
      <c r="D88" s="10">
        <f>Orders!F88-Collection!H88</f>
        <v>0</v>
      </c>
    </row>
    <row r="89" hidden="1" spans="1:4">
      <c r="A89" s="8"/>
      <c r="B89" s="8"/>
      <c r="C89" s="9" t="s">
        <v>119</v>
      </c>
      <c r="D89" s="10">
        <f>Orders!F89-Collection!H89</f>
        <v>0</v>
      </c>
    </row>
    <row r="90" hidden="1" spans="1:4">
      <c r="A90" s="8"/>
      <c r="B90" s="8"/>
      <c r="C90" s="9" t="s">
        <v>120</v>
      </c>
      <c r="D90" s="10">
        <f>Orders!F90-Collection!H90</f>
        <v>0</v>
      </c>
    </row>
    <row r="91" hidden="1" spans="1:4">
      <c r="A91" s="8"/>
      <c r="B91" s="8"/>
      <c r="C91" s="9" t="s">
        <v>121</v>
      </c>
      <c r="D91" s="10">
        <f>Orders!F91-Collection!H91</f>
        <v>0</v>
      </c>
    </row>
    <row r="92" hidden="1" spans="1:4">
      <c r="A92" s="8"/>
      <c r="B92" s="8">
        <v>9015378357</v>
      </c>
      <c r="C92" s="9" t="s">
        <v>122</v>
      </c>
      <c r="D92" s="10">
        <f>Orders!F92-Collection!H92</f>
        <v>0</v>
      </c>
    </row>
    <row r="93" hidden="1" spans="1:4">
      <c r="A93" s="8"/>
      <c r="B93" s="8"/>
      <c r="C93" s="9" t="s">
        <v>123</v>
      </c>
      <c r="D93" s="10">
        <f>Orders!F93-Collection!H93</f>
        <v>0</v>
      </c>
    </row>
    <row r="94" spans="1:4">
      <c r="A94" s="8"/>
      <c r="B94" s="8">
        <v>7254967519</v>
      </c>
      <c r="C94" s="9" t="s">
        <v>125</v>
      </c>
      <c r="D94" s="10">
        <f>Orders!F94-Collection!H94</f>
        <v>1000</v>
      </c>
    </row>
    <row r="95" hidden="1" spans="1:4">
      <c r="A95" s="8"/>
      <c r="B95" s="8"/>
      <c r="C95" s="9" t="s">
        <v>126</v>
      </c>
      <c r="D95" s="10">
        <f>Orders!F95-Collection!H95</f>
        <v>0</v>
      </c>
    </row>
    <row r="96" hidden="1" spans="1:4">
      <c r="A96" s="8"/>
      <c r="B96" s="8"/>
      <c r="C96" s="9" t="s">
        <v>127</v>
      </c>
      <c r="D96" s="10">
        <f>Orders!F96-Collection!H96</f>
        <v>0</v>
      </c>
    </row>
  </sheetData>
  <autoFilter ref="A1:D96">
    <filterColumn colId="3">
      <filters>
        <filter val="500"/>
        <filter val="1000"/>
        <filter val="1100"/>
        <filter val="1200"/>
        <filter val="2000"/>
        <filter val="2500"/>
        <filter val="3000"/>
        <filter val="4000"/>
        <filter val="5000"/>
        <filter val="6000"/>
        <filter val="8000"/>
        <filter val="8500"/>
        <filter val="10000"/>
        <filter val="10500"/>
        <filter val="12000"/>
        <filter val="2168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2021-04-08T02:32:50Z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  <property fmtid="{D5CDD505-2E9C-101B-9397-08002B2CF9AE}" pid="3" name="KSOReadingLayout">
    <vt:bool>true</vt:bool>
  </property>
</Properties>
</file>