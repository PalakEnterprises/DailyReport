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AmtToCollect!$A$1:$D$175</definedName>
  </definedNames>
  <calcPr calcId="144525"/>
</workbook>
</file>

<file path=xl/comments1.xml><?xml version="1.0" encoding="utf-8"?>
<comments xmlns="http://schemas.openxmlformats.org/spreadsheetml/2006/main">
  <authors>
    <author>Smart1001Ajay</author>
  </authors>
  <commentList>
    <comment ref="K49" authorId="0">
      <text>
        <r>
          <rPr>
            <b/>
            <sz val="9"/>
            <rFont val="Times New Roman"/>
            <charset val="0"/>
          </rPr>
          <t>Smart1001Ajay: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K153" authorId="0">
      <text>
        <r>
          <rPr>
            <b/>
            <sz val="9"/>
            <rFont val="Times New Roman"/>
            <charset val="0"/>
          </rPr>
          <t>Smart1001Ajay:</t>
        </r>
        <r>
          <rPr>
            <sz val="9"/>
            <rFont val="Times New Roman"/>
            <charset val="0"/>
          </rPr>
          <t xml:space="preserve">
Order auto on 2 July Transferred on 3 July</t>
        </r>
      </text>
    </comment>
  </commentList>
</comments>
</file>

<file path=xl/sharedStrings.xml><?xml version="1.0" encoding="utf-8"?>
<sst xmlns="http://schemas.openxmlformats.org/spreadsheetml/2006/main" count="1111" uniqueCount="312">
  <si>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</si>
  <si>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</si>
  <si>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</si>
  <si>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</si>
  <si>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</si>
  <si>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</si>
  <si>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</si>
  <si>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</si>
  <si>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</si>
  <si>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</si>
  <si>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</si>
  <si>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</si>
  <si>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</si>
  <si>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</si>
  <si>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</si>
  <si>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</si>
  <si>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</si>
  <si>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</si>
  <si>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</si>
  <si>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</si>
  <si>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</si>
  <si>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</si>
  <si>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</si>
  <si>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</si>
  <si>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</si>
  <si>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</si>
  <si>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</si>
  <si>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</si>
  <si>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</si>
  <si>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</si>
  <si>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</si>
  <si>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</si>
  <si>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</si>
  <si>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</si>
  <si>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</si>
  <si>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</si>
  <si>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</si>
  <si>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</si>
  <si>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</si>
  <si>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</si>
  <si>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</si>
  <si>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</si>
  <si>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</si>
  <si>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</si>
  <si>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</si>
  <si>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</si>
  <si>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</si>
  <si>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</si>
  <si>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</si>
  <si>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</si>
  <si>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</si>
  <si>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</si>
  <si>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</si>
  <si>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</si>
  <si>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</si>
  <si>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</si>
  <si>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</si>
  <si>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</si>
  <si>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</si>
  <si>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</si>
  <si>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</si>
  <si>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</si>
  <si>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</si>
  <si>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</si>
  <si>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</si>
  <si>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</si>
  <si>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</si>
  <si>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</si>
  <si>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</si>
  <si>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</si>
  <si>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</si>
  <si>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</si>
  <si>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</si>
  <si>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</si>
  <si>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</si>
  <si>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</si>
  <si>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</si>
  <si>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</si>
  <si>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</si>
  <si>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</si>
  <si>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</si>
  <si>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</si>
  <si>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BAIDRABAD</t>
  </si>
  <si>
    <t>ANJALI MOBILE RAMPURCHAE(661735620)</t>
  </si>
  <si>
    <t>SONU PHONE GHAR(660815245)</t>
  </si>
  <si>
    <t>Ganga communication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</si>
  <si>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</si>
  <si>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</si>
  <si>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</si>
  <si>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</si>
  <si>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</si>
  <si>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</si>
  <si>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</si>
  <si>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</si>
  <si>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</si>
  <si>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</si>
  <si>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</si>
  <si>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</si>
  <si>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</si>
  <si>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</si>
  <si>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</si>
  <si>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</si>
  <si>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</si>
  <si>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</si>
  <si>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</si>
  <si>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</si>
  <si>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</si>
  <si>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</si>
  <si>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</si>
  <si>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</si>
  <si>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</si>
  <si>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</si>
  <si>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</si>
  <si>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</si>
  <si>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</si>
  <si>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</si>
  <si>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</si>
  <si>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</si>
  <si>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</si>
  <si>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</si>
  <si>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</si>
  <si>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</si>
  <si>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</si>
  <si>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</si>
  <si>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</si>
  <si>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</si>
  <si>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</si>
  <si>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</si>
  <si>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</si>
  <si>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Pawan Eletronics(660614513)</t>
  </si>
  <si>
    <t>ARWAL ZONE RETAILERS</t>
  </si>
  <si>
    <t>Pintu</t>
  </si>
  <si>
    <t>ARWAL</t>
  </si>
  <si>
    <t>AASHISH ELECTRONICS (661009193)</t>
  </si>
  <si>
    <t>amrit phone ghar (660850063)</t>
  </si>
  <si>
    <t>GUDDU MOBILE SHOP (661670780)</t>
  </si>
  <si>
    <t>Pankaj</t>
  </si>
  <si>
    <t>HOLLYWOOD PICTURES (660118624)</t>
  </si>
  <si>
    <t>Rajesh</t>
  </si>
  <si>
    <t>INDIA SHOE STORE (661475188)</t>
  </si>
  <si>
    <t>Khushi Computer Syber Zone (660629700)</t>
  </si>
  <si>
    <t>Guddu</t>
  </si>
  <si>
    <t>LALIN COMMUNICATION (660322622)</t>
  </si>
  <si>
    <t>LUCKY COMMUNICATION (660276904)</t>
  </si>
  <si>
    <t>LUCKY COMMUNICATION (660069736)</t>
  </si>
  <si>
    <t>MOBILE ZONE (660315631)</t>
  </si>
  <si>
    <t>Manuar</t>
  </si>
  <si>
    <t>Najani Mobile (660617690)</t>
  </si>
  <si>
    <t>Rinku</t>
  </si>
  <si>
    <t>NANCY MOBILE (660080230)</t>
  </si>
  <si>
    <t>Sanjay</t>
  </si>
  <si>
    <t>PATEL INTERNET &amp; VEDEOGRAPHY (661613683)</t>
  </si>
  <si>
    <t>PAYAL GENERAL STORE (660276815)</t>
  </si>
  <si>
    <t>Irfan</t>
  </si>
  <si>
    <t>PAYAL MOBILE SHOPPY (660276731)</t>
  </si>
  <si>
    <t>Naresh</t>
  </si>
  <si>
    <t>PRIYANSHU MOBILE (660064209)</t>
  </si>
  <si>
    <t>Ranjan</t>
  </si>
  <si>
    <t>R K COMMUNICATION (660077391)</t>
  </si>
  <si>
    <t>Bijender</t>
  </si>
  <si>
    <t>RAKESH STATIONARY (661066815)</t>
  </si>
  <si>
    <t>Ravi</t>
  </si>
  <si>
    <t>Ravi Form and Book Centre (660611319)</t>
  </si>
  <si>
    <t>Rohni General and Book Centre (660616179)</t>
  </si>
  <si>
    <t>Pravin</t>
  </si>
  <si>
    <t>S K MOBILE (660250324)</t>
  </si>
  <si>
    <t>Ramji</t>
  </si>
  <si>
    <t>Satyam Phone Ghar (660611308)</t>
  </si>
  <si>
    <t>SHRISHANKAR TEA STALL (662211368)</t>
  </si>
  <si>
    <t>Shyamjit</t>
  </si>
  <si>
    <t>SHYAMJIT BOOK CENTRE (661613685)</t>
  </si>
  <si>
    <t>Sibbu</t>
  </si>
  <si>
    <t>STAR WATCH (660064207)</t>
  </si>
  <si>
    <t>SUSHANT COMMUNICATION (660277003)</t>
  </si>
  <si>
    <t>VIMAL ENTERPRISES (662166876)</t>
  </si>
  <si>
    <t>YUVRAJ COMMUNICATION (662157376)</t>
  </si>
  <si>
    <t>CHAUDHARY ELECTRIC ELECTRONICS (660322605)</t>
  </si>
  <si>
    <t>0681332961</t>
  </si>
  <si>
    <t>DEEPAK MOBILE CENTER (660319369)</t>
  </si>
  <si>
    <t>KAMTA GENERAL STORE (660133900)</t>
  </si>
  <si>
    <t>Kritika Mobile Center (660616346)</t>
  </si>
  <si>
    <t>MAA VINDHYAVASINI MOBILE AND A (661954345)</t>
  </si>
  <si>
    <t>MUSKAN COMMUNICATION (660297525)</t>
  </si>
  <si>
    <t>SUNIL PUSTAK BHANDAR (660926133)</t>
  </si>
  <si>
    <t>ANKIT RAJ COMMUNICATION (660315827)</t>
  </si>
  <si>
    <t>DEEPAK GENERAL STORE (661640801)</t>
  </si>
  <si>
    <t>J R Mobile Centre (660614431)</t>
  </si>
  <si>
    <t>Maa Laxmi Communication (660611311)</t>
  </si>
  <si>
    <t>RADHIKA MOBILE (660315645)</t>
  </si>
  <si>
    <t>Riya Pushtak Bhandar and phone (660614425)</t>
  </si>
  <si>
    <t>SHIVAM TELECOM (660856969)</t>
  </si>
  <si>
    <t>BANGLAPAR</t>
  </si>
  <si>
    <t>ANMOL ELECTRONIC (661465146)</t>
  </si>
  <si>
    <t>ISHAAN COMMUNICATION (661474489)</t>
  </si>
  <si>
    <t>RK ONLINE CENTRE (662204663)</t>
  </si>
  <si>
    <t>BHADASI</t>
  </si>
  <si>
    <t>Mahimaditya Communication (660629699)</t>
  </si>
  <si>
    <t>0685688087</t>
  </si>
  <si>
    <t>SARIKA ATOZ GENRAL STORE (662163512)</t>
  </si>
  <si>
    <t>FAKHARPUR</t>
  </si>
  <si>
    <t>GUDDU ELECTRONICS (661818464)</t>
  </si>
  <si>
    <t>KORIAM</t>
  </si>
  <si>
    <t>HARSH COMMUNICATION (661673662)</t>
  </si>
  <si>
    <t>MOTHA</t>
  </si>
  <si>
    <t>AYUSH COMMUNICATION (660841281)</t>
  </si>
  <si>
    <t>DURGA COMMUNICATION (661474484)</t>
  </si>
  <si>
    <t>Prasadi English</t>
  </si>
  <si>
    <t>ANJANI COMMUNICATION (660064210)</t>
  </si>
  <si>
    <t>BABLU PAY PHONE (661298875)</t>
  </si>
  <si>
    <t>BHUSHAN KIRANA (661613678)</t>
  </si>
  <si>
    <t>CHANCHAL COMMUNICATION (661818458)</t>
  </si>
  <si>
    <t>Madhu Medical Store (660619254)</t>
  </si>
  <si>
    <t>0681329238</t>
  </si>
  <si>
    <t>PIYUSH PHONE GHAR (660315656)</t>
  </si>
  <si>
    <t>SUNIL ALL MOBILE REPAIRING (661670783)</t>
  </si>
  <si>
    <t>Purani Arwal</t>
  </si>
  <si>
    <t>Ashik Mobile Centre (660624181)</t>
  </si>
  <si>
    <t>SOHSA PIYUSH PHONEX (661498932)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</si>
  <si>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</si>
  <si>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</si>
  <si>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</si>
  <si>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</si>
  <si>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</si>
  <si>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</si>
  <si>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</si>
  <si>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Shakti/Ashok</t>
  </si>
  <si>
    <t>Shashi Satish</t>
  </si>
  <si>
    <t>NAVIN KUM</t>
  </si>
  <si>
    <t>SUCHENDRA</t>
  </si>
  <si>
    <t>Naveen</t>
  </si>
  <si>
    <t>Reyazul</t>
  </si>
  <si>
    <t>MD Gulam</t>
  </si>
  <si>
    <t>MD Gulam,Rina kri,SUAIB AK</t>
  </si>
  <si>
    <t>Sushil Kr.</t>
  </si>
  <si>
    <t>Vikas Amir Bigha</t>
  </si>
  <si>
    <t>Ranveer/Rina</t>
  </si>
  <si>
    <t>Sailesh</t>
  </si>
  <si>
    <t>SHAILESH</t>
  </si>
  <si>
    <t>Ajay 9939757903</t>
  </si>
  <si>
    <t>Sudhir Bandhan bank</t>
  </si>
  <si>
    <t>Aarti 9523733118</t>
  </si>
  <si>
    <t>Rajnish Kr 9708003669</t>
  </si>
  <si>
    <t>Shantnu Kr.</t>
  </si>
  <si>
    <t>Munna Kr.(PNB)/Manish</t>
  </si>
  <si>
    <t>YASHWANT</t>
  </si>
  <si>
    <t>Nitish Kr.</t>
  </si>
  <si>
    <t>Nitish Kr./SURESH SA/</t>
  </si>
  <si>
    <t>Basant Kr.</t>
  </si>
  <si>
    <t>Basant Kr./SHREE</t>
  </si>
  <si>
    <t>Binay Lal</t>
  </si>
  <si>
    <t>ABINESH</t>
  </si>
  <si>
    <t>Arman Ala</t>
  </si>
  <si>
    <t>VIKESH/ VK</t>
  </si>
  <si>
    <t>Sonu/Rupa 9708329918</t>
  </si>
  <si>
    <t>PK</t>
  </si>
  <si>
    <t>8709954402/6207783075</t>
  </si>
  <si>
    <t>SHIV PRAK</t>
  </si>
  <si>
    <t>RAJESH(Bandhan Bank)</t>
  </si>
  <si>
    <t>NAUSHAD</t>
  </si>
  <si>
    <t>HARENDRA</t>
  </si>
  <si>
    <t>CHANDAN</t>
  </si>
  <si>
    <t>Deepak 7004687745</t>
  </si>
  <si>
    <t>PINTU</t>
  </si>
  <si>
    <t>Ranjit Kr.</t>
  </si>
  <si>
    <t>Sanjeev Kr.</t>
  </si>
  <si>
    <t>Vikash Kr.</t>
  </si>
  <si>
    <t>Chandan</t>
  </si>
  <si>
    <t>Chandan/MANJEET K</t>
  </si>
  <si>
    <t>Akhilesh</t>
  </si>
  <si>
    <t>Krishna Kr</t>
  </si>
  <si>
    <t>Binod Kr. Vishwaka</t>
  </si>
  <si>
    <t>UMAKANT</t>
  </si>
  <si>
    <t>Navin Kr. Ojha</t>
  </si>
  <si>
    <t>Navin Kr. Ojha/SANTOSH SBI</t>
  </si>
  <si>
    <t>UMESH PRA</t>
  </si>
  <si>
    <t>PANKAJ</t>
  </si>
  <si>
    <t>Ranjit Kr. 9504958065</t>
  </si>
  <si>
    <t>BADRABAD</t>
  </si>
  <si>
    <t>Amresh Kr.</t>
  </si>
  <si>
    <t>Amresh Kr./HONSI/GAUTAM/Sanjeev Canara bank</t>
  </si>
  <si>
    <t>9931812966/9572985032</t>
  </si>
  <si>
    <t>Munna Kr.</t>
  </si>
  <si>
    <t>Munna Kr.(UCO)</t>
  </si>
  <si>
    <t>D.K.</t>
  </si>
  <si>
    <t>DK</t>
  </si>
  <si>
    <t>BALMIKI/ASHUTOSH</t>
  </si>
  <si>
    <t>Mr Shashi</t>
  </si>
  <si>
    <t>Ramesh</t>
  </si>
  <si>
    <t>Rajiv Kr/ Rajeev Kamal</t>
  </si>
  <si>
    <t>RAVINDRA /Rajiv Kr/ Rajeev Kamal</t>
  </si>
  <si>
    <t>Brajesh Kr.</t>
  </si>
  <si>
    <t>Chandan Kr</t>
  </si>
  <si>
    <t>Chandan Kr UCO/KARAN KU</t>
  </si>
  <si>
    <t>Sunil Kr./Gudiya</t>
  </si>
  <si>
    <t>Sunil Kr./Gudiya/Ajit Kr</t>
  </si>
  <si>
    <t>INDRJEET KUMAR</t>
  </si>
  <si>
    <t>8789783884/7061621223</t>
  </si>
  <si>
    <t>Khatri sudhir sahani</t>
  </si>
  <si>
    <t>Ajay Kr.</t>
  </si>
  <si>
    <t>Dev Kr.</t>
  </si>
  <si>
    <t>MD Aslam</t>
  </si>
  <si>
    <t>Vikas Kr</t>
  </si>
  <si>
    <t>Tawakala</t>
  </si>
  <si>
    <t>Brajesh Kr./Archana/RANJAN</t>
  </si>
  <si>
    <t>Munna</t>
  </si>
  <si>
    <t>Satish Kr</t>
  </si>
  <si>
    <t>Binod</t>
  </si>
  <si>
    <t>Teknath</t>
  </si>
  <si>
    <t>Monu</t>
  </si>
  <si>
    <t>Faiyaz Alam BOI</t>
  </si>
  <si>
    <t>Dues Amount</t>
  </si>
  <si>
    <t>Tabakala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</si>
</sst>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[$-409]d\-mmm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8" tint="0.4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C9B0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8" borderId="4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20" borderId="6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8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9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9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8" fontId="1" fillId="8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1" fillId="12" borderId="0" xfId="0" applyFont="1" applyFill="1" applyAlignment="1" applyProtection="1">
      <alignment horizontal="center" vertical="center"/>
    </xf>
    <xf numFmtId="0" fontId="1" fillId="3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13" borderId="0" xfId="0" applyNumberFormat="1" applyFont="1" applyFill="1" applyAlignment="1" applyProtection="1">
      <alignment horizontal="center" vertical="center"/>
    </xf>
    <xf numFmtId="0" fontId="0" fillId="11" borderId="0" xfId="0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12" borderId="0" xfId="0" applyNumberFormat="1" applyFont="1" applyFill="1" applyAlignment="1" applyProtection="1">
      <alignment horizontal="center" vertical="center"/>
    </xf>
    <xf numFmtId="0" fontId="0" fillId="14" borderId="0" xfId="0" applyFill="1" applyAlignment="1">
      <alignment horizontal="center" vertical="center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 quotePrefix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A3524"/>
      <color rgb="00FC9B02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75"/>
  <sheetViews>
    <sheetView workbookViewId="0">
      <pane xSplit="7" ySplit="2" topLeftCell="I3" activePane="bottomRight" state="frozen"/>
      <selection/>
      <selection pane="topRight"/>
      <selection pane="bottomLeft"/>
      <selection pane="bottomRight" activeCell="L15" sqref="L15"/>
    </sheetView>
  </sheetViews>
  <sheetFormatPr defaultColWidth="9.14285714285714" defaultRowHeight="15"/>
  <cols>
    <col min="1" max="1" width="5.71428571428571" style="20" customWidth="1"/>
    <col min="2" max="3" width="11.5714285714286" style="20" customWidth="1"/>
    <col min="4" max="4" width="15" style="20" customWidth="1"/>
    <col min="5" max="5" width="51.1428571428571" style="20" customWidth="1"/>
    <col min="6" max="6" width="21.8571428571429" style="20" customWidth="1"/>
    <col min="7" max="7" width="11" style="20" customWidth="1"/>
    <col min="8" max="8" width="20" style="33" customWidth="1"/>
    <col min="9" max="38" width="9.14285714285714" style="20"/>
    <col min="39" max="39" width="9.14285714285714" style="21"/>
    <col min="40" max="16384" width="9.14285714285714" style="20"/>
  </cols>
  <sheetData>
    <row r="1" s="19" customFormat="1" spans="1:4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41">
        <v>44378</v>
      </c>
      <c r="J1" s="41">
        <v>44379</v>
      </c>
      <c r="K1" s="41">
        <v>44380</v>
      </c>
      <c r="L1" s="41">
        <v>44381</v>
      </c>
      <c r="M1" s="41">
        <v>44382</v>
      </c>
      <c r="N1" s="41">
        <v>44383</v>
      </c>
      <c r="O1" s="41">
        <v>44384</v>
      </c>
      <c r="P1" s="41">
        <v>44385</v>
      </c>
      <c r="Q1" s="41">
        <v>44386</v>
      </c>
      <c r="R1" s="41">
        <v>44387</v>
      </c>
      <c r="S1" s="41">
        <v>44388</v>
      </c>
      <c r="T1" s="41">
        <v>44389</v>
      </c>
      <c r="U1" s="41">
        <v>44390</v>
      </c>
      <c r="V1" s="41">
        <v>44391</v>
      </c>
      <c r="W1" s="41">
        <v>44392</v>
      </c>
      <c r="X1" s="41">
        <v>44393</v>
      </c>
      <c r="Y1" s="41">
        <v>44394</v>
      </c>
      <c r="Z1" s="41">
        <v>44395</v>
      </c>
      <c r="AA1" s="41">
        <v>44396</v>
      </c>
      <c r="AB1" s="41">
        <v>44397</v>
      </c>
      <c r="AC1" s="41">
        <v>44398</v>
      </c>
      <c r="AD1" s="41">
        <v>44399</v>
      </c>
      <c r="AE1" s="41">
        <v>44400</v>
      </c>
      <c r="AF1" s="41">
        <v>44401</v>
      </c>
      <c r="AG1" s="41">
        <v>44402</v>
      </c>
      <c r="AH1" s="41">
        <v>44403</v>
      </c>
      <c r="AI1" s="41">
        <v>44404</v>
      </c>
      <c r="AJ1" s="41">
        <v>44405</v>
      </c>
      <c r="AK1" s="41">
        <v>44406</v>
      </c>
      <c r="AL1" s="41">
        <v>44407</v>
      </c>
      <c r="AM1" s="41">
        <v>44408</v>
      </c>
      <c r="AN1" s="43"/>
      <c r="AO1" s="43"/>
      <c r="AP1" s="43"/>
      <c r="AQ1" s="43"/>
      <c r="AR1" s="43"/>
      <c r="AS1" s="43"/>
    </row>
    <row r="2" s="19" customFormat="1" spans="1:39">
      <c r="A2" s="23"/>
      <c r="B2" s="35">
        <f>SUM(F3:F1032)</f>
        <v>401200</v>
      </c>
      <c r="D2" s="24">
        <f>SUM(G3:G1032)</f>
        <v>190320</v>
      </c>
      <c r="E2" s="25" t="s">
        <v>8</v>
      </c>
      <c r="F2" s="36">
        <f>G2/1.04+H2</f>
        <v>401200</v>
      </c>
      <c r="G2" s="24">
        <f>SUM(I2:AM2)</f>
        <v>190320</v>
      </c>
      <c r="H2" s="37">
        <f>SUM(H3:H1032)</f>
        <v>218200</v>
      </c>
      <c r="I2" s="29">
        <f>SUM(I3:I1032)</f>
        <v>38480</v>
      </c>
      <c r="J2" s="29">
        <f t="shared" ref="J2:AM2" si="0">SUM(J3:J1032)</f>
        <v>37440</v>
      </c>
      <c r="K2" s="29">
        <f t="shared" si="0"/>
        <v>55120</v>
      </c>
      <c r="L2" s="29">
        <f t="shared" si="0"/>
        <v>41600</v>
      </c>
      <c r="M2" s="29">
        <f t="shared" si="0"/>
        <v>17680</v>
      </c>
      <c r="N2" s="29">
        <f t="shared" si="0"/>
        <v>0</v>
      </c>
      <c r="O2" s="29">
        <f t="shared" si="0"/>
        <v>0</v>
      </c>
      <c r="P2" s="29">
        <f t="shared" si="0"/>
        <v>0</v>
      </c>
      <c r="Q2" s="29">
        <f t="shared" si="0"/>
        <v>0</v>
      </c>
      <c r="R2" s="29">
        <f t="shared" si="0"/>
        <v>0</v>
      </c>
      <c r="S2" s="29">
        <f t="shared" si="0"/>
        <v>0</v>
      </c>
      <c r="T2" s="29">
        <f t="shared" si="0"/>
        <v>0</v>
      </c>
      <c r="U2" s="29">
        <f t="shared" si="0"/>
        <v>0</v>
      </c>
      <c r="V2" s="29">
        <f t="shared" si="0"/>
        <v>0</v>
      </c>
      <c r="W2" s="29">
        <f t="shared" si="0"/>
        <v>0</v>
      </c>
      <c r="X2" s="29">
        <f t="shared" si="0"/>
        <v>0</v>
      </c>
      <c r="Y2" s="29">
        <f t="shared" si="0"/>
        <v>0</v>
      </c>
      <c r="Z2" s="29">
        <f t="shared" si="0"/>
        <v>0</v>
      </c>
      <c r="AA2" s="29">
        <f t="shared" si="0"/>
        <v>0</v>
      </c>
      <c r="AB2" s="29">
        <f t="shared" si="0"/>
        <v>0</v>
      </c>
      <c r="AC2" s="29">
        <f t="shared" si="0"/>
        <v>0</v>
      </c>
      <c r="AD2" s="29">
        <f t="shared" si="0"/>
        <v>0</v>
      </c>
      <c r="AE2" s="29">
        <f t="shared" si="0"/>
        <v>0</v>
      </c>
      <c r="AF2" s="29">
        <f t="shared" si="0"/>
        <v>0</v>
      </c>
      <c r="AG2" s="29">
        <f t="shared" si="0"/>
        <v>0</v>
      </c>
      <c r="AH2" s="29">
        <f t="shared" si="0"/>
        <v>0</v>
      </c>
      <c r="AI2" s="29">
        <f t="shared" si="0"/>
        <v>0</v>
      </c>
      <c r="AJ2" s="29">
        <f t="shared" si="0"/>
        <v>0</v>
      </c>
      <c r="AK2" s="29">
        <f t="shared" si="0"/>
        <v>0</v>
      </c>
      <c r="AL2" s="29">
        <f t="shared" si="0"/>
        <v>0</v>
      </c>
      <c r="AM2" s="29">
        <f t="shared" si="0"/>
        <v>0</v>
      </c>
    </row>
    <row r="3" spans="1:50">
      <c r="A3" s="20">
        <v>1</v>
      </c>
      <c r="D3" s="20" t="s">
        <v>9</v>
      </c>
      <c r="E3" s="27" t="s">
        <v>10</v>
      </c>
      <c r="F3" s="19">
        <f>G3/1.04+H3</f>
        <v>2000</v>
      </c>
      <c r="G3" s="19">
        <f>SUM(I3:AM3)</f>
        <v>2080</v>
      </c>
      <c r="H3" s="38">
        <v>0</v>
      </c>
      <c r="I3" s="21"/>
      <c r="J3" s="21">
        <v>2080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pans="1:50">
      <c r="A4" s="20">
        <v>2</v>
      </c>
      <c r="D4" s="20" t="s">
        <v>9</v>
      </c>
      <c r="E4" s="27" t="s">
        <v>11</v>
      </c>
      <c r="F4" s="19">
        <f t="shared" ref="F4:F35" si="1">G4/1.04+H4</f>
        <v>2000</v>
      </c>
      <c r="G4" s="19">
        <f t="shared" ref="G4:G35" si="2">SUM(I4:AM4)</f>
        <v>0</v>
      </c>
      <c r="H4" s="38">
        <v>2000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spans="1:50">
      <c r="A5" s="20">
        <v>3</v>
      </c>
      <c r="B5" s="20" t="s">
        <v>12</v>
      </c>
      <c r="D5" s="20" t="s">
        <v>9</v>
      </c>
      <c r="E5" s="27" t="s">
        <v>13</v>
      </c>
      <c r="F5" s="19">
        <f t="shared" si="1"/>
        <v>1500</v>
      </c>
      <c r="G5" s="19">
        <f t="shared" si="2"/>
        <v>0</v>
      </c>
      <c r="H5" s="38">
        <v>1500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spans="1:50">
      <c r="A6" s="20">
        <v>4</v>
      </c>
      <c r="B6" s="20" t="s">
        <v>14</v>
      </c>
      <c r="D6" s="20" t="s">
        <v>9</v>
      </c>
      <c r="E6" s="27" t="s">
        <v>15</v>
      </c>
      <c r="F6" s="19">
        <f t="shared" si="1"/>
        <v>4000</v>
      </c>
      <c r="G6" s="19">
        <f t="shared" si="2"/>
        <v>4160</v>
      </c>
      <c r="H6" s="38">
        <v>0</v>
      </c>
      <c r="I6" s="21">
        <v>2080</v>
      </c>
      <c r="J6" s="21">
        <v>2080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pans="1:50">
      <c r="A7" s="20">
        <v>5</v>
      </c>
      <c r="B7" s="20" t="s">
        <v>16</v>
      </c>
      <c r="D7" s="20" t="s">
        <v>9</v>
      </c>
      <c r="E7" s="27" t="s">
        <v>17</v>
      </c>
      <c r="F7" s="19">
        <f t="shared" si="1"/>
        <v>20000</v>
      </c>
      <c r="G7" s="19">
        <f t="shared" si="2"/>
        <v>6240</v>
      </c>
      <c r="H7" s="38">
        <v>14000</v>
      </c>
      <c r="I7" s="21">
        <v>2080</v>
      </c>
      <c r="J7" s="21"/>
      <c r="K7" s="21">
        <v>2080</v>
      </c>
      <c r="L7" s="21">
        <v>2080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pans="1:50">
      <c r="A8" s="20">
        <v>6</v>
      </c>
      <c r="B8" s="20" t="s">
        <v>18</v>
      </c>
      <c r="D8" s="20" t="s">
        <v>9</v>
      </c>
      <c r="E8" s="27" t="s">
        <v>19</v>
      </c>
      <c r="F8" s="19">
        <f t="shared" si="1"/>
        <v>2000</v>
      </c>
      <c r="G8" s="19">
        <f t="shared" si="2"/>
        <v>0</v>
      </c>
      <c r="H8" s="38">
        <v>2000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pans="1:50">
      <c r="A9" s="20">
        <v>7</v>
      </c>
      <c r="D9" s="20" t="s">
        <v>9</v>
      </c>
      <c r="E9" s="27" t="s">
        <v>20</v>
      </c>
      <c r="F9" s="19">
        <f t="shared" si="1"/>
        <v>0</v>
      </c>
      <c r="G9" s="19">
        <f t="shared" si="2"/>
        <v>0</v>
      </c>
      <c r="H9" s="38"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pans="1:50">
      <c r="A10" s="20">
        <v>8</v>
      </c>
      <c r="B10" s="20" t="s">
        <v>21</v>
      </c>
      <c r="D10" s="20" t="s">
        <v>9</v>
      </c>
      <c r="E10" s="27" t="s">
        <v>22</v>
      </c>
      <c r="F10" s="19">
        <f t="shared" si="1"/>
        <v>10000</v>
      </c>
      <c r="G10" s="19">
        <f t="shared" si="2"/>
        <v>5200</v>
      </c>
      <c r="H10" s="38">
        <v>5000</v>
      </c>
      <c r="I10" s="21">
        <v>5200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pans="1:50">
      <c r="A11" s="20">
        <v>9</v>
      </c>
      <c r="D11" s="20" t="s">
        <v>23</v>
      </c>
      <c r="E11" s="27" t="s">
        <v>24</v>
      </c>
      <c r="F11" s="19">
        <f t="shared" si="1"/>
        <v>4000</v>
      </c>
      <c r="G11" s="19">
        <f t="shared" si="2"/>
        <v>2080</v>
      </c>
      <c r="H11" s="38">
        <v>2000</v>
      </c>
      <c r="I11" s="21">
        <v>2080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pans="1:50">
      <c r="A12" s="20">
        <v>10</v>
      </c>
      <c r="D12" s="20" t="s">
        <v>23</v>
      </c>
      <c r="E12" s="27" t="s">
        <v>25</v>
      </c>
      <c r="F12" s="19">
        <f t="shared" si="1"/>
        <v>2800</v>
      </c>
      <c r="G12" s="19">
        <f t="shared" si="2"/>
        <v>0</v>
      </c>
      <c r="H12" s="38">
        <v>2800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pans="1:50">
      <c r="A13" s="20">
        <v>11</v>
      </c>
      <c r="D13" s="20" t="s">
        <v>23</v>
      </c>
      <c r="E13" s="27" t="s">
        <v>26</v>
      </c>
      <c r="F13" s="19">
        <f t="shared" si="1"/>
        <v>5000</v>
      </c>
      <c r="G13" s="19">
        <f t="shared" si="2"/>
        <v>5200</v>
      </c>
      <c r="H13" s="38">
        <v>0</v>
      </c>
      <c r="I13" s="21"/>
      <c r="J13" s="21"/>
      <c r="K13" s="21">
        <v>5200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pans="1:50">
      <c r="A14" s="20">
        <v>12</v>
      </c>
      <c r="D14" s="20" t="s">
        <v>23</v>
      </c>
      <c r="E14" s="27" t="s">
        <v>27</v>
      </c>
      <c r="F14" s="19">
        <f t="shared" si="1"/>
        <v>6000</v>
      </c>
      <c r="G14" s="19">
        <f t="shared" si="2"/>
        <v>4160</v>
      </c>
      <c r="H14" s="38">
        <v>2000</v>
      </c>
      <c r="I14" s="21">
        <v>2080</v>
      </c>
      <c r="J14" s="21"/>
      <c r="K14" s="21"/>
      <c r="L14" s="21">
        <v>2080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spans="1:50">
      <c r="A15" s="20">
        <v>13</v>
      </c>
      <c r="B15" s="20" t="s">
        <v>28</v>
      </c>
      <c r="D15" s="20" t="s">
        <v>23</v>
      </c>
      <c r="E15" s="27" t="s">
        <v>29</v>
      </c>
      <c r="F15" s="19">
        <f t="shared" si="1"/>
        <v>4000</v>
      </c>
      <c r="G15" s="19">
        <f t="shared" si="2"/>
        <v>2080</v>
      </c>
      <c r="H15" s="38">
        <v>2000</v>
      </c>
      <c r="I15" s="21"/>
      <c r="J15" s="21">
        <v>2080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pans="1:50">
      <c r="A16" s="20">
        <v>14</v>
      </c>
      <c r="D16" s="20" t="s">
        <v>23</v>
      </c>
      <c r="E16" s="27" t="s">
        <v>30</v>
      </c>
      <c r="F16" s="19">
        <f t="shared" si="1"/>
        <v>4000</v>
      </c>
      <c r="G16" s="19">
        <f t="shared" si="2"/>
        <v>1040</v>
      </c>
      <c r="H16" s="38">
        <v>3000</v>
      </c>
      <c r="I16" s="21"/>
      <c r="J16" s="21"/>
      <c r="K16" s="21"/>
      <c r="L16" s="42">
        <v>1040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spans="1:50">
      <c r="A17" s="20">
        <v>15</v>
      </c>
      <c r="B17" s="20" t="s">
        <v>31</v>
      </c>
      <c r="D17" s="20" t="s">
        <v>23</v>
      </c>
      <c r="E17" s="27" t="s">
        <v>32</v>
      </c>
      <c r="F17" s="19">
        <f t="shared" si="1"/>
        <v>3000</v>
      </c>
      <c r="G17" s="19">
        <f t="shared" si="2"/>
        <v>2080</v>
      </c>
      <c r="H17" s="38">
        <v>1000</v>
      </c>
      <c r="I17" s="21"/>
      <c r="J17" s="21"/>
      <c r="K17" s="21">
        <v>2080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spans="1:50">
      <c r="A18" s="20">
        <v>16</v>
      </c>
      <c r="B18" s="39" t="s">
        <v>33</v>
      </c>
      <c r="C18" s="20">
        <v>683909556</v>
      </c>
      <c r="D18" s="20" t="s">
        <v>23</v>
      </c>
      <c r="E18" s="40" t="s">
        <v>34</v>
      </c>
      <c r="F18" s="19">
        <f t="shared" si="1"/>
        <v>2000</v>
      </c>
      <c r="G18" s="19">
        <f t="shared" si="2"/>
        <v>0</v>
      </c>
      <c r="H18" s="38">
        <v>2000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spans="1:50">
      <c r="A19" s="20">
        <v>17</v>
      </c>
      <c r="D19" s="20" t="s">
        <v>23</v>
      </c>
      <c r="E19" s="27" t="s">
        <v>35</v>
      </c>
      <c r="F19" s="19">
        <f t="shared" si="1"/>
        <v>6000</v>
      </c>
      <c r="G19" s="19">
        <f t="shared" si="2"/>
        <v>3120</v>
      </c>
      <c r="H19" s="38">
        <v>3000</v>
      </c>
      <c r="I19" s="21"/>
      <c r="J19" s="21"/>
      <c r="K19" s="21"/>
      <c r="L19" s="21">
        <v>3120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</row>
    <row r="20" spans="1:50">
      <c r="A20" s="20">
        <v>18</v>
      </c>
      <c r="D20" s="20" t="s">
        <v>36</v>
      </c>
      <c r="E20" s="27" t="s">
        <v>37</v>
      </c>
      <c r="F20" s="19">
        <f t="shared" si="1"/>
        <v>5000</v>
      </c>
      <c r="G20" s="19">
        <f t="shared" si="2"/>
        <v>0</v>
      </c>
      <c r="H20" s="38">
        <v>5000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</row>
    <row r="21" spans="1:50">
      <c r="A21" s="20">
        <v>19</v>
      </c>
      <c r="D21" s="20" t="s">
        <v>36</v>
      </c>
      <c r="E21" s="27" t="s">
        <v>38</v>
      </c>
      <c r="F21" s="19">
        <f t="shared" si="1"/>
        <v>4000</v>
      </c>
      <c r="G21" s="19">
        <f t="shared" si="2"/>
        <v>2080</v>
      </c>
      <c r="H21" s="38">
        <v>2000</v>
      </c>
      <c r="I21" s="21"/>
      <c r="J21" s="21"/>
      <c r="K21" s="21"/>
      <c r="L21" s="21">
        <v>2080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</row>
    <row r="22" spans="1:50">
      <c r="A22" s="20">
        <v>20</v>
      </c>
      <c r="D22" s="20" t="s">
        <v>36</v>
      </c>
      <c r="E22" s="27" t="s">
        <v>39</v>
      </c>
      <c r="F22" s="19">
        <f t="shared" si="1"/>
        <v>1000</v>
      </c>
      <c r="G22" s="19">
        <f t="shared" si="2"/>
        <v>0</v>
      </c>
      <c r="H22" s="38">
        <v>1000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</row>
    <row r="23" spans="1:50">
      <c r="A23" s="20">
        <v>21</v>
      </c>
      <c r="D23" s="20" t="s">
        <v>36</v>
      </c>
      <c r="E23" s="27" t="s">
        <v>40</v>
      </c>
      <c r="F23" s="19">
        <f t="shared" si="1"/>
        <v>5000</v>
      </c>
      <c r="G23" s="19">
        <f t="shared" si="2"/>
        <v>5200</v>
      </c>
      <c r="H23" s="38">
        <v>0</v>
      </c>
      <c r="I23" s="21"/>
      <c r="J23" s="21"/>
      <c r="K23" s="21">
        <v>5200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spans="1:50">
      <c r="A24" s="20">
        <v>22</v>
      </c>
      <c r="D24" s="20" t="s">
        <v>36</v>
      </c>
      <c r="E24" s="27" t="s">
        <v>41</v>
      </c>
      <c r="F24" s="19">
        <f t="shared" si="1"/>
        <v>2000</v>
      </c>
      <c r="G24" s="19">
        <f t="shared" si="2"/>
        <v>0</v>
      </c>
      <c r="H24" s="38">
        <v>2000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</row>
    <row r="25" spans="1:50">
      <c r="A25" s="20">
        <v>23</v>
      </c>
      <c r="D25" s="20" t="s">
        <v>36</v>
      </c>
      <c r="E25" s="27" t="s">
        <v>42</v>
      </c>
      <c r="F25" s="19">
        <f t="shared" si="1"/>
        <v>2000</v>
      </c>
      <c r="G25" s="19">
        <f t="shared" si="2"/>
        <v>2080</v>
      </c>
      <c r="H25" s="38">
        <v>0</v>
      </c>
      <c r="I25" s="21"/>
      <c r="J25" s="21"/>
      <c r="K25" s="21">
        <v>2080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</row>
    <row r="26" spans="1:50">
      <c r="A26" s="20">
        <v>24</v>
      </c>
      <c r="D26" s="20" t="s">
        <v>36</v>
      </c>
      <c r="E26" s="27" t="s">
        <v>43</v>
      </c>
      <c r="F26" s="19">
        <f t="shared" si="1"/>
        <v>5000</v>
      </c>
      <c r="G26" s="19">
        <f t="shared" si="2"/>
        <v>5200</v>
      </c>
      <c r="H26" s="38">
        <v>0</v>
      </c>
      <c r="I26" s="21">
        <v>5200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</row>
    <row r="27" spans="1:50">
      <c r="A27" s="20">
        <v>25</v>
      </c>
      <c r="D27" s="20" t="s">
        <v>36</v>
      </c>
      <c r="E27" s="27" t="s">
        <v>44</v>
      </c>
      <c r="F27" s="19">
        <f t="shared" si="1"/>
        <v>5000</v>
      </c>
      <c r="G27" s="19">
        <f t="shared" si="2"/>
        <v>4160</v>
      </c>
      <c r="H27" s="38">
        <v>1000</v>
      </c>
      <c r="I27" s="21">
        <v>2080</v>
      </c>
      <c r="J27" s="21">
        <v>2080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</row>
    <row r="28" spans="1:50">
      <c r="A28" s="20">
        <v>26</v>
      </c>
      <c r="D28" s="20" t="s">
        <v>36</v>
      </c>
      <c r="E28" s="27" t="s">
        <v>45</v>
      </c>
      <c r="F28" s="19">
        <f t="shared" si="1"/>
        <v>2000</v>
      </c>
      <c r="G28" s="19">
        <f t="shared" si="2"/>
        <v>0</v>
      </c>
      <c r="H28" s="38">
        <v>2000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</row>
    <row r="29" spans="1:50">
      <c r="A29" s="20">
        <v>27</v>
      </c>
      <c r="D29" s="20" t="s">
        <v>36</v>
      </c>
      <c r="E29" s="27" t="s">
        <v>46</v>
      </c>
      <c r="F29" s="19">
        <f t="shared" si="1"/>
        <v>2000</v>
      </c>
      <c r="G29" s="19">
        <f t="shared" si="2"/>
        <v>2080</v>
      </c>
      <c r="H29" s="38">
        <v>0</v>
      </c>
      <c r="I29" s="21"/>
      <c r="J29" s="21">
        <v>2080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</row>
    <row r="30" spans="1:50">
      <c r="A30" s="20">
        <v>28</v>
      </c>
      <c r="D30" s="20" t="s">
        <v>36</v>
      </c>
      <c r="E30" s="27" t="s">
        <v>47</v>
      </c>
      <c r="F30" s="19">
        <f t="shared" si="1"/>
        <v>0</v>
      </c>
      <c r="G30" s="19">
        <f t="shared" si="2"/>
        <v>0</v>
      </c>
      <c r="H30" s="38">
        <v>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</row>
    <row r="31" spans="1:50">
      <c r="A31" s="20">
        <v>29</v>
      </c>
      <c r="D31" s="20" t="s">
        <v>36</v>
      </c>
      <c r="E31" s="27" t="s">
        <v>48</v>
      </c>
      <c r="F31" s="19">
        <f t="shared" si="1"/>
        <v>4000</v>
      </c>
      <c r="G31" s="19">
        <f t="shared" si="2"/>
        <v>4160</v>
      </c>
      <c r="H31" s="38">
        <v>0</v>
      </c>
      <c r="I31" s="21"/>
      <c r="J31" s="21">
        <v>2080</v>
      </c>
      <c r="K31" s="21"/>
      <c r="L31" s="21"/>
      <c r="M31" s="21">
        <v>2080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</row>
    <row r="32" spans="1:50">
      <c r="A32" s="20">
        <v>30</v>
      </c>
      <c r="D32" s="20" t="s">
        <v>36</v>
      </c>
      <c r="E32" s="27" t="s">
        <v>49</v>
      </c>
      <c r="F32" s="19">
        <f t="shared" si="1"/>
        <v>15000</v>
      </c>
      <c r="G32" s="19">
        <f t="shared" si="2"/>
        <v>5200</v>
      </c>
      <c r="H32" s="38">
        <v>10000</v>
      </c>
      <c r="I32" s="21"/>
      <c r="J32" s="21"/>
      <c r="K32" s="21"/>
      <c r="L32" s="21"/>
      <c r="M32" s="21">
        <v>5200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spans="1:50">
      <c r="A33" s="20">
        <v>31</v>
      </c>
      <c r="D33" s="20" t="s">
        <v>36</v>
      </c>
      <c r="E33" s="27" t="s">
        <v>50</v>
      </c>
      <c r="F33" s="19">
        <f t="shared" si="1"/>
        <v>0</v>
      </c>
      <c r="G33" s="19">
        <f t="shared" si="2"/>
        <v>0</v>
      </c>
      <c r="H33" s="38"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spans="1:50">
      <c r="A34" s="20">
        <v>32</v>
      </c>
      <c r="D34" s="20" t="s">
        <v>51</v>
      </c>
      <c r="E34" s="27" t="s">
        <v>52</v>
      </c>
      <c r="F34" s="19">
        <f t="shared" si="1"/>
        <v>2000</v>
      </c>
      <c r="G34" s="19">
        <f t="shared" si="2"/>
        <v>0</v>
      </c>
      <c r="H34" s="38">
        <v>2000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spans="1:50">
      <c r="A35" s="20">
        <v>33</v>
      </c>
      <c r="D35" s="20" t="s">
        <v>51</v>
      </c>
      <c r="E35" s="27" t="s">
        <v>53</v>
      </c>
      <c r="F35" s="19">
        <f t="shared" si="1"/>
        <v>2000</v>
      </c>
      <c r="G35" s="19">
        <f t="shared" si="2"/>
        <v>2080</v>
      </c>
      <c r="H35" s="38">
        <v>0</v>
      </c>
      <c r="I35" s="21"/>
      <c r="J35" s="21"/>
      <c r="K35" s="21">
        <v>2080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spans="1:50">
      <c r="A36" s="20">
        <v>34</v>
      </c>
      <c r="D36" s="20" t="s">
        <v>51</v>
      </c>
      <c r="E36" s="27" t="s">
        <v>54</v>
      </c>
      <c r="F36" s="19">
        <f t="shared" ref="F36:F67" si="3">G36/1.04+H36</f>
        <v>0</v>
      </c>
      <c r="G36" s="19">
        <f t="shared" ref="G36:G67" si="4">SUM(I36:AM36)</f>
        <v>0</v>
      </c>
      <c r="H36" s="38"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spans="1:50">
      <c r="A37" s="20">
        <v>35</v>
      </c>
      <c r="D37" s="20" t="s">
        <v>51</v>
      </c>
      <c r="E37" s="27" t="s">
        <v>55</v>
      </c>
      <c r="F37" s="19">
        <f t="shared" si="3"/>
        <v>5000</v>
      </c>
      <c r="G37" s="19">
        <f t="shared" si="4"/>
        <v>5200</v>
      </c>
      <c r="H37" s="38">
        <v>0</v>
      </c>
      <c r="I37" s="21"/>
      <c r="J37" s="21"/>
      <c r="K37" s="21"/>
      <c r="L37" s="21">
        <v>5200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spans="1:50">
      <c r="A38" s="20">
        <v>36</v>
      </c>
      <c r="D38" s="20" t="s">
        <v>51</v>
      </c>
      <c r="E38" s="27" t="s">
        <v>56</v>
      </c>
      <c r="F38" s="19">
        <f t="shared" si="3"/>
        <v>0</v>
      </c>
      <c r="G38" s="19">
        <f t="shared" si="4"/>
        <v>0</v>
      </c>
      <c r="H38" s="38">
        <v>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</row>
    <row r="39" spans="1:50">
      <c r="A39" s="20">
        <v>37</v>
      </c>
      <c r="D39" s="20" t="s">
        <v>51</v>
      </c>
      <c r="E39" s="27" t="s">
        <v>57</v>
      </c>
      <c r="F39" s="19">
        <f t="shared" si="3"/>
        <v>5000</v>
      </c>
      <c r="G39" s="19">
        <f t="shared" si="4"/>
        <v>0</v>
      </c>
      <c r="H39" s="38">
        <v>5000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</row>
    <row r="40" spans="1:50">
      <c r="A40" s="20">
        <v>38</v>
      </c>
      <c r="C40" s="20">
        <v>684087396</v>
      </c>
      <c r="D40" s="20" t="s">
        <v>51</v>
      </c>
      <c r="E40" s="27" t="s">
        <v>58</v>
      </c>
      <c r="F40" s="19">
        <f t="shared" si="3"/>
        <v>2000</v>
      </c>
      <c r="G40" s="19">
        <f t="shared" si="4"/>
        <v>2080</v>
      </c>
      <c r="H40" s="38">
        <v>0</v>
      </c>
      <c r="I40" s="21">
        <v>2080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</row>
    <row r="41" spans="1:50">
      <c r="A41" s="20">
        <v>39</v>
      </c>
      <c r="D41" s="20" t="s">
        <v>51</v>
      </c>
      <c r="E41" s="27" t="s">
        <v>59</v>
      </c>
      <c r="F41" s="19">
        <f t="shared" si="3"/>
        <v>2000</v>
      </c>
      <c r="G41" s="19">
        <f t="shared" si="4"/>
        <v>0</v>
      </c>
      <c r="H41" s="38">
        <v>2000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</row>
    <row r="42" spans="1:50">
      <c r="A42" s="20">
        <v>40</v>
      </c>
      <c r="D42" s="20" t="s">
        <v>51</v>
      </c>
      <c r="E42" s="27" t="s">
        <v>60</v>
      </c>
      <c r="F42" s="19">
        <f t="shared" si="3"/>
        <v>4000</v>
      </c>
      <c r="G42" s="19">
        <f t="shared" si="4"/>
        <v>4160</v>
      </c>
      <c r="H42" s="38">
        <v>0</v>
      </c>
      <c r="I42" s="21">
        <v>2080</v>
      </c>
      <c r="J42" s="21"/>
      <c r="K42" s="21"/>
      <c r="L42" s="21">
        <v>2080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</row>
    <row r="43" spans="1:50">
      <c r="A43" s="20">
        <v>41</v>
      </c>
      <c r="D43" s="20" t="s">
        <v>51</v>
      </c>
      <c r="E43" s="27" t="s">
        <v>61</v>
      </c>
      <c r="F43" s="19">
        <f t="shared" si="3"/>
        <v>6000</v>
      </c>
      <c r="G43" s="19">
        <f t="shared" si="4"/>
        <v>4160</v>
      </c>
      <c r="H43" s="38">
        <v>2000</v>
      </c>
      <c r="I43" s="21"/>
      <c r="J43" s="21">
        <v>2080</v>
      </c>
      <c r="K43" s="21"/>
      <c r="L43" s="21"/>
      <c r="M43" s="21">
        <v>2080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</row>
    <row r="44" spans="1:50">
      <c r="A44" s="20">
        <v>42</v>
      </c>
      <c r="D44" s="20" t="s">
        <v>51</v>
      </c>
      <c r="E44" s="27" t="s">
        <v>62</v>
      </c>
      <c r="F44" s="19">
        <f t="shared" si="3"/>
        <v>2000</v>
      </c>
      <c r="G44" s="19">
        <f t="shared" si="4"/>
        <v>2080</v>
      </c>
      <c r="H44" s="38">
        <v>0</v>
      </c>
      <c r="I44" s="21"/>
      <c r="J44" s="21"/>
      <c r="K44" s="21">
        <v>2080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</row>
    <row r="45" spans="1:50">
      <c r="A45" s="20">
        <v>43</v>
      </c>
      <c r="D45" s="20" t="s">
        <v>51</v>
      </c>
      <c r="E45" s="27" t="s">
        <v>63</v>
      </c>
      <c r="F45" s="19">
        <f t="shared" si="3"/>
        <v>5000</v>
      </c>
      <c r="G45" s="19">
        <f t="shared" si="4"/>
        <v>0</v>
      </c>
      <c r="H45" s="38">
        <v>5000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</row>
    <row r="46" spans="1:50">
      <c r="A46" s="20">
        <v>44</v>
      </c>
      <c r="D46" s="20" t="s">
        <v>64</v>
      </c>
      <c r="E46" s="27" t="s">
        <v>65</v>
      </c>
      <c r="F46" s="19">
        <f t="shared" si="3"/>
        <v>6000</v>
      </c>
      <c r="G46" s="19">
        <f t="shared" si="4"/>
        <v>2080</v>
      </c>
      <c r="H46" s="38">
        <v>4000</v>
      </c>
      <c r="I46" s="21">
        <v>2080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</row>
    <row r="47" spans="1:50">
      <c r="A47" s="20">
        <v>45</v>
      </c>
      <c r="D47" s="20" t="s">
        <v>64</v>
      </c>
      <c r="E47" s="27" t="s">
        <v>66</v>
      </c>
      <c r="F47" s="19">
        <f t="shared" si="3"/>
        <v>6000</v>
      </c>
      <c r="G47" s="19">
        <f t="shared" si="4"/>
        <v>6240</v>
      </c>
      <c r="H47" s="38">
        <v>0</v>
      </c>
      <c r="I47" s="21">
        <v>2080</v>
      </c>
      <c r="J47" s="21"/>
      <c r="K47" s="21">
        <v>2080</v>
      </c>
      <c r="L47" s="21"/>
      <c r="M47" s="21">
        <v>2080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</row>
    <row r="48" spans="1:50">
      <c r="A48" s="20">
        <v>46</v>
      </c>
      <c r="D48" s="20" t="s">
        <v>64</v>
      </c>
      <c r="E48" s="27" t="s">
        <v>67</v>
      </c>
      <c r="F48" s="19">
        <f t="shared" si="3"/>
        <v>0</v>
      </c>
      <c r="G48" s="19">
        <f t="shared" si="4"/>
        <v>0</v>
      </c>
      <c r="H48" s="38"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</row>
    <row r="49" spans="1:50">
      <c r="A49" s="20">
        <v>47</v>
      </c>
      <c r="D49" s="20" t="s">
        <v>64</v>
      </c>
      <c r="E49" s="27" t="s">
        <v>68</v>
      </c>
      <c r="F49" s="19">
        <f t="shared" si="3"/>
        <v>8000</v>
      </c>
      <c r="G49" s="19">
        <f t="shared" si="4"/>
        <v>6240</v>
      </c>
      <c r="H49" s="38">
        <v>2000</v>
      </c>
      <c r="I49" s="21"/>
      <c r="J49" s="21"/>
      <c r="K49" s="21">
        <v>4160</v>
      </c>
      <c r="L49" s="21"/>
      <c r="M49" s="21">
        <v>2080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</row>
    <row r="50" spans="1:50">
      <c r="A50" s="20">
        <v>48</v>
      </c>
      <c r="D50" s="20" t="s">
        <v>64</v>
      </c>
      <c r="E50" s="27" t="s">
        <v>69</v>
      </c>
      <c r="F50" s="19">
        <f t="shared" si="3"/>
        <v>2000</v>
      </c>
      <c r="G50" s="19">
        <f t="shared" si="4"/>
        <v>2080</v>
      </c>
      <c r="H50" s="38">
        <v>0</v>
      </c>
      <c r="I50" s="21"/>
      <c r="J50" s="21"/>
      <c r="K50" s="21">
        <v>2080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</row>
    <row r="51" spans="1:50">
      <c r="A51" s="20">
        <v>49</v>
      </c>
      <c r="D51" s="20" t="s">
        <v>64</v>
      </c>
      <c r="E51" s="27" t="s">
        <v>70</v>
      </c>
      <c r="F51" s="19">
        <f t="shared" si="3"/>
        <v>0</v>
      </c>
      <c r="G51" s="19">
        <f t="shared" si="4"/>
        <v>0</v>
      </c>
      <c r="H51" s="38">
        <v>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</row>
    <row r="52" spans="1:50">
      <c r="A52" s="20">
        <v>50</v>
      </c>
      <c r="D52" s="20" t="s">
        <v>64</v>
      </c>
      <c r="E52" s="27" t="s">
        <v>71</v>
      </c>
      <c r="F52" s="19">
        <f t="shared" si="3"/>
        <v>0</v>
      </c>
      <c r="G52" s="19">
        <f t="shared" si="4"/>
        <v>0</v>
      </c>
      <c r="H52" s="38">
        <v>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 spans="1:50">
      <c r="A53" s="20">
        <v>51</v>
      </c>
      <c r="D53" s="20" t="s">
        <v>64</v>
      </c>
      <c r="E53" s="27" t="s">
        <v>72</v>
      </c>
      <c r="F53" s="19">
        <f t="shared" si="3"/>
        <v>6000</v>
      </c>
      <c r="G53" s="19">
        <f t="shared" si="4"/>
        <v>0</v>
      </c>
      <c r="H53" s="38">
        <v>6000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spans="1:50">
      <c r="A54" s="20">
        <v>52</v>
      </c>
      <c r="D54" s="20" t="s">
        <v>64</v>
      </c>
      <c r="E54" s="27" t="s">
        <v>73</v>
      </c>
      <c r="F54" s="19">
        <f t="shared" si="3"/>
        <v>6000</v>
      </c>
      <c r="G54" s="19">
        <f t="shared" si="4"/>
        <v>2080</v>
      </c>
      <c r="H54" s="38">
        <v>4000</v>
      </c>
      <c r="I54" s="21"/>
      <c r="J54" s="21"/>
      <c r="K54" s="21">
        <v>2080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</row>
    <row r="55" spans="1:50">
      <c r="A55" s="20">
        <v>53</v>
      </c>
      <c r="B55" s="39"/>
      <c r="D55" s="20" t="s">
        <v>64</v>
      </c>
      <c r="E55" s="40" t="s">
        <v>74</v>
      </c>
      <c r="F55" s="19">
        <f t="shared" si="3"/>
        <v>0</v>
      </c>
      <c r="G55" s="19">
        <f t="shared" si="4"/>
        <v>0</v>
      </c>
      <c r="H55" s="38"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</row>
    <row r="56" spans="1:50">
      <c r="A56" s="20">
        <v>54</v>
      </c>
      <c r="B56" s="39"/>
      <c r="D56" s="20" t="s">
        <v>64</v>
      </c>
      <c r="E56" s="40" t="s">
        <v>75</v>
      </c>
      <c r="F56" s="19">
        <f t="shared" si="3"/>
        <v>1000</v>
      </c>
      <c r="G56" s="19">
        <f t="shared" si="4"/>
        <v>0</v>
      </c>
      <c r="H56" s="38">
        <v>1000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</row>
    <row r="57" spans="1:50">
      <c r="A57" s="20">
        <v>55</v>
      </c>
      <c r="B57" s="39"/>
      <c r="D57" s="20" t="s">
        <v>64</v>
      </c>
      <c r="E57" s="40" t="s">
        <v>76</v>
      </c>
      <c r="F57" s="19">
        <f t="shared" si="3"/>
        <v>0</v>
      </c>
      <c r="G57" s="19">
        <f t="shared" si="4"/>
        <v>0</v>
      </c>
      <c r="H57" s="38">
        <v>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</row>
    <row r="58" spans="1:50">
      <c r="A58" s="20">
        <v>56</v>
      </c>
      <c r="D58" s="20" t="s">
        <v>77</v>
      </c>
      <c r="E58" s="27" t="s">
        <v>78</v>
      </c>
      <c r="F58" s="19">
        <f t="shared" si="3"/>
        <v>2000</v>
      </c>
      <c r="G58" s="19">
        <f t="shared" si="4"/>
        <v>0</v>
      </c>
      <c r="H58" s="38">
        <v>2000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</row>
    <row r="59" spans="1:50">
      <c r="A59" s="20">
        <v>57</v>
      </c>
      <c r="D59" s="20" t="s">
        <v>77</v>
      </c>
      <c r="E59" s="27" t="s">
        <v>79</v>
      </c>
      <c r="F59" s="19">
        <f t="shared" si="3"/>
        <v>10000</v>
      </c>
      <c r="G59" s="19">
        <f t="shared" si="4"/>
        <v>5200</v>
      </c>
      <c r="H59" s="38">
        <v>5000</v>
      </c>
      <c r="I59" s="21">
        <v>5200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</row>
    <row r="60" spans="1:50">
      <c r="A60" s="20">
        <v>58</v>
      </c>
      <c r="D60" s="20" t="s">
        <v>77</v>
      </c>
      <c r="E60" s="27" t="s">
        <v>80</v>
      </c>
      <c r="F60" s="19">
        <f t="shared" si="3"/>
        <v>0</v>
      </c>
      <c r="G60" s="19">
        <f t="shared" si="4"/>
        <v>0</v>
      </c>
      <c r="H60" s="38"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</row>
    <row r="61" spans="1:50">
      <c r="A61" s="20">
        <v>59</v>
      </c>
      <c r="D61" s="20" t="s">
        <v>77</v>
      </c>
      <c r="E61" s="27" t="s">
        <v>81</v>
      </c>
      <c r="F61" s="19">
        <f t="shared" si="3"/>
        <v>0</v>
      </c>
      <c r="G61" s="19">
        <f t="shared" si="4"/>
        <v>0</v>
      </c>
      <c r="H61" s="38"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</row>
    <row r="62" spans="1:50">
      <c r="A62" s="20">
        <v>60</v>
      </c>
      <c r="B62" s="39"/>
      <c r="D62" s="20" t="s">
        <v>82</v>
      </c>
      <c r="E62" s="40" t="s">
        <v>83</v>
      </c>
      <c r="F62" s="19">
        <f t="shared" si="3"/>
        <v>5000</v>
      </c>
      <c r="G62" s="19">
        <f t="shared" si="4"/>
        <v>5200</v>
      </c>
      <c r="H62" s="38">
        <v>0</v>
      </c>
      <c r="I62" s="21"/>
      <c r="J62" s="21">
        <v>5200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</row>
    <row r="63" spans="1:50">
      <c r="A63" s="20">
        <v>61</v>
      </c>
      <c r="B63" s="39"/>
      <c r="D63" s="20" t="s">
        <v>82</v>
      </c>
      <c r="E63" s="40" t="s">
        <v>84</v>
      </c>
      <c r="F63" s="19">
        <f t="shared" si="3"/>
        <v>1100</v>
      </c>
      <c r="G63" s="19">
        <f t="shared" si="4"/>
        <v>0</v>
      </c>
      <c r="H63" s="38">
        <v>1100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</row>
    <row r="64" spans="1:50">
      <c r="A64" s="20">
        <v>62</v>
      </c>
      <c r="B64" s="20" t="s">
        <v>85</v>
      </c>
      <c r="C64" s="20" t="s">
        <v>86</v>
      </c>
      <c r="D64" s="20" t="s">
        <v>82</v>
      </c>
      <c r="E64" s="27" t="s">
        <v>87</v>
      </c>
      <c r="F64" s="19">
        <f t="shared" si="3"/>
        <v>5000</v>
      </c>
      <c r="G64" s="19">
        <f t="shared" si="4"/>
        <v>5200</v>
      </c>
      <c r="H64" s="38">
        <v>0</v>
      </c>
      <c r="I64" s="21"/>
      <c r="J64" s="21">
        <v>5200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</row>
    <row r="65" spans="1:50">
      <c r="A65" s="20">
        <v>63</v>
      </c>
      <c r="C65" s="20">
        <v>685671039</v>
      </c>
      <c r="D65" s="20" t="s">
        <v>88</v>
      </c>
      <c r="E65" s="20" t="s">
        <v>89</v>
      </c>
      <c r="F65" s="19">
        <f t="shared" si="3"/>
        <v>2000</v>
      </c>
      <c r="G65" s="19">
        <f t="shared" si="4"/>
        <v>0</v>
      </c>
      <c r="H65" s="33">
        <v>2000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</row>
    <row r="66" spans="1:50">
      <c r="A66" s="20">
        <v>64</v>
      </c>
      <c r="B66" s="39"/>
      <c r="D66" s="20" t="s">
        <v>88</v>
      </c>
      <c r="E66" s="40" t="s">
        <v>90</v>
      </c>
      <c r="F66" s="19">
        <f t="shared" si="3"/>
        <v>8000</v>
      </c>
      <c r="G66" s="19">
        <f t="shared" si="4"/>
        <v>2080</v>
      </c>
      <c r="H66" s="38">
        <v>6000</v>
      </c>
      <c r="I66" s="21">
        <v>2080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</row>
    <row r="67" spans="1:50">
      <c r="A67" s="20">
        <v>65</v>
      </c>
      <c r="B67" s="39"/>
      <c r="D67" s="20" t="s">
        <v>91</v>
      </c>
      <c r="E67" s="40" t="s">
        <v>92</v>
      </c>
      <c r="F67" s="19">
        <f t="shared" si="3"/>
        <v>1000</v>
      </c>
      <c r="G67" s="19">
        <f t="shared" si="4"/>
        <v>0</v>
      </c>
      <c r="H67" s="38">
        <v>1000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</row>
    <row r="68" spans="1:50">
      <c r="A68" s="20">
        <v>66</v>
      </c>
      <c r="D68" s="20" t="s">
        <v>93</v>
      </c>
      <c r="E68" s="27" t="s">
        <v>94</v>
      </c>
      <c r="F68" s="19">
        <f t="shared" ref="F68:F99" si="5">G68/1.04+H68</f>
        <v>8000</v>
      </c>
      <c r="G68" s="19">
        <f t="shared" ref="G68:G99" si="6">SUM(I68:AM68)</f>
        <v>2080</v>
      </c>
      <c r="H68" s="38">
        <v>6000</v>
      </c>
      <c r="I68" s="21"/>
      <c r="J68" s="21"/>
      <c r="K68" s="21"/>
      <c r="L68" s="21">
        <v>2080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</row>
    <row r="69" spans="1:50">
      <c r="A69" s="20">
        <v>67</v>
      </c>
      <c r="D69" s="20" t="s">
        <v>93</v>
      </c>
      <c r="E69" s="27" t="s">
        <v>95</v>
      </c>
      <c r="F69" s="19">
        <f t="shared" si="5"/>
        <v>2000</v>
      </c>
      <c r="G69" s="19">
        <f t="shared" si="6"/>
        <v>0</v>
      </c>
      <c r="H69" s="38">
        <v>2000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</row>
    <row r="70" spans="1:50">
      <c r="A70" s="20">
        <v>68</v>
      </c>
      <c r="D70" s="20" t="s">
        <v>93</v>
      </c>
      <c r="E70" s="27" t="s">
        <v>96</v>
      </c>
      <c r="F70" s="19">
        <f t="shared" si="5"/>
        <v>0</v>
      </c>
      <c r="G70" s="19">
        <f t="shared" si="6"/>
        <v>0</v>
      </c>
      <c r="H70" s="38"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</row>
    <row r="71" spans="1:50">
      <c r="A71" s="20">
        <v>69</v>
      </c>
      <c r="D71" s="20" t="s">
        <v>93</v>
      </c>
      <c r="E71" s="27" t="s">
        <v>97</v>
      </c>
      <c r="F71" s="19">
        <f t="shared" si="5"/>
        <v>2000</v>
      </c>
      <c r="G71" s="19">
        <f t="shared" si="6"/>
        <v>0</v>
      </c>
      <c r="H71" s="38">
        <v>2000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</row>
    <row r="72" spans="1:50">
      <c r="A72" s="20">
        <v>70</v>
      </c>
      <c r="D72" s="20" t="s">
        <v>93</v>
      </c>
      <c r="E72" s="27" t="s">
        <v>98</v>
      </c>
      <c r="F72" s="19">
        <f t="shared" si="5"/>
        <v>10000</v>
      </c>
      <c r="G72" s="19">
        <f t="shared" si="6"/>
        <v>10400</v>
      </c>
      <c r="H72" s="38">
        <v>0</v>
      </c>
      <c r="I72" s="21"/>
      <c r="J72" s="21">
        <v>5200</v>
      </c>
      <c r="K72" s="21"/>
      <c r="L72" s="21">
        <v>5200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</row>
    <row r="73" spans="1:50">
      <c r="A73" s="20">
        <v>71</v>
      </c>
      <c r="D73" s="20" t="s">
        <v>93</v>
      </c>
      <c r="E73" s="27" t="s">
        <v>99</v>
      </c>
      <c r="F73" s="19">
        <f t="shared" si="5"/>
        <v>4000</v>
      </c>
      <c r="G73" s="19">
        <f t="shared" si="6"/>
        <v>4160</v>
      </c>
      <c r="H73" s="38">
        <v>0</v>
      </c>
      <c r="I73" s="21">
        <v>2080</v>
      </c>
      <c r="J73" s="21"/>
      <c r="K73" s="21">
        <v>2080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spans="1:50">
      <c r="A74" s="20">
        <v>72</v>
      </c>
      <c r="B74" s="39"/>
      <c r="D74" s="20" t="s">
        <v>93</v>
      </c>
      <c r="E74" s="40" t="s">
        <v>100</v>
      </c>
      <c r="F74" s="19">
        <f t="shared" si="5"/>
        <v>0</v>
      </c>
      <c r="G74" s="19">
        <f t="shared" si="6"/>
        <v>0</v>
      </c>
      <c r="H74" s="38"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spans="1:50">
      <c r="A75" s="20">
        <v>73</v>
      </c>
      <c r="C75" s="20">
        <v>683909558</v>
      </c>
      <c r="D75" s="20" t="s">
        <v>93</v>
      </c>
      <c r="E75" s="27" t="s">
        <v>101</v>
      </c>
      <c r="F75" s="19">
        <f t="shared" si="5"/>
        <v>0</v>
      </c>
      <c r="G75" s="19">
        <f t="shared" si="6"/>
        <v>0</v>
      </c>
      <c r="H75" s="38"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</row>
    <row r="76" spans="1:50">
      <c r="A76" s="20">
        <v>74</v>
      </c>
      <c r="B76" s="39"/>
      <c r="D76" s="20" t="s">
        <v>93</v>
      </c>
      <c r="E76" s="40" t="s">
        <v>102</v>
      </c>
      <c r="F76" s="19">
        <f t="shared" si="5"/>
        <v>2000</v>
      </c>
      <c r="G76" s="19">
        <f t="shared" si="6"/>
        <v>0</v>
      </c>
      <c r="H76" s="38">
        <v>2000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</row>
    <row r="77" spans="1:50">
      <c r="A77" s="20">
        <v>75</v>
      </c>
      <c r="D77" s="20" t="s">
        <v>103</v>
      </c>
      <c r="E77" s="27" t="s">
        <v>104</v>
      </c>
      <c r="F77" s="19">
        <f t="shared" si="5"/>
        <v>3800</v>
      </c>
      <c r="G77" s="19">
        <f t="shared" si="6"/>
        <v>0</v>
      </c>
      <c r="H77" s="38">
        <v>3800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</row>
    <row r="78" spans="1:50">
      <c r="A78" s="20">
        <v>76</v>
      </c>
      <c r="D78" s="20" t="s">
        <v>103</v>
      </c>
      <c r="E78" s="27" t="s">
        <v>105</v>
      </c>
      <c r="F78" s="19">
        <f t="shared" si="5"/>
        <v>5000</v>
      </c>
      <c r="G78" s="19">
        <f t="shared" si="6"/>
        <v>0</v>
      </c>
      <c r="H78" s="38">
        <v>5000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</row>
    <row r="79" spans="1:50">
      <c r="A79" s="20">
        <v>77</v>
      </c>
      <c r="D79" s="20" t="s">
        <v>103</v>
      </c>
      <c r="E79" s="27" t="s">
        <v>106</v>
      </c>
      <c r="F79" s="19">
        <f t="shared" si="5"/>
        <v>0</v>
      </c>
      <c r="G79" s="19">
        <f t="shared" si="6"/>
        <v>0</v>
      </c>
      <c r="H79" s="38"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</row>
    <row r="80" spans="1:50">
      <c r="A80" s="20">
        <v>78</v>
      </c>
      <c r="B80" s="39"/>
      <c r="E80" s="40" t="s">
        <v>107</v>
      </c>
      <c r="F80" s="19">
        <f t="shared" si="5"/>
        <v>67000</v>
      </c>
      <c r="G80" s="19">
        <f t="shared" si="6"/>
        <v>0</v>
      </c>
      <c r="H80" s="38">
        <v>67000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</row>
    <row r="81" spans="1:50">
      <c r="A81" s="20">
        <v>79</v>
      </c>
      <c r="B81" s="39"/>
      <c r="D81" s="20" t="s">
        <v>108</v>
      </c>
      <c r="E81" s="40" t="s">
        <v>109</v>
      </c>
      <c r="F81" s="19">
        <f t="shared" si="5"/>
        <v>2000</v>
      </c>
      <c r="G81" s="19">
        <f t="shared" si="6"/>
        <v>0</v>
      </c>
      <c r="H81" s="38">
        <v>2000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</row>
    <row r="82" spans="1:50">
      <c r="A82" s="20">
        <v>80</v>
      </c>
      <c r="B82" s="39"/>
      <c r="E82" s="40" t="s">
        <v>110</v>
      </c>
      <c r="F82" s="19">
        <f t="shared" si="5"/>
        <v>0</v>
      </c>
      <c r="G82" s="19">
        <f t="shared" si="6"/>
        <v>0</v>
      </c>
      <c r="H82" s="38">
        <v>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spans="1:50">
      <c r="A83" s="20">
        <v>81</v>
      </c>
      <c r="B83" s="39"/>
      <c r="D83" s="20" t="s">
        <v>111</v>
      </c>
      <c r="E83" s="40" t="s">
        <v>112</v>
      </c>
      <c r="F83" s="19">
        <f t="shared" si="5"/>
        <v>2000</v>
      </c>
      <c r="G83" s="19">
        <f t="shared" si="6"/>
        <v>2080</v>
      </c>
      <c r="H83" s="38">
        <v>0</v>
      </c>
      <c r="I83" s="21"/>
      <c r="J83" s="21">
        <v>2080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spans="1:50">
      <c r="A84" s="20">
        <v>82</v>
      </c>
      <c r="B84" s="39"/>
      <c r="E84" s="40" t="s">
        <v>113</v>
      </c>
      <c r="F84" s="19">
        <f t="shared" si="5"/>
        <v>0</v>
      </c>
      <c r="G84" s="19">
        <f t="shared" si="6"/>
        <v>0</v>
      </c>
      <c r="H84" s="38"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spans="1:50">
      <c r="A85" s="20">
        <v>83</v>
      </c>
      <c r="B85" s="39"/>
      <c r="D85" s="20" t="s">
        <v>114</v>
      </c>
      <c r="E85" s="40" t="s">
        <v>115</v>
      </c>
      <c r="F85" s="19">
        <f t="shared" si="5"/>
        <v>10000</v>
      </c>
      <c r="G85" s="19">
        <f t="shared" si="6"/>
        <v>5200</v>
      </c>
      <c r="H85" s="38">
        <v>5000</v>
      </c>
      <c r="I85" s="21"/>
      <c r="J85" s="21">
        <v>5200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spans="1:50">
      <c r="A86" s="20">
        <v>84</v>
      </c>
      <c r="D86" s="20" t="s">
        <v>114</v>
      </c>
      <c r="E86" s="27" t="s">
        <v>116</v>
      </c>
      <c r="F86" s="19">
        <f t="shared" si="5"/>
        <v>5000</v>
      </c>
      <c r="G86" s="19">
        <f t="shared" si="6"/>
        <v>0</v>
      </c>
      <c r="H86" s="38">
        <v>5000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</row>
    <row r="87" spans="1:50">
      <c r="A87" s="20">
        <v>85</v>
      </c>
      <c r="B87" s="39"/>
      <c r="C87" s="20">
        <v>683879115</v>
      </c>
      <c r="D87" s="20" t="s">
        <v>114</v>
      </c>
      <c r="E87" s="40" t="s">
        <v>117</v>
      </c>
      <c r="F87" s="19">
        <f t="shared" si="5"/>
        <v>0</v>
      </c>
      <c r="G87" s="19">
        <f t="shared" si="6"/>
        <v>0</v>
      </c>
      <c r="H87" s="38">
        <v>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</row>
    <row r="88" spans="1:50">
      <c r="A88" s="20">
        <v>86</v>
      </c>
      <c r="B88" s="39"/>
      <c r="D88" s="20" t="s">
        <v>118</v>
      </c>
      <c r="E88" s="40" t="s">
        <v>119</v>
      </c>
      <c r="F88" s="19">
        <f t="shared" si="5"/>
        <v>0</v>
      </c>
      <c r="G88" s="19">
        <f t="shared" si="6"/>
        <v>0</v>
      </c>
      <c r="H88" s="38">
        <v>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</row>
    <row r="89" spans="1:50">
      <c r="A89" s="20">
        <v>87</v>
      </c>
      <c r="B89" s="39"/>
      <c r="E89" s="40" t="s">
        <v>120</v>
      </c>
      <c r="F89" s="19">
        <f t="shared" si="5"/>
        <v>0</v>
      </c>
      <c r="G89" s="19">
        <f t="shared" si="6"/>
        <v>0</v>
      </c>
      <c r="H89" s="38">
        <v>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</row>
    <row r="90" spans="1:50">
      <c r="A90" s="20">
        <v>88</v>
      </c>
      <c r="B90" s="39"/>
      <c r="E90" s="40" t="s">
        <v>121</v>
      </c>
      <c r="F90" s="19">
        <f t="shared" si="5"/>
        <v>2000</v>
      </c>
      <c r="G90" s="19">
        <f t="shared" si="6"/>
        <v>2080</v>
      </c>
      <c r="H90" s="38">
        <v>0</v>
      </c>
      <c r="I90" s="21"/>
      <c r="J90" s="21"/>
      <c r="K90" s="21"/>
      <c r="L90" s="21"/>
      <c r="M90" s="21">
        <v>2080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spans="1:50">
      <c r="A91" s="20">
        <v>89</v>
      </c>
      <c r="B91" s="39"/>
      <c r="E91" s="40" t="s">
        <v>122</v>
      </c>
      <c r="F91" s="19">
        <f t="shared" si="5"/>
        <v>0</v>
      </c>
      <c r="G91" s="19">
        <f t="shared" si="6"/>
        <v>0</v>
      </c>
      <c r="H91" s="38"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</row>
    <row r="92" spans="1:50">
      <c r="A92" s="20">
        <v>90</v>
      </c>
      <c r="E92" s="27" t="s">
        <v>123</v>
      </c>
      <c r="F92" s="19">
        <f t="shared" si="5"/>
        <v>2000</v>
      </c>
      <c r="G92" s="19">
        <f t="shared" si="6"/>
        <v>0</v>
      </c>
      <c r="H92" s="38">
        <v>2000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</row>
    <row r="93" spans="1:50">
      <c r="A93" s="20">
        <v>91</v>
      </c>
      <c r="E93" s="27" t="s">
        <v>124</v>
      </c>
      <c r="F93" s="19">
        <f t="shared" si="5"/>
        <v>0</v>
      </c>
      <c r="G93" s="19">
        <f t="shared" si="6"/>
        <v>0</v>
      </c>
      <c r="H93" s="38"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</row>
    <row r="94" spans="1:50">
      <c r="A94" s="20">
        <v>92</v>
      </c>
      <c r="D94" s="20" t="s">
        <v>125</v>
      </c>
      <c r="E94" s="27" t="s">
        <v>126</v>
      </c>
      <c r="F94" s="19">
        <f t="shared" si="5"/>
        <v>1000</v>
      </c>
      <c r="G94" s="19">
        <f t="shared" si="6"/>
        <v>0</v>
      </c>
      <c r="H94" s="38">
        <v>1000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</row>
    <row r="95" spans="1:50">
      <c r="A95" s="20">
        <v>93</v>
      </c>
      <c r="E95" s="27" t="s">
        <v>127</v>
      </c>
      <c r="F95" s="19">
        <f t="shared" si="5"/>
        <v>0</v>
      </c>
      <c r="G95" s="19">
        <f t="shared" ref="G95:G126" si="7">SUM(I95:AM95)</f>
        <v>0</v>
      </c>
      <c r="H95" s="38">
        <v>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</row>
    <row r="96" spans="1:50">
      <c r="A96" s="20">
        <v>94</v>
      </c>
      <c r="E96" s="27" t="s">
        <v>128</v>
      </c>
      <c r="F96" s="19">
        <f t="shared" ref="F96:F127" si="8">G96/1.04+H96</f>
        <v>0</v>
      </c>
      <c r="G96" s="19">
        <f t="shared" si="7"/>
        <v>0</v>
      </c>
      <c r="H96" s="38">
        <v>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</row>
    <row r="97" spans="1:50">
      <c r="A97" s="20">
        <v>95</v>
      </c>
      <c r="E97" s="20" t="s">
        <v>129</v>
      </c>
      <c r="F97" s="19">
        <f t="shared" si="8"/>
        <v>0</v>
      </c>
      <c r="G97" s="19">
        <f t="shared" si="7"/>
        <v>0</v>
      </c>
      <c r="H97" s="38">
        <v>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</row>
    <row r="98" spans="1:50">
      <c r="A98" s="31" t="s">
        <v>130</v>
      </c>
      <c r="B98" s="31"/>
      <c r="C98" s="31"/>
      <c r="F98" s="19">
        <f t="shared" si="8"/>
        <v>0</v>
      </c>
      <c r="G98" s="19">
        <f t="shared" si="7"/>
        <v>0</v>
      </c>
      <c r="H98" s="38">
        <v>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pans="1:50">
      <c r="A99" s="20">
        <v>96</v>
      </c>
      <c r="B99" s="20" t="s">
        <v>131</v>
      </c>
      <c r="D99" s="20" t="s">
        <v>132</v>
      </c>
      <c r="E99" s="20" t="s">
        <v>133</v>
      </c>
      <c r="F99" s="19">
        <f t="shared" si="8"/>
        <v>0</v>
      </c>
      <c r="G99" s="19">
        <f t="shared" si="7"/>
        <v>0</v>
      </c>
      <c r="H99" s="38">
        <v>0</v>
      </c>
      <c r="I99" s="21"/>
      <c r="J99" s="21"/>
      <c r="K99" s="44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spans="1:50">
      <c r="A100" s="20">
        <v>97</v>
      </c>
      <c r="D100" s="20" t="s">
        <v>132</v>
      </c>
      <c r="E100" s="20" t="s">
        <v>134</v>
      </c>
      <c r="F100" s="19">
        <f t="shared" si="8"/>
        <v>0</v>
      </c>
      <c r="G100" s="19">
        <f t="shared" si="7"/>
        <v>0</v>
      </c>
      <c r="H100" s="38">
        <v>0</v>
      </c>
      <c r="I100" s="21"/>
      <c r="J100" s="21"/>
      <c r="K100" s="44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spans="1:50">
      <c r="A101" s="20">
        <v>98</v>
      </c>
      <c r="D101" s="20" t="s">
        <v>132</v>
      </c>
      <c r="F101" s="19">
        <f t="shared" si="8"/>
        <v>0</v>
      </c>
      <c r="G101" s="19">
        <f t="shared" si="7"/>
        <v>0</v>
      </c>
      <c r="H101" s="38">
        <v>0</v>
      </c>
      <c r="I101" s="21"/>
      <c r="J101" s="21"/>
      <c r="K101" s="44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</row>
    <row r="102" spans="1:50">
      <c r="A102" s="20">
        <v>99</v>
      </c>
      <c r="D102" s="20" t="s">
        <v>132</v>
      </c>
      <c r="E102" s="20" t="s">
        <v>135</v>
      </c>
      <c r="F102" s="19">
        <f t="shared" si="8"/>
        <v>0</v>
      </c>
      <c r="G102" s="19">
        <f t="shared" si="7"/>
        <v>0</v>
      </c>
      <c r="H102" s="38">
        <v>0</v>
      </c>
      <c r="I102" s="21"/>
      <c r="J102" s="21"/>
      <c r="K102" s="44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</row>
    <row r="103" spans="1:50">
      <c r="A103" s="20">
        <v>100</v>
      </c>
      <c r="B103" s="20" t="s">
        <v>136</v>
      </c>
      <c r="D103" s="20" t="s">
        <v>132</v>
      </c>
      <c r="E103" s="20" t="s">
        <v>137</v>
      </c>
      <c r="F103" s="19">
        <f t="shared" si="8"/>
        <v>0</v>
      </c>
      <c r="G103" s="19">
        <f t="shared" si="7"/>
        <v>0</v>
      </c>
      <c r="H103" s="38">
        <v>0</v>
      </c>
      <c r="I103" s="21"/>
      <c r="J103" s="21"/>
      <c r="K103" s="44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</row>
    <row r="104" spans="1:50">
      <c r="A104" s="20">
        <v>101</v>
      </c>
      <c r="B104" s="20" t="s">
        <v>138</v>
      </c>
      <c r="D104" s="20" t="s">
        <v>132</v>
      </c>
      <c r="E104" s="20" t="s">
        <v>139</v>
      </c>
      <c r="F104" s="19">
        <f t="shared" si="8"/>
        <v>0</v>
      </c>
      <c r="G104" s="19">
        <f t="shared" si="7"/>
        <v>0</v>
      </c>
      <c r="H104" s="38">
        <v>0</v>
      </c>
      <c r="I104" s="21"/>
      <c r="J104" s="21"/>
      <c r="K104" s="44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</row>
    <row r="105" spans="1:50">
      <c r="A105" s="20">
        <v>102</v>
      </c>
      <c r="D105" s="20" t="s">
        <v>132</v>
      </c>
      <c r="F105" s="19">
        <f t="shared" si="8"/>
        <v>0</v>
      </c>
      <c r="G105" s="19">
        <f t="shared" si="7"/>
        <v>0</v>
      </c>
      <c r="H105" s="38">
        <v>0</v>
      </c>
      <c r="I105" s="21"/>
      <c r="J105" s="21"/>
      <c r="K105" s="44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</row>
    <row r="106" spans="1:50">
      <c r="A106" s="20">
        <v>103</v>
      </c>
      <c r="D106" s="20" t="s">
        <v>132</v>
      </c>
      <c r="E106" s="20" t="s">
        <v>140</v>
      </c>
      <c r="F106" s="19">
        <f t="shared" si="8"/>
        <v>0</v>
      </c>
      <c r="G106" s="19">
        <f t="shared" si="7"/>
        <v>0</v>
      </c>
      <c r="H106" s="38">
        <v>0</v>
      </c>
      <c r="I106" s="21"/>
      <c r="J106" s="21"/>
      <c r="K106" s="44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</row>
    <row r="107" spans="1:50">
      <c r="A107" s="20">
        <v>104</v>
      </c>
      <c r="B107" s="20" t="s">
        <v>141</v>
      </c>
      <c r="D107" s="20" t="s">
        <v>132</v>
      </c>
      <c r="E107" s="20" t="s">
        <v>142</v>
      </c>
      <c r="F107" s="19">
        <f t="shared" si="8"/>
        <v>2000</v>
      </c>
      <c r="G107" s="19">
        <f t="shared" si="7"/>
        <v>2080</v>
      </c>
      <c r="H107" s="38">
        <v>0</v>
      </c>
      <c r="I107" s="21"/>
      <c r="J107" s="21"/>
      <c r="K107" s="45">
        <v>1040</v>
      </c>
      <c r="L107" s="42">
        <v>1040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spans="1:50">
      <c r="A108" s="20">
        <v>105</v>
      </c>
      <c r="D108" s="20" t="s">
        <v>132</v>
      </c>
      <c r="E108" s="20" t="s">
        <v>143</v>
      </c>
      <c r="F108" s="19">
        <f t="shared" si="8"/>
        <v>0</v>
      </c>
      <c r="G108" s="19">
        <f t="shared" si="7"/>
        <v>0</v>
      </c>
      <c r="H108" s="38">
        <v>0</v>
      </c>
      <c r="I108" s="21"/>
      <c r="J108" s="21"/>
      <c r="K108" s="44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spans="1:50">
      <c r="A109" s="20">
        <v>106</v>
      </c>
      <c r="D109" s="20" t="s">
        <v>132</v>
      </c>
      <c r="E109" s="20" t="s">
        <v>144</v>
      </c>
      <c r="F109" s="19">
        <f t="shared" si="8"/>
        <v>0</v>
      </c>
      <c r="G109" s="19">
        <f t="shared" si="7"/>
        <v>0</v>
      </c>
      <c r="H109" s="38">
        <v>0</v>
      </c>
      <c r="I109" s="21"/>
      <c r="J109" s="21"/>
      <c r="K109" s="44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spans="1:50">
      <c r="A110" s="20">
        <v>107</v>
      </c>
      <c r="D110" s="20" t="s">
        <v>132</v>
      </c>
      <c r="E110" s="20" t="s">
        <v>145</v>
      </c>
      <c r="F110" s="19">
        <f t="shared" si="8"/>
        <v>0</v>
      </c>
      <c r="G110" s="19">
        <f t="shared" si="7"/>
        <v>0</v>
      </c>
      <c r="H110" s="38">
        <v>0</v>
      </c>
      <c r="I110" s="21"/>
      <c r="J110" s="21"/>
      <c r="K110" s="44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</row>
    <row r="111" spans="1:50">
      <c r="A111" s="20">
        <v>108</v>
      </c>
      <c r="B111" s="20" t="s">
        <v>146</v>
      </c>
      <c r="D111" s="20" t="s">
        <v>132</v>
      </c>
      <c r="E111" s="20" t="s">
        <v>147</v>
      </c>
      <c r="F111" s="19">
        <f t="shared" si="8"/>
        <v>0</v>
      </c>
      <c r="G111" s="19">
        <f t="shared" si="7"/>
        <v>0</v>
      </c>
      <c r="H111" s="38">
        <v>0</v>
      </c>
      <c r="I111" s="21"/>
      <c r="J111" s="21"/>
      <c r="K111" s="44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</row>
    <row r="112" spans="1:50">
      <c r="A112" s="20">
        <v>109</v>
      </c>
      <c r="B112" s="20" t="s">
        <v>148</v>
      </c>
      <c r="D112" s="20" t="s">
        <v>132</v>
      </c>
      <c r="E112" s="20" t="s">
        <v>149</v>
      </c>
      <c r="F112" s="19">
        <f t="shared" si="8"/>
        <v>1000</v>
      </c>
      <c r="G112" s="19">
        <f t="shared" si="7"/>
        <v>1040</v>
      </c>
      <c r="H112" s="38">
        <v>0</v>
      </c>
      <c r="I112" s="21"/>
      <c r="J112" s="21"/>
      <c r="K112" s="45">
        <v>1040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</row>
    <row r="113" spans="1:50">
      <c r="A113" s="20">
        <v>110</v>
      </c>
      <c r="B113" s="20" t="s">
        <v>150</v>
      </c>
      <c r="D113" s="20" t="s">
        <v>132</v>
      </c>
      <c r="E113" s="20" t="s">
        <v>151</v>
      </c>
      <c r="F113" s="19">
        <f t="shared" si="8"/>
        <v>2000</v>
      </c>
      <c r="G113" s="19">
        <f t="shared" si="7"/>
        <v>2080</v>
      </c>
      <c r="H113" s="38">
        <v>0</v>
      </c>
      <c r="I113" s="21"/>
      <c r="J113" s="21"/>
      <c r="K113" s="42">
        <v>2080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</row>
    <row r="114" spans="1:8">
      <c r="A114" s="20">
        <v>111</v>
      </c>
      <c r="D114" s="20" t="s">
        <v>132</v>
      </c>
      <c r="E114" s="20" t="s">
        <v>152</v>
      </c>
      <c r="F114" s="19">
        <f t="shared" si="8"/>
        <v>0</v>
      </c>
      <c r="G114" s="19">
        <f t="shared" si="7"/>
        <v>0</v>
      </c>
      <c r="H114" s="38">
        <v>0</v>
      </c>
    </row>
    <row r="115" spans="1:8">
      <c r="A115" s="20">
        <v>112</v>
      </c>
      <c r="B115" s="20" t="s">
        <v>153</v>
      </c>
      <c r="D115" s="20" t="s">
        <v>132</v>
      </c>
      <c r="E115" s="20" t="s">
        <v>154</v>
      </c>
      <c r="F115" s="19">
        <f t="shared" si="8"/>
        <v>0</v>
      </c>
      <c r="G115" s="19">
        <f t="shared" si="7"/>
        <v>0</v>
      </c>
      <c r="H115" s="38">
        <v>0</v>
      </c>
    </row>
    <row r="116" spans="1:8">
      <c r="A116" s="20">
        <v>113</v>
      </c>
      <c r="B116" s="20" t="s">
        <v>155</v>
      </c>
      <c r="D116" s="20" t="s">
        <v>132</v>
      </c>
      <c r="E116" s="20" t="s">
        <v>156</v>
      </c>
      <c r="F116" s="19">
        <f t="shared" si="8"/>
        <v>0</v>
      </c>
      <c r="G116" s="19">
        <f t="shared" si="7"/>
        <v>0</v>
      </c>
      <c r="H116" s="38">
        <v>0</v>
      </c>
    </row>
    <row r="117" spans="1:8">
      <c r="A117" s="20">
        <v>114</v>
      </c>
      <c r="B117" s="20" t="s">
        <v>157</v>
      </c>
      <c r="D117" s="20" t="s">
        <v>132</v>
      </c>
      <c r="E117" s="20" t="s">
        <v>158</v>
      </c>
      <c r="F117" s="19">
        <f t="shared" si="8"/>
        <v>0</v>
      </c>
      <c r="G117" s="19">
        <f t="shared" si="7"/>
        <v>0</v>
      </c>
      <c r="H117" s="38">
        <v>0</v>
      </c>
    </row>
    <row r="118" spans="1:8">
      <c r="A118" s="20">
        <v>115</v>
      </c>
      <c r="B118" s="20" t="s">
        <v>159</v>
      </c>
      <c r="D118" s="20" t="s">
        <v>132</v>
      </c>
      <c r="E118" s="20" t="s">
        <v>160</v>
      </c>
      <c r="F118" s="19">
        <f t="shared" si="8"/>
        <v>0</v>
      </c>
      <c r="G118" s="19">
        <f t="shared" si="7"/>
        <v>0</v>
      </c>
      <c r="H118" s="38">
        <v>0</v>
      </c>
    </row>
    <row r="119" spans="1:8">
      <c r="A119" s="20">
        <v>116</v>
      </c>
      <c r="B119" s="20" t="s">
        <v>161</v>
      </c>
      <c r="D119" s="20" t="s">
        <v>132</v>
      </c>
      <c r="E119" s="20" t="s">
        <v>162</v>
      </c>
      <c r="F119" s="19">
        <f t="shared" si="8"/>
        <v>0</v>
      </c>
      <c r="G119" s="19">
        <f t="shared" si="7"/>
        <v>0</v>
      </c>
      <c r="H119" s="38">
        <v>0</v>
      </c>
    </row>
    <row r="120" spans="1:8">
      <c r="A120" s="20">
        <v>117</v>
      </c>
      <c r="D120" s="20" t="s">
        <v>132</v>
      </c>
      <c r="E120" s="20" t="s">
        <v>163</v>
      </c>
      <c r="F120" s="19">
        <f t="shared" si="8"/>
        <v>0</v>
      </c>
      <c r="G120" s="19">
        <f t="shared" si="7"/>
        <v>0</v>
      </c>
      <c r="H120" s="38">
        <v>0</v>
      </c>
    </row>
    <row r="121" spans="1:8">
      <c r="A121" s="20">
        <v>118</v>
      </c>
      <c r="B121" s="20" t="s">
        <v>164</v>
      </c>
      <c r="D121" s="20" t="s">
        <v>132</v>
      </c>
      <c r="E121" s="20" t="s">
        <v>165</v>
      </c>
      <c r="F121" s="19">
        <f t="shared" si="8"/>
        <v>0</v>
      </c>
      <c r="G121" s="19">
        <f t="shared" si="7"/>
        <v>0</v>
      </c>
      <c r="H121" s="38">
        <v>0</v>
      </c>
    </row>
    <row r="122" spans="1:12">
      <c r="A122" s="20">
        <v>119</v>
      </c>
      <c r="B122" s="20" t="s">
        <v>166</v>
      </c>
      <c r="D122" s="20" t="s">
        <v>132</v>
      </c>
      <c r="E122" s="20" t="s">
        <v>167</v>
      </c>
      <c r="F122" s="19">
        <f t="shared" si="8"/>
        <v>2000</v>
      </c>
      <c r="G122" s="19">
        <f t="shared" si="7"/>
        <v>2080</v>
      </c>
      <c r="H122" s="38">
        <v>0</v>
      </c>
      <c r="L122" s="46">
        <v>2080</v>
      </c>
    </row>
    <row r="123" spans="1:8">
      <c r="A123" s="20">
        <v>120</v>
      </c>
      <c r="D123" s="20" t="s">
        <v>132</v>
      </c>
      <c r="E123" s="20" t="s">
        <v>168</v>
      </c>
      <c r="F123" s="19">
        <f t="shared" si="8"/>
        <v>0</v>
      </c>
      <c r="G123" s="19">
        <f t="shared" si="7"/>
        <v>0</v>
      </c>
      <c r="H123" s="38">
        <v>0</v>
      </c>
    </row>
    <row r="124" spans="1:50">
      <c r="A124" s="20">
        <v>121</v>
      </c>
      <c r="B124" s="20" t="s">
        <v>169</v>
      </c>
      <c r="D124" s="20" t="s">
        <v>132</v>
      </c>
      <c r="E124" s="20" t="s">
        <v>170</v>
      </c>
      <c r="F124" s="19">
        <f t="shared" si="8"/>
        <v>2000</v>
      </c>
      <c r="G124" s="19">
        <f t="shared" si="7"/>
        <v>2080</v>
      </c>
      <c r="H124" s="38">
        <v>0</v>
      </c>
      <c r="I124" s="21"/>
      <c r="J124" s="21"/>
      <c r="K124" s="45">
        <v>2080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</row>
    <row r="125" spans="1:8">
      <c r="A125" s="20">
        <v>122</v>
      </c>
      <c r="B125" s="20" t="s">
        <v>171</v>
      </c>
      <c r="D125" s="20" t="s">
        <v>132</v>
      </c>
      <c r="E125" s="20" t="s">
        <v>172</v>
      </c>
      <c r="F125" s="19">
        <f t="shared" si="8"/>
        <v>0</v>
      </c>
      <c r="G125" s="19">
        <f t="shared" si="7"/>
        <v>0</v>
      </c>
      <c r="H125" s="38">
        <v>0</v>
      </c>
    </row>
    <row r="126" spans="1:8">
      <c r="A126" s="20">
        <v>123</v>
      </c>
      <c r="D126" s="20" t="s">
        <v>132</v>
      </c>
      <c r="E126" s="20" t="s">
        <v>173</v>
      </c>
      <c r="F126" s="19">
        <f t="shared" si="8"/>
        <v>0</v>
      </c>
      <c r="G126" s="19">
        <f t="shared" si="7"/>
        <v>0</v>
      </c>
      <c r="H126" s="38">
        <v>0</v>
      </c>
    </row>
    <row r="127" spans="1:8">
      <c r="A127" s="20">
        <v>124</v>
      </c>
      <c r="B127" s="20" t="s">
        <v>12</v>
      </c>
      <c r="D127" s="20" t="s">
        <v>132</v>
      </c>
      <c r="E127" s="20" t="s">
        <v>174</v>
      </c>
      <c r="F127" s="19">
        <f t="shared" si="8"/>
        <v>0</v>
      </c>
      <c r="G127" s="19">
        <f t="shared" ref="G127:G158" si="9">SUM(I127:AM127)</f>
        <v>0</v>
      </c>
      <c r="H127" s="38">
        <v>0</v>
      </c>
    </row>
    <row r="128" spans="1:8">
      <c r="A128" s="20">
        <v>125</v>
      </c>
      <c r="D128" s="20" t="s">
        <v>132</v>
      </c>
      <c r="E128" s="20" t="s">
        <v>175</v>
      </c>
      <c r="F128" s="19">
        <f t="shared" ref="F128:F159" si="10">G128/1.04+H128</f>
        <v>0</v>
      </c>
      <c r="G128" s="19">
        <f t="shared" si="9"/>
        <v>0</v>
      </c>
      <c r="H128" s="38">
        <v>0</v>
      </c>
    </row>
    <row r="129" spans="1:8">
      <c r="A129" s="20">
        <v>126</v>
      </c>
      <c r="D129" s="20" t="s">
        <v>82</v>
      </c>
      <c r="F129" s="19">
        <f t="shared" si="10"/>
        <v>0</v>
      </c>
      <c r="G129" s="19">
        <f t="shared" si="9"/>
        <v>0</v>
      </c>
      <c r="H129" s="38">
        <v>0</v>
      </c>
    </row>
    <row r="130" spans="1:8">
      <c r="A130" s="20">
        <v>127</v>
      </c>
      <c r="B130" s="20" t="s">
        <v>166</v>
      </c>
      <c r="D130" s="20" t="s">
        <v>82</v>
      </c>
      <c r="E130" s="20" t="s">
        <v>176</v>
      </c>
      <c r="F130" s="19">
        <f t="shared" si="10"/>
        <v>0</v>
      </c>
      <c r="G130" s="19">
        <f t="shared" si="9"/>
        <v>0</v>
      </c>
      <c r="H130" s="38">
        <v>0</v>
      </c>
    </row>
    <row r="131" spans="1:8">
      <c r="A131" s="20">
        <v>128</v>
      </c>
      <c r="C131" s="47" t="s">
        <v>177</v>
      </c>
      <c r="D131" s="20" t="s">
        <v>82</v>
      </c>
      <c r="E131" s="20" t="s">
        <v>178</v>
      </c>
      <c r="F131" s="19">
        <f t="shared" si="10"/>
        <v>0</v>
      </c>
      <c r="G131" s="19">
        <f t="shared" si="9"/>
        <v>0</v>
      </c>
      <c r="H131" s="38">
        <v>0</v>
      </c>
    </row>
    <row r="132" spans="1:8">
      <c r="A132" s="20">
        <v>129</v>
      </c>
      <c r="D132" s="20" t="s">
        <v>82</v>
      </c>
      <c r="F132" s="19">
        <f t="shared" si="10"/>
        <v>0</v>
      </c>
      <c r="G132" s="19">
        <f t="shared" si="9"/>
        <v>0</v>
      </c>
      <c r="H132" s="38">
        <v>0</v>
      </c>
    </row>
    <row r="133" spans="1:8">
      <c r="A133" s="20">
        <v>130</v>
      </c>
      <c r="D133" s="20" t="s">
        <v>82</v>
      </c>
      <c r="E133" s="20" t="s">
        <v>179</v>
      </c>
      <c r="F133" s="19">
        <f t="shared" si="10"/>
        <v>0</v>
      </c>
      <c r="G133" s="19">
        <f t="shared" si="9"/>
        <v>0</v>
      </c>
      <c r="H133" s="38">
        <v>0</v>
      </c>
    </row>
    <row r="134" spans="1:38">
      <c r="A134" s="20">
        <v>131</v>
      </c>
      <c r="D134" s="20" t="s">
        <v>82</v>
      </c>
      <c r="E134" s="20" t="s">
        <v>180</v>
      </c>
      <c r="F134" s="19">
        <f t="shared" si="10"/>
        <v>3000</v>
      </c>
      <c r="G134" s="19">
        <f t="shared" si="9"/>
        <v>3120</v>
      </c>
      <c r="H134" s="38">
        <v>0</v>
      </c>
      <c r="I134" s="21"/>
      <c r="J134" s="21"/>
      <c r="K134" s="45">
        <v>1040</v>
      </c>
      <c r="L134" s="21">
        <v>2080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pans="1:8">
      <c r="A135" s="20">
        <v>132</v>
      </c>
      <c r="D135" s="20" t="s">
        <v>82</v>
      </c>
      <c r="E135" s="20" t="s">
        <v>181</v>
      </c>
      <c r="F135" s="19">
        <f t="shared" si="10"/>
        <v>0</v>
      </c>
      <c r="G135" s="19">
        <f t="shared" si="9"/>
        <v>0</v>
      </c>
      <c r="H135" s="38">
        <v>0</v>
      </c>
    </row>
    <row r="136" spans="1:8">
      <c r="A136" s="20">
        <v>133</v>
      </c>
      <c r="D136" s="20" t="s">
        <v>82</v>
      </c>
      <c r="E136" s="20" t="s">
        <v>182</v>
      </c>
      <c r="F136" s="19">
        <f t="shared" si="10"/>
        <v>0</v>
      </c>
      <c r="G136" s="19">
        <f t="shared" si="9"/>
        <v>0</v>
      </c>
      <c r="H136" s="38">
        <v>0</v>
      </c>
    </row>
    <row r="137" spans="1:8">
      <c r="A137" s="20">
        <v>134</v>
      </c>
      <c r="D137" s="20" t="s">
        <v>82</v>
      </c>
      <c r="F137" s="19">
        <f t="shared" si="10"/>
        <v>0</v>
      </c>
      <c r="G137" s="19">
        <f t="shared" si="9"/>
        <v>0</v>
      </c>
      <c r="H137" s="38">
        <v>0</v>
      </c>
    </row>
    <row r="138" spans="1:8">
      <c r="A138" s="20">
        <v>135</v>
      </c>
      <c r="D138" s="20" t="s">
        <v>82</v>
      </c>
      <c r="E138" s="20" t="s">
        <v>183</v>
      </c>
      <c r="F138" s="19">
        <f t="shared" si="10"/>
        <v>0</v>
      </c>
      <c r="G138" s="19">
        <f t="shared" si="9"/>
        <v>0</v>
      </c>
      <c r="H138" s="38">
        <v>0</v>
      </c>
    </row>
    <row r="139" spans="1:8">
      <c r="A139" s="20">
        <v>136</v>
      </c>
      <c r="D139" s="20" t="s">
        <v>82</v>
      </c>
      <c r="E139" s="20" t="s">
        <v>184</v>
      </c>
      <c r="F139" s="19">
        <f t="shared" si="10"/>
        <v>0</v>
      </c>
      <c r="G139" s="19">
        <f t="shared" si="9"/>
        <v>0</v>
      </c>
      <c r="H139" s="38">
        <v>0</v>
      </c>
    </row>
    <row r="140" spans="1:8">
      <c r="A140" s="20">
        <v>137</v>
      </c>
      <c r="D140" s="20" t="s">
        <v>82</v>
      </c>
      <c r="E140" s="20" t="s">
        <v>185</v>
      </c>
      <c r="F140" s="19">
        <f t="shared" si="10"/>
        <v>0</v>
      </c>
      <c r="G140" s="19">
        <f t="shared" si="9"/>
        <v>0</v>
      </c>
      <c r="H140" s="38">
        <v>0</v>
      </c>
    </row>
    <row r="141" spans="1:8">
      <c r="A141" s="20">
        <v>138</v>
      </c>
      <c r="D141" s="20" t="s">
        <v>82</v>
      </c>
      <c r="E141" s="20" t="s">
        <v>186</v>
      </c>
      <c r="F141" s="19">
        <f t="shared" si="10"/>
        <v>0</v>
      </c>
      <c r="G141" s="19">
        <f t="shared" si="9"/>
        <v>0</v>
      </c>
      <c r="H141" s="38">
        <v>0</v>
      </c>
    </row>
    <row r="142" spans="1:50">
      <c r="A142" s="20">
        <v>139</v>
      </c>
      <c r="D142" s="20" t="s">
        <v>82</v>
      </c>
      <c r="E142" s="20" t="s">
        <v>187</v>
      </c>
      <c r="F142" s="19">
        <f t="shared" si="10"/>
        <v>3000</v>
      </c>
      <c r="G142" s="19">
        <f t="shared" si="9"/>
        <v>3120</v>
      </c>
      <c r="H142" s="38">
        <v>0</v>
      </c>
      <c r="I142" s="21"/>
      <c r="J142" s="21"/>
      <c r="K142" s="45">
        <v>3120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</row>
    <row r="143" spans="1:8">
      <c r="A143" s="20">
        <v>140</v>
      </c>
      <c r="D143" s="20" t="s">
        <v>82</v>
      </c>
      <c r="E143" s="20" t="s">
        <v>188</v>
      </c>
      <c r="F143" s="19">
        <f t="shared" si="10"/>
        <v>0</v>
      </c>
      <c r="G143" s="19">
        <f t="shared" si="9"/>
        <v>0</v>
      </c>
      <c r="H143" s="38">
        <v>0</v>
      </c>
    </row>
    <row r="144" spans="1:8">
      <c r="A144" s="20">
        <v>141</v>
      </c>
      <c r="D144" s="20" t="s">
        <v>82</v>
      </c>
      <c r="E144" s="20" t="s">
        <v>189</v>
      </c>
      <c r="F144" s="19">
        <f t="shared" si="10"/>
        <v>0</v>
      </c>
      <c r="G144" s="19">
        <f t="shared" si="9"/>
        <v>0</v>
      </c>
      <c r="H144" s="38">
        <v>0</v>
      </c>
    </row>
    <row r="145" spans="1:8">
      <c r="A145" s="20">
        <v>142</v>
      </c>
      <c r="D145" s="20" t="s">
        <v>82</v>
      </c>
      <c r="E145" s="20" t="s">
        <v>190</v>
      </c>
      <c r="F145" s="19">
        <f t="shared" si="10"/>
        <v>0</v>
      </c>
      <c r="G145" s="19">
        <f t="shared" si="9"/>
        <v>0</v>
      </c>
      <c r="H145" s="38">
        <v>0</v>
      </c>
    </row>
    <row r="146" spans="1:8">
      <c r="A146" s="20">
        <v>143</v>
      </c>
      <c r="D146" s="20" t="s">
        <v>191</v>
      </c>
      <c r="E146" s="20" t="s">
        <v>192</v>
      </c>
      <c r="F146" s="19">
        <f t="shared" si="10"/>
        <v>0</v>
      </c>
      <c r="G146" s="19">
        <f t="shared" si="9"/>
        <v>0</v>
      </c>
      <c r="H146" s="38">
        <v>0</v>
      </c>
    </row>
    <row r="147" spans="1:8">
      <c r="A147" s="20">
        <v>144</v>
      </c>
      <c r="D147" s="20" t="s">
        <v>191</v>
      </c>
      <c r="E147" s="20" t="s">
        <v>193</v>
      </c>
      <c r="F147" s="19">
        <f t="shared" si="10"/>
        <v>0</v>
      </c>
      <c r="G147" s="19">
        <f t="shared" si="9"/>
        <v>0</v>
      </c>
      <c r="H147" s="38">
        <v>0</v>
      </c>
    </row>
    <row r="148" spans="1:8">
      <c r="A148" s="20">
        <v>145</v>
      </c>
      <c r="D148" s="20" t="s">
        <v>191</v>
      </c>
      <c r="E148" s="20" t="s">
        <v>194</v>
      </c>
      <c r="F148" s="19">
        <f t="shared" si="10"/>
        <v>0</v>
      </c>
      <c r="G148" s="19">
        <f t="shared" si="9"/>
        <v>0</v>
      </c>
      <c r="H148" s="38">
        <v>0</v>
      </c>
    </row>
    <row r="149" spans="1:8">
      <c r="A149" s="20">
        <v>146</v>
      </c>
      <c r="D149" s="20" t="s">
        <v>191</v>
      </c>
      <c r="F149" s="19">
        <f t="shared" si="10"/>
        <v>0</v>
      </c>
      <c r="G149" s="19">
        <f t="shared" si="9"/>
        <v>0</v>
      </c>
      <c r="H149" s="38">
        <v>0</v>
      </c>
    </row>
    <row r="150" spans="1:8">
      <c r="A150" s="20">
        <v>147</v>
      </c>
      <c r="D150" s="20" t="s">
        <v>191</v>
      </c>
      <c r="F150" s="19">
        <f t="shared" si="10"/>
        <v>0</v>
      </c>
      <c r="G150" s="19">
        <f t="shared" si="9"/>
        <v>0</v>
      </c>
      <c r="H150" s="38">
        <v>0</v>
      </c>
    </row>
    <row r="151" spans="1:11">
      <c r="A151" s="20">
        <v>148</v>
      </c>
      <c r="D151" s="20" t="s">
        <v>195</v>
      </c>
      <c r="E151" s="20" t="s">
        <v>196</v>
      </c>
      <c r="F151" s="19">
        <f t="shared" si="10"/>
        <v>2000</v>
      </c>
      <c r="G151" s="19">
        <f t="shared" si="9"/>
        <v>2080</v>
      </c>
      <c r="H151" s="38">
        <v>0</v>
      </c>
      <c r="K151" s="46">
        <v>2080</v>
      </c>
    </row>
    <row r="152" spans="1:8">
      <c r="A152" s="20">
        <v>149</v>
      </c>
      <c r="D152" s="20" t="s">
        <v>195</v>
      </c>
      <c r="F152" s="19">
        <f t="shared" si="10"/>
        <v>0</v>
      </c>
      <c r="G152" s="19">
        <f t="shared" si="9"/>
        <v>0</v>
      </c>
      <c r="H152" s="38">
        <v>0</v>
      </c>
    </row>
    <row r="153" spans="1:50">
      <c r="A153" s="20">
        <v>150</v>
      </c>
      <c r="C153" s="47" t="s">
        <v>197</v>
      </c>
      <c r="D153" s="20" t="s">
        <v>195</v>
      </c>
      <c r="E153" s="20" t="s">
        <v>198</v>
      </c>
      <c r="F153" s="19">
        <f t="shared" si="10"/>
        <v>5000</v>
      </c>
      <c r="G153" s="19">
        <f t="shared" si="9"/>
        <v>5200</v>
      </c>
      <c r="H153" s="38">
        <v>0</v>
      </c>
      <c r="I153" s="21"/>
      <c r="K153" s="42">
        <v>2080</v>
      </c>
      <c r="L153" s="21">
        <v>3120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</row>
    <row r="154" spans="1:8">
      <c r="A154" s="20">
        <v>151</v>
      </c>
      <c r="D154" s="20" t="s">
        <v>195</v>
      </c>
      <c r="F154" s="19">
        <f t="shared" si="10"/>
        <v>0</v>
      </c>
      <c r="G154" s="19">
        <f t="shared" si="9"/>
        <v>0</v>
      </c>
      <c r="H154" s="38">
        <v>0</v>
      </c>
    </row>
    <row r="155" spans="1:8">
      <c r="A155" s="20">
        <v>152</v>
      </c>
      <c r="D155" s="20" t="s">
        <v>199</v>
      </c>
      <c r="E155" s="20" t="s">
        <v>200</v>
      </c>
      <c r="F155" s="19">
        <f t="shared" si="10"/>
        <v>0</v>
      </c>
      <c r="G155" s="19">
        <f t="shared" si="9"/>
        <v>0</v>
      </c>
      <c r="H155" s="38">
        <v>0</v>
      </c>
    </row>
    <row r="156" spans="1:8">
      <c r="A156" s="20">
        <v>153</v>
      </c>
      <c r="D156" s="20" t="s">
        <v>199</v>
      </c>
      <c r="F156" s="19">
        <f t="shared" si="10"/>
        <v>0</v>
      </c>
      <c r="G156" s="19">
        <f t="shared" si="9"/>
        <v>0</v>
      </c>
      <c r="H156" s="38">
        <v>0</v>
      </c>
    </row>
    <row r="157" spans="1:8">
      <c r="A157" s="20">
        <v>154</v>
      </c>
      <c r="D157" s="20" t="s">
        <v>199</v>
      </c>
      <c r="F157" s="19">
        <f t="shared" si="10"/>
        <v>0</v>
      </c>
      <c r="G157" s="19">
        <f t="shared" si="9"/>
        <v>0</v>
      </c>
      <c r="H157" s="38">
        <v>0</v>
      </c>
    </row>
    <row r="158" spans="1:8">
      <c r="A158" s="20">
        <v>155</v>
      </c>
      <c r="D158" s="20" t="s">
        <v>23</v>
      </c>
      <c r="F158" s="19">
        <f t="shared" si="10"/>
        <v>0</v>
      </c>
      <c r="G158" s="19">
        <f t="shared" si="9"/>
        <v>0</v>
      </c>
      <c r="H158" s="38">
        <v>0</v>
      </c>
    </row>
    <row r="159" spans="1:8">
      <c r="A159" s="20">
        <v>156</v>
      </c>
      <c r="F159" s="19">
        <f t="shared" si="10"/>
        <v>0</v>
      </c>
      <c r="G159" s="19">
        <f t="shared" ref="G159:G175" si="11">SUM(I159:AM159)</f>
        <v>0</v>
      </c>
      <c r="H159" s="38">
        <v>0</v>
      </c>
    </row>
    <row r="160" spans="1:8">
      <c r="A160" s="20">
        <v>157</v>
      </c>
      <c r="D160" s="20" t="s">
        <v>201</v>
      </c>
      <c r="E160" s="20" t="s">
        <v>202</v>
      </c>
      <c r="F160" s="19">
        <f t="shared" ref="F160:F175" si="12">G160/1.04+H160</f>
        <v>0</v>
      </c>
      <c r="G160" s="19">
        <f t="shared" si="11"/>
        <v>0</v>
      </c>
      <c r="H160" s="38">
        <v>0</v>
      </c>
    </row>
    <row r="161" spans="1:12">
      <c r="A161" s="20">
        <v>158</v>
      </c>
      <c r="D161" s="20" t="s">
        <v>203</v>
      </c>
      <c r="E161" s="20" t="s">
        <v>204</v>
      </c>
      <c r="F161" s="19">
        <f t="shared" si="12"/>
        <v>3000</v>
      </c>
      <c r="G161" s="19">
        <f t="shared" si="11"/>
        <v>3120</v>
      </c>
      <c r="H161" s="38">
        <v>0</v>
      </c>
      <c r="K161" s="46">
        <v>1040</v>
      </c>
      <c r="L161" s="20">
        <v>2080</v>
      </c>
    </row>
    <row r="162" spans="1:8">
      <c r="A162" s="20">
        <v>159</v>
      </c>
      <c r="F162" s="19">
        <f t="shared" si="12"/>
        <v>0</v>
      </c>
      <c r="G162" s="19">
        <f t="shared" si="11"/>
        <v>0</v>
      </c>
      <c r="H162" s="38">
        <v>0</v>
      </c>
    </row>
    <row r="163" spans="1:8">
      <c r="A163" s="20">
        <v>160</v>
      </c>
      <c r="F163" s="19">
        <f t="shared" si="12"/>
        <v>0</v>
      </c>
      <c r="G163" s="19">
        <f t="shared" si="11"/>
        <v>0</v>
      </c>
      <c r="H163" s="38">
        <v>0</v>
      </c>
    </row>
    <row r="164" spans="1:8">
      <c r="A164" s="20">
        <v>161</v>
      </c>
      <c r="F164" s="19">
        <f t="shared" si="12"/>
        <v>0</v>
      </c>
      <c r="G164" s="19">
        <f t="shared" si="11"/>
        <v>0</v>
      </c>
      <c r="H164" s="38">
        <v>0</v>
      </c>
    </row>
    <row r="165" spans="1:8">
      <c r="A165" s="20">
        <v>162</v>
      </c>
      <c r="F165" s="19">
        <f t="shared" si="12"/>
        <v>0</v>
      </c>
      <c r="G165" s="19">
        <f t="shared" si="11"/>
        <v>0</v>
      </c>
      <c r="H165" s="38">
        <v>0</v>
      </c>
    </row>
    <row r="166" spans="1:8">
      <c r="A166" s="20">
        <v>163</v>
      </c>
      <c r="D166" s="20" t="s">
        <v>77</v>
      </c>
      <c r="E166" s="20" t="s">
        <v>205</v>
      </c>
      <c r="F166" s="19">
        <f t="shared" si="12"/>
        <v>0</v>
      </c>
      <c r="G166" s="19">
        <f t="shared" si="11"/>
        <v>0</v>
      </c>
      <c r="H166" s="38">
        <v>0</v>
      </c>
    </row>
    <row r="167" spans="1:12">
      <c r="A167" s="20">
        <v>164</v>
      </c>
      <c r="D167" s="20" t="s">
        <v>206</v>
      </c>
      <c r="E167" s="20" t="s">
        <v>207</v>
      </c>
      <c r="F167" s="19">
        <f t="shared" si="12"/>
        <v>7000</v>
      </c>
      <c r="G167" s="19">
        <f t="shared" si="11"/>
        <v>7280</v>
      </c>
      <c r="H167" s="38">
        <v>0</v>
      </c>
      <c r="K167" s="46">
        <v>2080</v>
      </c>
      <c r="L167" s="20">
        <v>5200</v>
      </c>
    </row>
    <row r="168" spans="1:8">
      <c r="A168" s="20">
        <v>165</v>
      </c>
      <c r="D168" s="20" t="s">
        <v>206</v>
      </c>
      <c r="E168" s="20" t="s">
        <v>208</v>
      </c>
      <c r="F168" s="19">
        <f t="shared" si="12"/>
        <v>0</v>
      </c>
      <c r="G168" s="19">
        <f t="shared" si="11"/>
        <v>0</v>
      </c>
      <c r="H168" s="38">
        <v>0</v>
      </c>
    </row>
    <row r="169" spans="1:50">
      <c r="A169" s="20">
        <v>166</v>
      </c>
      <c r="D169" s="20" t="s">
        <v>206</v>
      </c>
      <c r="E169" s="20" t="s">
        <v>209</v>
      </c>
      <c r="F169" s="19">
        <f t="shared" si="12"/>
        <v>2000</v>
      </c>
      <c r="G169" s="19">
        <f t="shared" si="11"/>
        <v>2080</v>
      </c>
      <c r="H169" s="38">
        <v>0</v>
      </c>
      <c r="I169" s="21"/>
      <c r="J169" s="21"/>
      <c r="K169" s="45">
        <v>2080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</row>
    <row r="170" spans="1:8">
      <c r="A170" s="20">
        <v>167</v>
      </c>
      <c r="D170" s="20" t="s">
        <v>206</v>
      </c>
      <c r="E170" s="20" t="s">
        <v>210</v>
      </c>
      <c r="F170" s="19">
        <f t="shared" si="12"/>
        <v>0</v>
      </c>
      <c r="G170" s="19">
        <f t="shared" si="11"/>
        <v>0</v>
      </c>
      <c r="H170" s="38">
        <v>0</v>
      </c>
    </row>
    <row r="171" spans="1:11">
      <c r="A171" s="20">
        <v>168</v>
      </c>
      <c r="D171" s="20" t="s">
        <v>206</v>
      </c>
      <c r="E171" s="20" t="s">
        <v>211</v>
      </c>
      <c r="F171" s="19">
        <f t="shared" si="12"/>
        <v>2000</v>
      </c>
      <c r="G171" s="19">
        <f t="shared" si="11"/>
        <v>2080</v>
      </c>
      <c r="H171" s="38">
        <v>0</v>
      </c>
      <c r="K171" s="46">
        <v>2080</v>
      </c>
    </row>
    <row r="172" spans="1:8">
      <c r="A172" s="20">
        <v>169</v>
      </c>
      <c r="C172" s="47" t="s">
        <v>212</v>
      </c>
      <c r="D172" s="20" t="s">
        <v>206</v>
      </c>
      <c r="E172" s="20" t="s">
        <v>213</v>
      </c>
      <c r="F172" s="19">
        <f t="shared" si="12"/>
        <v>0</v>
      </c>
      <c r="G172" s="19">
        <f t="shared" si="11"/>
        <v>0</v>
      </c>
      <c r="H172" s="38">
        <v>0</v>
      </c>
    </row>
    <row r="173" spans="1:8">
      <c r="A173" s="20">
        <v>170</v>
      </c>
      <c r="D173" s="20" t="s">
        <v>206</v>
      </c>
      <c r="E173" s="20" t="s">
        <v>214</v>
      </c>
      <c r="F173" s="19">
        <f t="shared" si="12"/>
        <v>0</v>
      </c>
      <c r="G173" s="19">
        <f t="shared" si="11"/>
        <v>0</v>
      </c>
      <c r="H173" s="38">
        <v>0</v>
      </c>
    </row>
    <row r="174" spans="1:12">
      <c r="A174" s="20">
        <v>171</v>
      </c>
      <c r="D174" s="20" t="s">
        <v>215</v>
      </c>
      <c r="E174" s="20" t="s">
        <v>216</v>
      </c>
      <c r="F174" s="19">
        <f t="shared" si="12"/>
        <v>1000</v>
      </c>
      <c r="G174" s="19">
        <f t="shared" si="11"/>
        <v>1040</v>
      </c>
      <c r="H174" s="38">
        <v>0</v>
      </c>
      <c r="L174" s="46">
        <v>1040</v>
      </c>
    </row>
    <row r="175" spans="1:13">
      <c r="A175" s="20">
        <v>172</v>
      </c>
      <c r="D175" s="20" t="s">
        <v>215</v>
      </c>
      <c r="E175" s="20" t="s">
        <v>217</v>
      </c>
      <c r="F175" s="19">
        <f t="shared" si="12"/>
        <v>2000</v>
      </c>
      <c r="G175" s="19">
        <f t="shared" si="11"/>
        <v>2080</v>
      </c>
      <c r="H175" s="38">
        <v>0</v>
      </c>
      <c r="M175" s="20">
        <v>2080</v>
      </c>
    </row>
  </sheetData>
  <mergeCells count="1">
    <mergeCell ref="A98:C98"/>
  </mergeCell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75"/>
  <sheetViews>
    <sheetView topLeftCell="C1" workbookViewId="0">
      <pane xSplit="6" ySplit="2" topLeftCell="I22" activePane="bottomRight" state="frozen"/>
      <selection/>
      <selection pane="topRight"/>
      <selection pane="bottomLeft"/>
      <selection pane="bottomRight" activeCell="D167" sqref="D167"/>
    </sheetView>
  </sheetViews>
  <sheetFormatPr defaultColWidth="9.14285714285714" defaultRowHeight="15"/>
  <cols>
    <col min="1" max="1" width="6.28571428571429" style="20" customWidth="1"/>
    <col min="2" max="2" width="21.2857142857143" style="20" customWidth="1"/>
    <col min="3" max="3" width="6.28571428571429" style="20" customWidth="1"/>
    <col min="4" max="4" width="21.2857142857143" style="20" customWidth="1"/>
    <col min="5" max="5" width="11.7142857142857" style="20" customWidth="1"/>
    <col min="6" max="6" width="15" style="20" customWidth="1"/>
    <col min="7" max="7" width="51.1428571428571" style="20" customWidth="1"/>
    <col min="8" max="8" width="8.57142857142857" style="20" customWidth="1"/>
    <col min="9" max="9" width="6.14285714285714" style="20" customWidth="1"/>
    <col min="10" max="10" width="6.57142857142857" style="20" customWidth="1"/>
    <col min="11" max="17" width="6.14285714285714" style="20" customWidth="1"/>
    <col min="18" max="38" width="7.14285714285714" style="20" customWidth="1"/>
    <col min="39" max="39" width="7.14285714285714" style="21" customWidth="1"/>
    <col min="40" max="16384" width="9.14285714285714" style="20"/>
  </cols>
  <sheetData>
    <row r="1" s="19" customFormat="1" spans="1:39">
      <c r="A1" s="22" t="s">
        <v>0</v>
      </c>
      <c r="B1" s="22" t="s">
        <v>1</v>
      </c>
      <c r="C1" s="22" t="s">
        <v>0</v>
      </c>
      <c r="D1" s="22" t="s">
        <v>1</v>
      </c>
      <c r="E1" s="22" t="s">
        <v>218</v>
      </c>
      <c r="F1" s="22" t="s">
        <v>3</v>
      </c>
      <c r="G1" s="22" t="s">
        <v>4</v>
      </c>
      <c r="H1" s="22" t="s">
        <v>219</v>
      </c>
      <c r="I1" s="28">
        <v>44378</v>
      </c>
      <c r="J1" s="28">
        <v>44379</v>
      </c>
      <c r="K1" s="28">
        <v>44380</v>
      </c>
      <c r="L1" s="28">
        <v>44381</v>
      </c>
      <c r="M1" s="28">
        <v>44382</v>
      </c>
      <c r="N1" s="28">
        <v>44383</v>
      </c>
      <c r="O1" s="28">
        <v>44384</v>
      </c>
      <c r="P1" s="28">
        <v>44385</v>
      </c>
      <c r="Q1" s="28">
        <v>44386</v>
      </c>
      <c r="R1" s="28">
        <v>44387</v>
      </c>
      <c r="S1" s="28">
        <v>44388</v>
      </c>
      <c r="T1" s="28">
        <v>44389</v>
      </c>
      <c r="U1" s="28">
        <v>44390</v>
      </c>
      <c r="V1" s="28">
        <v>44391</v>
      </c>
      <c r="W1" s="28">
        <v>44392</v>
      </c>
      <c r="X1" s="28">
        <v>44393</v>
      </c>
      <c r="Y1" s="28">
        <v>44394</v>
      </c>
      <c r="Z1" s="28">
        <v>44395</v>
      </c>
      <c r="AA1" s="28">
        <v>44396</v>
      </c>
      <c r="AB1" s="28">
        <v>44397</v>
      </c>
      <c r="AC1" s="28">
        <v>44398</v>
      </c>
      <c r="AD1" s="28">
        <v>44399</v>
      </c>
      <c r="AE1" s="28">
        <v>44400</v>
      </c>
      <c r="AF1" s="28">
        <v>44401</v>
      </c>
      <c r="AG1" s="28">
        <v>44402</v>
      </c>
      <c r="AH1" s="28">
        <v>44403</v>
      </c>
      <c r="AI1" s="28">
        <v>44404</v>
      </c>
      <c r="AJ1" s="28">
        <v>44405</v>
      </c>
      <c r="AK1" s="28">
        <v>44406</v>
      </c>
      <c r="AL1" s="28">
        <v>44407</v>
      </c>
      <c r="AM1" s="28">
        <v>44408</v>
      </c>
    </row>
    <row r="2" s="19" customFormat="1" spans="1:39">
      <c r="A2" s="23"/>
      <c r="B2" s="23"/>
      <c r="C2" s="23"/>
      <c r="D2" s="23"/>
      <c r="E2" s="23"/>
      <c r="F2" s="24">
        <f>SUM(H3:H1032)</f>
        <v>147000</v>
      </c>
      <c r="G2" s="25" t="s">
        <v>8</v>
      </c>
      <c r="H2" s="26">
        <f t="shared" ref="H2:H35" si="0">SUM(I2:AM2)</f>
        <v>147000</v>
      </c>
      <c r="I2" s="29">
        <f>SUM(I3:I1032)</f>
        <v>34500</v>
      </c>
      <c r="J2" s="29">
        <f t="shared" ref="J2:AM2" si="1">SUM(J3:J1032)</f>
        <v>35000</v>
      </c>
      <c r="K2" s="29">
        <f t="shared" si="1"/>
        <v>55500</v>
      </c>
      <c r="L2" s="29">
        <f t="shared" si="1"/>
        <v>22000</v>
      </c>
      <c r="M2" s="29">
        <f t="shared" si="1"/>
        <v>0</v>
      </c>
      <c r="N2" s="29">
        <f t="shared" si="1"/>
        <v>0</v>
      </c>
      <c r="O2" s="29">
        <f t="shared" si="1"/>
        <v>0</v>
      </c>
      <c r="P2" s="29">
        <f t="shared" si="1"/>
        <v>0</v>
      </c>
      <c r="Q2" s="29">
        <f t="shared" si="1"/>
        <v>0</v>
      </c>
      <c r="R2" s="29">
        <f t="shared" si="1"/>
        <v>0</v>
      </c>
      <c r="S2" s="29">
        <f t="shared" si="1"/>
        <v>0</v>
      </c>
      <c r="T2" s="29">
        <f t="shared" si="1"/>
        <v>0</v>
      </c>
      <c r="U2" s="29">
        <f t="shared" si="1"/>
        <v>0</v>
      </c>
      <c r="V2" s="29">
        <f t="shared" si="1"/>
        <v>0</v>
      </c>
      <c r="W2" s="29">
        <f t="shared" si="1"/>
        <v>0</v>
      </c>
      <c r="X2" s="29">
        <f t="shared" si="1"/>
        <v>0</v>
      </c>
      <c r="Y2" s="29">
        <f t="shared" si="1"/>
        <v>0</v>
      </c>
      <c r="Z2" s="29">
        <f t="shared" si="1"/>
        <v>0</v>
      </c>
      <c r="AA2" s="29">
        <f t="shared" si="1"/>
        <v>0</v>
      </c>
      <c r="AB2" s="29">
        <f t="shared" si="1"/>
        <v>0</v>
      </c>
      <c r="AC2" s="29">
        <f t="shared" si="1"/>
        <v>0</v>
      </c>
      <c r="AD2" s="29">
        <f t="shared" si="1"/>
        <v>0</v>
      </c>
      <c r="AE2" s="29">
        <f t="shared" si="1"/>
        <v>0</v>
      </c>
      <c r="AF2" s="29">
        <f t="shared" si="1"/>
        <v>0</v>
      </c>
      <c r="AG2" s="29">
        <f t="shared" si="1"/>
        <v>0</v>
      </c>
      <c r="AH2" s="29">
        <f t="shared" si="1"/>
        <v>0</v>
      </c>
      <c r="AI2" s="29">
        <f t="shared" si="1"/>
        <v>0</v>
      </c>
      <c r="AJ2" s="29">
        <f t="shared" si="1"/>
        <v>0</v>
      </c>
      <c r="AK2" s="29">
        <f t="shared" si="1"/>
        <v>0</v>
      </c>
      <c r="AL2" s="29">
        <f t="shared" si="1"/>
        <v>0</v>
      </c>
      <c r="AM2" s="29">
        <f t="shared" si="1"/>
        <v>0</v>
      </c>
    </row>
    <row r="3" spans="1:48">
      <c r="A3" s="20">
        <v>1</v>
      </c>
      <c r="B3" s="20" t="s">
        <v>220</v>
      </c>
      <c r="C3" s="20">
        <v>1</v>
      </c>
      <c r="D3" s="20" t="s">
        <v>220</v>
      </c>
      <c r="E3" s="20">
        <v>9334066332</v>
      </c>
      <c r="F3" s="20" t="s">
        <v>9</v>
      </c>
      <c r="G3" s="27" t="s">
        <v>10</v>
      </c>
      <c r="H3" s="19">
        <f t="shared" si="0"/>
        <v>2000</v>
      </c>
      <c r="I3" s="21"/>
      <c r="J3" s="21"/>
      <c r="K3" s="30">
        <v>2000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N3" s="21"/>
      <c r="AO3" s="21"/>
      <c r="AP3" s="21"/>
      <c r="AQ3" s="21"/>
      <c r="AR3" s="21"/>
      <c r="AS3" s="21"/>
      <c r="AT3" s="21"/>
      <c r="AU3" s="21"/>
      <c r="AV3" s="21"/>
    </row>
    <row r="4" spans="1:48">
      <c r="A4" s="20">
        <v>2</v>
      </c>
      <c r="B4" s="20" t="s">
        <v>221</v>
      </c>
      <c r="C4" s="20">
        <v>2</v>
      </c>
      <c r="D4" s="20" t="s">
        <v>221</v>
      </c>
      <c r="E4" s="20" t="s">
        <v>222</v>
      </c>
      <c r="F4" s="20" t="s">
        <v>9</v>
      </c>
      <c r="G4" s="27" t="s">
        <v>11</v>
      </c>
      <c r="H4" s="19">
        <f t="shared" si="0"/>
        <v>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N4" s="21"/>
      <c r="AO4" s="21"/>
      <c r="AP4" s="21"/>
      <c r="AQ4" s="21"/>
      <c r="AR4" s="21"/>
      <c r="AS4" s="21"/>
      <c r="AT4" s="21"/>
      <c r="AU4" s="21"/>
      <c r="AV4" s="21"/>
    </row>
    <row r="5" spans="1:48">
      <c r="A5" s="20">
        <v>3</v>
      </c>
      <c r="C5" s="20">
        <v>3</v>
      </c>
      <c r="E5" s="20">
        <v>8340365412</v>
      </c>
      <c r="F5" s="20" t="s">
        <v>9</v>
      </c>
      <c r="G5" s="27" t="s">
        <v>13</v>
      </c>
      <c r="H5" s="19">
        <f t="shared" si="0"/>
        <v>1500</v>
      </c>
      <c r="I5" s="21"/>
      <c r="J5" s="21"/>
      <c r="K5" s="21">
        <v>1500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N5" s="21"/>
      <c r="AO5" s="21"/>
      <c r="AP5" s="21"/>
      <c r="AQ5" s="21"/>
      <c r="AR5" s="21"/>
      <c r="AS5" s="21"/>
      <c r="AT5" s="21"/>
      <c r="AU5" s="21"/>
      <c r="AV5" s="21"/>
    </row>
    <row r="6" spans="1:48">
      <c r="A6" s="20">
        <v>4</v>
      </c>
      <c r="B6" s="20" t="s">
        <v>223</v>
      </c>
      <c r="C6" s="20">
        <v>4</v>
      </c>
      <c r="D6" s="20" t="s">
        <v>223</v>
      </c>
      <c r="E6" s="20">
        <v>9102317719</v>
      </c>
      <c r="F6" s="20" t="s">
        <v>9</v>
      </c>
      <c r="G6" s="27" t="s">
        <v>15</v>
      </c>
      <c r="H6" s="19">
        <f t="shared" si="0"/>
        <v>2000</v>
      </c>
      <c r="I6" s="30">
        <v>2000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N6" s="21"/>
      <c r="AO6" s="21"/>
      <c r="AP6" s="21"/>
      <c r="AQ6" s="21"/>
      <c r="AR6" s="21"/>
      <c r="AS6" s="21"/>
      <c r="AT6" s="21"/>
      <c r="AU6" s="21"/>
      <c r="AV6" s="21"/>
    </row>
    <row r="7" spans="1:48">
      <c r="A7" s="20">
        <v>5</v>
      </c>
      <c r="B7" s="20" t="s">
        <v>224</v>
      </c>
      <c r="C7" s="20">
        <v>5</v>
      </c>
      <c r="D7" s="20" t="s">
        <v>225</v>
      </c>
      <c r="E7" s="20">
        <v>8210924561</v>
      </c>
      <c r="F7" s="20" t="s">
        <v>9</v>
      </c>
      <c r="G7" s="27" t="s">
        <v>17</v>
      </c>
      <c r="H7" s="19">
        <f t="shared" si="0"/>
        <v>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N7" s="21"/>
      <c r="AO7" s="21"/>
      <c r="AP7" s="21"/>
      <c r="AQ7" s="21"/>
      <c r="AR7" s="21"/>
      <c r="AS7" s="21"/>
      <c r="AT7" s="21"/>
      <c r="AU7" s="21"/>
      <c r="AV7" s="21"/>
    </row>
    <row r="8" spans="1:48">
      <c r="A8" s="20">
        <v>6</v>
      </c>
      <c r="C8" s="20">
        <v>6</v>
      </c>
      <c r="D8" s="20" t="s">
        <v>226</v>
      </c>
      <c r="E8" s="20">
        <v>9110978139</v>
      </c>
      <c r="F8" s="20" t="s">
        <v>9</v>
      </c>
      <c r="G8" s="27" t="s">
        <v>19</v>
      </c>
      <c r="H8" s="19">
        <f t="shared" si="0"/>
        <v>2000</v>
      </c>
      <c r="I8" s="21"/>
      <c r="J8" s="21"/>
      <c r="K8" s="21">
        <v>2000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N8" s="21"/>
      <c r="AO8" s="21"/>
      <c r="AP8" s="21"/>
      <c r="AQ8" s="21"/>
      <c r="AR8" s="21"/>
      <c r="AS8" s="21"/>
      <c r="AT8" s="21"/>
      <c r="AU8" s="21"/>
      <c r="AV8" s="21"/>
    </row>
    <row r="9" spans="1:48">
      <c r="A9" s="20">
        <v>7</v>
      </c>
      <c r="C9" s="20">
        <v>7</v>
      </c>
      <c r="D9" s="21" t="s">
        <v>227</v>
      </c>
      <c r="E9" s="20">
        <v>8340201321</v>
      </c>
      <c r="F9" s="20" t="s">
        <v>9</v>
      </c>
      <c r="G9" s="27" t="s">
        <v>20</v>
      </c>
      <c r="H9" s="19">
        <f t="shared" si="0"/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N9" s="21"/>
      <c r="AO9" s="21"/>
      <c r="AP9" s="21"/>
      <c r="AQ9" s="21"/>
      <c r="AR9" s="21"/>
      <c r="AS9" s="21"/>
      <c r="AT9" s="21"/>
      <c r="AU9" s="21"/>
      <c r="AV9" s="21"/>
    </row>
    <row r="10" spans="1:48">
      <c r="A10" s="20">
        <v>8</v>
      </c>
      <c r="C10" s="20">
        <v>8</v>
      </c>
      <c r="D10" s="20" t="s">
        <v>228</v>
      </c>
      <c r="E10" s="20">
        <v>7004365158</v>
      </c>
      <c r="F10" s="20" t="s">
        <v>9</v>
      </c>
      <c r="G10" s="27" t="s">
        <v>22</v>
      </c>
      <c r="H10" s="19">
        <f t="shared" si="0"/>
        <v>7500</v>
      </c>
      <c r="I10" s="21">
        <v>2500</v>
      </c>
      <c r="J10" s="21"/>
      <c r="K10" s="21">
        <v>5000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N10" s="21"/>
      <c r="AO10" s="21"/>
      <c r="AP10" s="21"/>
      <c r="AQ10" s="21"/>
      <c r="AR10" s="21"/>
      <c r="AS10" s="21"/>
      <c r="AT10" s="21"/>
      <c r="AU10" s="21"/>
      <c r="AV10" s="21"/>
    </row>
    <row r="11" spans="1:48">
      <c r="A11" s="20">
        <v>9</v>
      </c>
      <c r="B11" s="20" t="s">
        <v>229</v>
      </c>
      <c r="C11" s="20">
        <v>9</v>
      </c>
      <c r="D11" s="20" t="s">
        <v>229</v>
      </c>
      <c r="E11" s="20">
        <v>9973022718</v>
      </c>
      <c r="F11" s="20" t="s">
        <v>23</v>
      </c>
      <c r="G11" s="27" t="s">
        <v>24</v>
      </c>
      <c r="H11" s="19">
        <f t="shared" si="0"/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N11" s="21"/>
      <c r="AO11" s="21"/>
      <c r="AP11" s="21"/>
      <c r="AQ11" s="21"/>
      <c r="AR11" s="21"/>
      <c r="AS11" s="21"/>
      <c r="AT11" s="21"/>
      <c r="AU11" s="21"/>
      <c r="AV11" s="21"/>
    </row>
    <row r="12" spans="1:48">
      <c r="A12" s="20">
        <v>10</v>
      </c>
      <c r="C12" s="20">
        <v>10</v>
      </c>
      <c r="E12" s="20">
        <v>7004923653</v>
      </c>
      <c r="F12" s="20" t="s">
        <v>23</v>
      </c>
      <c r="G12" s="27" t="s">
        <v>25</v>
      </c>
      <c r="H12" s="19">
        <f t="shared" si="0"/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N12" s="21"/>
      <c r="AO12" s="21"/>
      <c r="AP12" s="21"/>
      <c r="AQ12" s="21"/>
      <c r="AR12" s="21"/>
      <c r="AS12" s="21"/>
      <c r="AT12" s="21"/>
      <c r="AU12" s="21"/>
      <c r="AV12" s="21"/>
    </row>
    <row r="13" spans="1:48">
      <c r="A13" s="20">
        <v>11</v>
      </c>
      <c r="C13" s="20">
        <v>11</v>
      </c>
      <c r="D13" s="20" t="s">
        <v>230</v>
      </c>
      <c r="E13" s="20">
        <v>8340182577</v>
      </c>
      <c r="F13" s="20" t="s">
        <v>23</v>
      </c>
      <c r="G13" s="27" t="s">
        <v>26</v>
      </c>
      <c r="H13" s="19">
        <f t="shared" si="0"/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 spans="1:48">
      <c r="A14" s="20">
        <v>12</v>
      </c>
      <c r="B14" s="20" t="s">
        <v>231</v>
      </c>
      <c r="C14" s="20">
        <v>12</v>
      </c>
      <c r="D14" s="20" t="s">
        <v>232</v>
      </c>
      <c r="E14" s="20">
        <v>7004740439</v>
      </c>
      <c r="F14" s="20" t="s">
        <v>23</v>
      </c>
      <c r="G14" s="27" t="s">
        <v>27</v>
      </c>
      <c r="H14" s="19">
        <f t="shared" si="0"/>
        <v>2000</v>
      </c>
      <c r="I14" s="21"/>
      <c r="J14" s="30">
        <v>2000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 spans="1:48">
      <c r="A15" s="20">
        <v>13</v>
      </c>
      <c r="B15" s="20" t="s">
        <v>28</v>
      </c>
      <c r="C15" s="20">
        <v>13</v>
      </c>
      <c r="D15" s="20" t="s">
        <v>28</v>
      </c>
      <c r="F15" s="20" t="s">
        <v>23</v>
      </c>
      <c r="G15" s="27" t="s">
        <v>29</v>
      </c>
      <c r="H15" s="19">
        <f t="shared" si="0"/>
        <v>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N15" s="21"/>
      <c r="AO15" s="21"/>
      <c r="AP15" s="21"/>
      <c r="AQ15" s="21"/>
      <c r="AR15" s="21"/>
      <c r="AS15" s="21"/>
      <c r="AT15" s="21"/>
      <c r="AU15" s="21"/>
      <c r="AV15" s="21"/>
    </row>
    <row r="16" spans="1:48">
      <c r="A16" s="20">
        <v>14</v>
      </c>
      <c r="B16" s="20" t="s">
        <v>233</v>
      </c>
      <c r="C16" s="20">
        <v>14</v>
      </c>
      <c r="D16" s="20" t="s">
        <v>233</v>
      </c>
      <c r="E16" s="20">
        <v>7321004323</v>
      </c>
      <c r="F16" s="20" t="s">
        <v>23</v>
      </c>
      <c r="G16" s="27" t="s">
        <v>30</v>
      </c>
      <c r="H16" s="19">
        <f t="shared" si="0"/>
        <v>1000</v>
      </c>
      <c r="I16" s="21"/>
      <c r="J16" s="21"/>
      <c r="K16" s="30">
        <v>1000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N16" s="21"/>
      <c r="AO16" s="21"/>
      <c r="AP16" s="21"/>
      <c r="AQ16" s="21"/>
      <c r="AR16" s="21"/>
      <c r="AS16" s="21"/>
      <c r="AT16" s="21"/>
      <c r="AU16" s="21"/>
      <c r="AV16" s="21"/>
    </row>
    <row r="17" spans="1:48">
      <c r="A17" s="20">
        <v>15</v>
      </c>
      <c r="C17" s="20">
        <v>15</v>
      </c>
      <c r="D17" s="20" t="s">
        <v>234</v>
      </c>
      <c r="E17" s="20">
        <v>7903378748</v>
      </c>
      <c r="F17" s="20" t="s">
        <v>23</v>
      </c>
      <c r="G17" s="27" t="s">
        <v>32</v>
      </c>
      <c r="H17" s="19">
        <f t="shared" si="0"/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N17" s="21"/>
      <c r="AO17" s="21"/>
      <c r="AP17" s="21"/>
      <c r="AQ17" s="21"/>
      <c r="AR17" s="21"/>
      <c r="AS17" s="21"/>
      <c r="AT17" s="21"/>
      <c r="AU17" s="21"/>
      <c r="AV17" s="21"/>
    </row>
    <row r="18" spans="1:48">
      <c r="A18" s="20">
        <v>16</v>
      </c>
      <c r="C18" s="20">
        <v>16</v>
      </c>
      <c r="D18" s="20" t="s">
        <v>33</v>
      </c>
      <c r="F18" s="20" t="s">
        <v>23</v>
      </c>
      <c r="G18" s="27" t="s">
        <v>34</v>
      </c>
      <c r="H18" s="19">
        <f t="shared" si="0"/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N18" s="21"/>
      <c r="AO18" s="21"/>
      <c r="AP18" s="21"/>
      <c r="AQ18" s="21"/>
      <c r="AR18" s="21"/>
      <c r="AS18" s="21"/>
      <c r="AT18" s="21"/>
      <c r="AU18" s="21"/>
      <c r="AV18" s="21"/>
    </row>
    <row r="19" spans="1:48">
      <c r="A19" s="20">
        <v>17</v>
      </c>
      <c r="B19" s="20" t="s">
        <v>235</v>
      </c>
      <c r="C19" s="20">
        <v>17</v>
      </c>
      <c r="D19" s="20" t="s">
        <v>235</v>
      </c>
      <c r="E19" s="20">
        <v>9608475282</v>
      </c>
      <c r="F19" s="20" t="s">
        <v>23</v>
      </c>
      <c r="G19" s="27" t="s">
        <v>35</v>
      </c>
      <c r="H19" s="19">
        <f t="shared" si="0"/>
        <v>3000</v>
      </c>
      <c r="I19" s="30">
        <v>3000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N19" s="21"/>
      <c r="AO19" s="21"/>
      <c r="AP19" s="21"/>
      <c r="AQ19" s="21"/>
      <c r="AR19" s="21"/>
      <c r="AS19" s="21"/>
      <c r="AT19" s="21"/>
      <c r="AU19" s="21"/>
      <c r="AV19" s="21"/>
    </row>
    <row r="20" spans="1:48">
      <c r="A20" s="20">
        <v>18</v>
      </c>
      <c r="B20" s="20" t="s">
        <v>236</v>
      </c>
      <c r="C20" s="20">
        <v>18</v>
      </c>
      <c r="D20" s="20" t="s">
        <v>237</v>
      </c>
      <c r="E20" s="20">
        <v>9661555592</v>
      </c>
      <c r="F20" s="20" t="s">
        <v>36</v>
      </c>
      <c r="G20" s="27" t="s">
        <v>37</v>
      </c>
      <c r="H20" s="19">
        <f t="shared" si="0"/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 spans="1:48">
      <c r="A21" s="20">
        <v>19</v>
      </c>
      <c r="B21" s="20" t="s">
        <v>238</v>
      </c>
      <c r="C21" s="20">
        <v>19</v>
      </c>
      <c r="D21" s="20" t="s">
        <v>238</v>
      </c>
      <c r="E21" s="20">
        <v>8340523512</v>
      </c>
      <c r="F21" s="20" t="s">
        <v>36</v>
      </c>
      <c r="G21" s="27" t="s">
        <v>38</v>
      </c>
      <c r="H21" s="19">
        <f t="shared" si="0"/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N21" s="21"/>
      <c r="AO21" s="21"/>
      <c r="AP21" s="21"/>
      <c r="AQ21" s="21"/>
      <c r="AR21" s="21"/>
      <c r="AS21" s="21"/>
      <c r="AT21" s="21"/>
      <c r="AU21" s="21"/>
      <c r="AV21" s="21"/>
    </row>
    <row r="22" spans="1:48">
      <c r="A22" s="20">
        <v>20</v>
      </c>
      <c r="C22" s="20">
        <v>20</v>
      </c>
      <c r="D22" s="20" t="s">
        <v>239</v>
      </c>
      <c r="E22" s="20">
        <v>8825310472</v>
      </c>
      <c r="F22" s="20" t="s">
        <v>36</v>
      </c>
      <c r="G22" s="27" t="s">
        <v>39</v>
      </c>
      <c r="H22" s="19">
        <f t="shared" si="0"/>
        <v>1000</v>
      </c>
      <c r="I22" s="21"/>
      <c r="J22" s="21"/>
      <c r="K22" s="21">
        <v>1000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 spans="1:48">
      <c r="A23" s="20">
        <v>21</v>
      </c>
      <c r="B23" s="20" t="s">
        <v>240</v>
      </c>
      <c r="C23" s="20">
        <v>21</v>
      </c>
      <c r="D23" s="20" t="s">
        <v>240</v>
      </c>
      <c r="E23" s="20">
        <v>7004478123</v>
      </c>
      <c r="F23" s="20" t="s">
        <v>36</v>
      </c>
      <c r="G23" s="27" t="s">
        <v>40</v>
      </c>
      <c r="H23" s="19">
        <f t="shared" si="0"/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N23" s="21"/>
      <c r="AO23" s="21"/>
      <c r="AP23" s="21"/>
      <c r="AQ23" s="21"/>
      <c r="AR23" s="21"/>
      <c r="AS23" s="21"/>
      <c r="AT23" s="21"/>
      <c r="AU23" s="21"/>
      <c r="AV23" s="21"/>
    </row>
    <row r="24" spans="1:48">
      <c r="A24" s="20">
        <v>22</v>
      </c>
      <c r="C24" s="20">
        <v>22</v>
      </c>
      <c r="E24" s="20">
        <v>7667895364</v>
      </c>
      <c r="F24" s="20" t="s">
        <v>36</v>
      </c>
      <c r="G24" s="27" t="s">
        <v>41</v>
      </c>
      <c r="H24" s="19">
        <f t="shared" si="0"/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 spans="1:48">
      <c r="A25" s="20">
        <v>23</v>
      </c>
      <c r="B25" s="20" t="s">
        <v>241</v>
      </c>
      <c r="C25" s="20">
        <v>23</v>
      </c>
      <c r="D25" s="20" t="s">
        <v>241</v>
      </c>
      <c r="E25" s="20">
        <v>7006041121</v>
      </c>
      <c r="F25" s="20" t="s">
        <v>36</v>
      </c>
      <c r="G25" s="27" t="s">
        <v>42</v>
      </c>
      <c r="H25" s="19">
        <f t="shared" si="0"/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N25" s="21"/>
      <c r="AO25" s="21"/>
      <c r="AP25" s="21"/>
      <c r="AQ25" s="21"/>
      <c r="AR25" s="21"/>
      <c r="AS25" s="21"/>
      <c r="AT25" s="21"/>
      <c r="AU25" s="21"/>
      <c r="AV25" s="21"/>
    </row>
    <row r="26" spans="1:48">
      <c r="A26" s="20">
        <v>24</v>
      </c>
      <c r="B26" s="20" t="s">
        <v>242</v>
      </c>
      <c r="C26" s="20">
        <v>24</v>
      </c>
      <c r="D26" s="20" t="s">
        <v>242</v>
      </c>
      <c r="E26" s="20">
        <v>8709658240</v>
      </c>
      <c r="F26" s="20" t="s">
        <v>36</v>
      </c>
      <c r="G26" s="27" t="s">
        <v>43</v>
      </c>
      <c r="H26" s="19">
        <f t="shared" si="0"/>
        <v>5000</v>
      </c>
      <c r="I26" s="21"/>
      <c r="J26" s="21"/>
      <c r="K26" s="30">
        <v>5000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N26" s="21"/>
      <c r="AO26" s="21"/>
      <c r="AP26" s="21"/>
      <c r="AQ26" s="21"/>
      <c r="AR26" s="21"/>
      <c r="AS26" s="21"/>
      <c r="AT26" s="21"/>
      <c r="AU26" s="21"/>
      <c r="AV26" s="21"/>
    </row>
    <row r="27" spans="1:48">
      <c r="A27" s="20">
        <v>25</v>
      </c>
      <c r="C27" s="20">
        <v>25</v>
      </c>
      <c r="E27" s="20">
        <v>8709612020</v>
      </c>
      <c r="F27" s="20" t="s">
        <v>36</v>
      </c>
      <c r="G27" s="27" t="s">
        <v>44</v>
      </c>
      <c r="H27" s="19">
        <f t="shared" si="0"/>
        <v>4000</v>
      </c>
      <c r="I27" s="21"/>
      <c r="J27" s="21">
        <v>3000</v>
      </c>
      <c r="K27" s="21">
        <v>1000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N27" s="21"/>
      <c r="AO27" s="21"/>
      <c r="AP27" s="21"/>
      <c r="AQ27" s="21"/>
      <c r="AR27" s="21"/>
      <c r="AS27" s="21"/>
      <c r="AT27" s="21"/>
      <c r="AU27" s="21"/>
      <c r="AV27" s="21"/>
    </row>
    <row r="28" spans="1:48">
      <c r="A28" s="20">
        <v>26</v>
      </c>
      <c r="C28" s="20">
        <v>26</v>
      </c>
      <c r="D28" s="20" t="s">
        <v>243</v>
      </c>
      <c r="E28" s="20">
        <v>9973040600</v>
      </c>
      <c r="F28" s="20" t="s">
        <v>36</v>
      </c>
      <c r="G28" s="27" t="s">
        <v>45</v>
      </c>
      <c r="H28" s="19">
        <f t="shared" si="0"/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 spans="1:48">
      <c r="A29" s="20">
        <v>27</v>
      </c>
      <c r="C29" s="20">
        <v>27</v>
      </c>
      <c r="D29" s="20" t="s">
        <v>244</v>
      </c>
      <c r="E29" s="20">
        <v>9973345687</v>
      </c>
      <c r="F29" s="20" t="s">
        <v>36</v>
      </c>
      <c r="G29" s="27" t="s">
        <v>46</v>
      </c>
      <c r="H29" s="19">
        <f t="shared" si="0"/>
        <v>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N29" s="21"/>
      <c r="AO29" s="21"/>
      <c r="AP29" s="21"/>
      <c r="AQ29" s="21"/>
      <c r="AR29" s="21"/>
      <c r="AS29" s="21"/>
      <c r="AT29" s="21"/>
      <c r="AU29" s="21"/>
      <c r="AV29" s="21"/>
    </row>
    <row r="30" spans="1:48">
      <c r="A30" s="20">
        <v>28</v>
      </c>
      <c r="C30" s="20">
        <v>28</v>
      </c>
      <c r="E30" s="20">
        <v>9631391206</v>
      </c>
      <c r="F30" s="20" t="s">
        <v>36</v>
      </c>
      <c r="G30" s="27" t="s">
        <v>47</v>
      </c>
      <c r="H30" s="19">
        <f t="shared" si="0"/>
        <v>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N30" s="21"/>
      <c r="AO30" s="21"/>
      <c r="AP30" s="21"/>
      <c r="AQ30" s="21"/>
      <c r="AR30" s="21"/>
      <c r="AS30" s="21"/>
      <c r="AT30" s="21"/>
      <c r="AU30" s="21"/>
      <c r="AV30" s="21"/>
    </row>
    <row r="31" spans="1:48">
      <c r="A31" s="20">
        <v>29</v>
      </c>
      <c r="B31" s="20" t="s">
        <v>245</v>
      </c>
      <c r="C31" s="20">
        <v>29</v>
      </c>
      <c r="D31" s="20" t="s">
        <v>246</v>
      </c>
      <c r="F31" s="20" t="s">
        <v>36</v>
      </c>
      <c r="G31" s="27" t="s">
        <v>48</v>
      </c>
      <c r="H31" s="19">
        <f t="shared" si="0"/>
        <v>2000</v>
      </c>
      <c r="I31" s="21"/>
      <c r="J31" s="30">
        <v>2000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N31" s="21"/>
      <c r="AO31" s="21"/>
      <c r="AP31" s="21"/>
      <c r="AQ31" s="21"/>
      <c r="AR31" s="21"/>
      <c r="AS31" s="21"/>
      <c r="AT31" s="21"/>
      <c r="AU31" s="21"/>
      <c r="AV31" s="21"/>
    </row>
    <row r="32" spans="1:48">
      <c r="A32" s="20">
        <v>30</v>
      </c>
      <c r="B32" s="20" t="s">
        <v>247</v>
      </c>
      <c r="C32" s="20">
        <v>30</v>
      </c>
      <c r="D32" s="20" t="s">
        <v>248</v>
      </c>
      <c r="F32" s="20" t="s">
        <v>36</v>
      </c>
      <c r="G32" s="27" t="s">
        <v>49</v>
      </c>
      <c r="H32" s="19">
        <f t="shared" si="0"/>
        <v>10000</v>
      </c>
      <c r="I32" s="30">
        <v>10000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N32" s="21"/>
      <c r="AO32" s="21"/>
      <c r="AP32" s="21"/>
      <c r="AQ32" s="21"/>
      <c r="AR32" s="21"/>
      <c r="AS32" s="21"/>
      <c r="AT32" s="21"/>
      <c r="AU32" s="21"/>
      <c r="AV32" s="21"/>
    </row>
    <row r="33" spans="1:48">
      <c r="A33" s="20">
        <v>31</v>
      </c>
      <c r="C33" s="20">
        <v>31</v>
      </c>
      <c r="F33" s="20" t="s">
        <v>36</v>
      </c>
      <c r="G33" s="27" t="s">
        <v>50</v>
      </c>
      <c r="H33" s="19">
        <f t="shared" si="0"/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N33" s="21"/>
      <c r="AO33" s="21"/>
      <c r="AP33" s="21"/>
      <c r="AQ33" s="21"/>
      <c r="AR33" s="21"/>
      <c r="AS33" s="21"/>
      <c r="AT33" s="21"/>
      <c r="AU33" s="21"/>
      <c r="AV33" s="21"/>
    </row>
    <row r="34" spans="1:48">
      <c r="A34" s="20">
        <v>32</v>
      </c>
      <c r="B34" s="20" t="s">
        <v>249</v>
      </c>
      <c r="C34" s="20">
        <v>32</v>
      </c>
      <c r="D34" s="20" t="s">
        <v>249</v>
      </c>
      <c r="F34" s="20" t="s">
        <v>51</v>
      </c>
      <c r="G34" s="27" t="s">
        <v>52</v>
      </c>
      <c r="H34" s="19">
        <f t="shared" si="0"/>
        <v>2000</v>
      </c>
      <c r="I34" s="21">
        <v>2000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spans="1:48">
      <c r="A35" s="20">
        <v>33</v>
      </c>
      <c r="C35" s="20">
        <v>33</v>
      </c>
      <c r="D35" s="20" t="s">
        <v>250</v>
      </c>
      <c r="F35" s="20" t="s">
        <v>51</v>
      </c>
      <c r="G35" s="27" t="s">
        <v>53</v>
      </c>
      <c r="H35" s="19">
        <f t="shared" si="0"/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N35" s="21"/>
      <c r="AO35" s="21"/>
      <c r="AP35" s="21"/>
      <c r="AQ35" s="21"/>
      <c r="AR35" s="21"/>
      <c r="AS35" s="21"/>
      <c r="AT35" s="21"/>
      <c r="AU35" s="21"/>
      <c r="AV35" s="21"/>
    </row>
    <row r="36" spans="1:48">
      <c r="A36" s="20">
        <v>34</v>
      </c>
      <c r="C36" s="20">
        <v>34</v>
      </c>
      <c r="D36" s="20" t="s">
        <v>251</v>
      </c>
      <c r="E36" s="20">
        <v>7654800030</v>
      </c>
      <c r="F36" s="20" t="s">
        <v>51</v>
      </c>
      <c r="G36" s="27" t="s">
        <v>54</v>
      </c>
      <c r="H36" s="19">
        <f t="shared" ref="H36:H67" si="2">SUM(I36:AM36)</f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N36" s="21"/>
      <c r="AO36" s="21"/>
      <c r="AP36" s="21"/>
      <c r="AQ36" s="21"/>
      <c r="AR36" s="21"/>
      <c r="AS36" s="21"/>
      <c r="AT36" s="21"/>
      <c r="AU36" s="21"/>
      <c r="AV36" s="21"/>
    </row>
    <row r="37" spans="1:48">
      <c r="A37" s="20">
        <v>35</v>
      </c>
      <c r="C37" s="20">
        <v>35</v>
      </c>
      <c r="D37" s="20" t="s">
        <v>252</v>
      </c>
      <c r="F37" s="20" t="s">
        <v>51</v>
      </c>
      <c r="G37" s="27" t="s">
        <v>55</v>
      </c>
      <c r="H37" s="19">
        <f t="shared" si="2"/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N37" s="21"/>
      <c r="AO37" s="21"/>
      <c r="AP37" s="21"/>
      <c r="AQ37" s="21"/>
      <c r="AR37" s="21"/>
      <c r="AS37" s="21"/>
      <c r="AT37" s="21"/>
      <c r="AU37" s="21"/>
      <c r="AV37" s="21"/>
    </row>
    <row r="38" spans="1:48">
      <c r="A38" s="20">
        <v>36</v>
      </c>
      <c r="C38" s="20">
        <v>36</v>
      </c>
      <c r="F38" s="20" t="s">
        <v>51</v>
      </c>
      <c r="G38" s="27" t="s">
        <v>56</v>
      </c>
      <c r="H38" s="19">
        <f t="shared" si="2"/>
        <v>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N38" s="21"/>
      <c r="AO38" s="21"/>
      <c r="AP38" s="21"/>
      <c r="AQ38" s="21"/>
      <c r="AR38" s="21"/>
      <c r="AS38" s="21"/>
      <c r="AT38" s="21"/>
      <c r="AU38" s="21"/>
      <c r="AV38" s="21"/>
    </row>
    <row r="39" spans="1:48">
      <c r="A39" s="20">
        <v>37</v>
      </c>
      <c r="B39" s="20" t="s">
        <v>253</v>
      </c>
      <c r="C39" s="20">
        <v>37</v>
      </c>
      <c r="D39" s="20" t="s">
        <v>253</v>
      </c>
      <c r="F39" s="20" t="s">
        <v>51</v>
      </c>
      <c r="G39" s="27" t="s">
        <v>57</v>
      </c>
      <c r="H39" s="19">
        <f t="shared" si="2"/>
        <v>5000</v>
      </c>
      <c r="I39" s="30">
        <v>5000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N39" s="21"/>
      <c r="AO39" s="21"/>
      <c r="AP39" s="21"/>
      <c r="AQ39" s="21"/>
      <c r="AR39" s="21"/>
      <c r="AS39" s="21"/>
      <c r="AT39" s="21"/>
      <c r="AU39" s="21"/>
      <c r="AV39" s="21"/>
    </row>
    <row r="40" spans="1:48">
      <c r="A40" s="20">
        <v>38</v>
      </c>
      <c r="B40" s="20" t="s">
        <v>254</v>
      </c>
      <c r="C40" s="20">
        <v>38</v>
      </c>
      <c r="D40" s="20" t="s">
        <v>254</v>
      </c>
      <c r="E40" s="20" t="s">
        <v>255</v>
      </c>
      <c r="F40" s="20" t="s">
        <v>51</v>
      </c>
      <c r="G40" s="27" t="s">
        <v>58</v>
      </c>
      <c r="H40" s="19">
        <f t="shared" si="2"/>
        <v>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N40" s="21"/>
      <c r="AO40" s="21"/>
      <c r="AP40" s="21"/>
      <c r="AQ40" s="21"/>
      <c r="AR40" s="21"/>
      <c r="AS40" s="21"/>
      <c r="AT40" s="21"/>
      <c r="AU40" s="21"/>
      <c r="AV40" s="21"/>
    </row>
    <row r="41" spans="1:48">
      <c r="A41" s="20">
        <v>39</v>
      </c>
      <c r="C41" s="20">
        <v>39</v>
      </c>
      <c r="D41" s="20" t="s">
        <v>256</v>
      </c>
      <c r="F41" s="20" t="s">
        <v>51</v>
      </c>
      <c r="G41" s="27" t="s">
        <v>59</v>
      </c>
      <c r="H41" s="19">
        <f t="shared" si="2"/>
        <v>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N41" s="21"/>
      <c r="AO41" s="21"/>
      <c r="AP41" s="21"/>
      <c r="AQ41" s="21"/>
      <c r="AR41" s="21"/>
      <c r="AS41" s="21"/>
      <c r="AT41" s="21"/>
      <c r="AU41" s="21"/>
      <c r="AV41" s="21"/>
    </row>
    <row r="42" spans="1:48">
      <c r="A42" s="20">
        <v>40</v>
      </c>
      <c r="C42" s="20">
        <v>40</v>
      </c>
      <c r="D42" s="20" t="s">
        <v>257</v>
      </c>
      <c r="F42" s="20" t="s">
        <v>51</v>
      </c>
      <c r="G42" s="27" t="s">
        <v>60</v>
      </c>
      <c r="H42" s="19">
        <f t="shared" si="2"/>
        <v>2000</v>
      </c>
      <c r="I42" s="21"/>
      <c r="J42" s="21">
        <v>2000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N42" s="21"/>
      <c r="AO42" s="21"/>
      <c r="AP42" s="21"/>
      <c r="AQ42" s="21"/>
      <c r="AR42" s="21"/>
      <c r="AS42" s="21"/>
      <c r="AT42" s="21"/>
      <c r="AU42" s="21"/>
      <c r="AV42" s="21"/>
    </row>
    <row r="43" spans="1:48">
      <c r="A43" s="20">
        <v>41</v>
      </c>
      <c r="C43" s="20">
        <v>41</v>
      </c>
      <c r="D43" s="20" t="s">
        <v>258</v>
      </c>
      <c r="E43" s="20">
        <v>8210095108</v>
      </c>
      <c r="F43" s="20" t="s">
        <v>51</v>
      </c>
      <c r="G43" s="27" t="s">
        <v>61</v>
      </c>
      <c r="H43" s="19">
        <f t="shared" si="2"/>
        <v>2000</v>
      </c>
      <c r="I43" s="21"/>
      <c r="J43" s="21"/>
      <c r="K43" s="21">
        <v>2000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N43" s="21"/>
      <c r="AO43" s="21"/>
      <c r="AP43" s="21"/>
      <c r="AQ43" s="21"/>
      <c r="AR43" s="21"/>
      <c r="AS43" s="21"/>
      <c r="AT43" s="21"/>
      <c r="AU43" s="21"/>
      <c r="AV43" s="21"/>
    </row>
    <row r="44" spans="1:48">
      <c r="A44" s="20">
        <v>42</v>
      </c>
      <c r="C44" s="20">
        <v>42</v>
      </c>
      <c r="D44" s="20" t="s">
        <v>259</v>
      </c>
      <c r="F44" s="20" t="s">
        <v>51</v>
      </c>
      <c r="G44" s="27" t="s">
        <v>62</v>
      </c>
      <c r="H44" s="19">
        <f t="shared" si="2"/>
        <v>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N44" s="21"/>
      <c r="AO44" s="21"/>
      <c r="AP44" s="21"/>
      <c r="AQ44" s="21"/>
      <c r="AR44" s="21"/>
      <c r="AS44" s="21"/>
      <c r="AT44" s="21"/>
      <c r="AU44" s="21"/>
      <c r="AV44" s="21"/>
    </row>
    <row r="45" spans="1:48">
      <c r="A45" s="20">
        <v>43</v>
      </c>
      <c r="C45" s="20">
        <v>43</v>
      </c>
      <c r="D45" s="20" t="s">
        <v>260</v>
      </c>
      <c r="F45" s="20" t="s">
        <v>51</v>
      </c>
      <c r="G45" s="27" t="s">
        <v>63</v>
      </c>
      <c r="H45" s="19">
        <f t="shared" si="2"/>
        <v>5000</v>
      </c>
      <c r="I45" s="21"/>
      <c r="J45" s="21">
        <v>5000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N45" s="21"/>
      <c r="AO45" s="21"/>
      <c r="AP45" s="21"/>
      <c r="AQ45" s="21"/>
      <c r="AR45" s="21"/>
      <c r="AS45" s="21"/>
      <c r="AT45" s="21"/>
      <c r="AU45" s="21"/>
      <c r="AV45" s="21"/>
    </row>
    <row r="46" spans="1:48">
      <c r="A46" s="20">
        <v>44</v>
      </c>
      <c r="B46" s="20" t="s">
        <v>261</v>
      </c>
      <c r="C46" s="20">
        <v>44</v>
      </c>
      <c r="D46" s="20" t="s">
        <v>261</v>
      </c>
      <c r="F46" s="20" t="s">
        <v>64</v>
      </c>
      <c r="G46" s="27" t="s">
        <v>65</v>
      </c>
      <c r="H46" s="19">
        <f t="shared" si="2"/>
        <v>6000</v>
      </c>
      <c r="I46" s="21"/>
      <c r="J46" s="21"/>
      <c r="K46" s="21"/>
      <c r="L46" s="30">
        <v>6000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N46" s="21"/>
      <c r="AO46" s="21"/>
      <c r="AP46" s="21"/>
      <c r="AQ46" s="21"/>
      <c r="AR46" s="21"/>
      <c r="AS46" s="21"/>
      <c r="AT46" s="21"/>
      <c r="AU46" s="21"/>
      <c r="AV46" s="21"/>
    </row>
    <row r="47" spans="1:48">
      <c r="A47" s="20">
        <v>45</v>
      </c>
      <c r="C47" s="20">
        <v>45</v>
      </c>
      <c r="D47" s="20" t="s">
        <v>262</v>
      </c>
      <c r="F47" s="20" t="s">
        <v>64</v>
      </c>
      <c r="G47" s="27" t="s">
        <v>66</v>
      </c>
      <c r="H47" s="19">
        <f t="shared" si="2"/>
        <v>4000</v>
      </c>
      <c r="I47" s="21"/>
      <c r="J47" s="21"/>
      <c r="K47" s="21">
        <v>4000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N47" s="21"/>
      <c r="AO47" s="21"/>
      <c r="AP47" s="21"/>
      <c r="AQ47" s="21"/>
      <c r="AR47" s="21"/>
      <c r="AS47" s="21"/>
      <c r="AT47" s="21"/>
      <c r="AU47" s="21"/>
      <c r="AV47" s="21"/>
    </row>
    <row r="48" spans="1:48">
      <c r="A48" s="20">
        <v>46</v>
      </c>
      <c r="B48" s="20" t="s">
        <v>263</v>
      </c>
      <c r="C48" s="20">
        <v>46</v>
      </c>
      <c r="D48" s="20" t="s">
        <v>263</v>
      </c>
      <c r="E48" s="20">
        <v>7004729703</v>
      </c>
      <c r="F48" s="20" t="s">
        <v>64</v>
      </c>
      <c r="G48" s="27" t="s">
        <v>67</v>
      </c>
      <c r="H48" s="19">
        <f t="shared" si="2"/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N48" s="21"/>
      <c r="AO48" s="21"/>
      <c r="AP48" s="21"/>
      <c r="AQ48" s="21"/>
      <c r="AR48" s="21"/>
      <c r="AS48" s="21"/>
      <c r="AT48" s="21"/>
      <c r="AU48" s="21"/>
      <c r="AV48" s="21"/>
    </row>
    <row r="49" spans="1:48">
      <c r="A49" s="20">
        <v>47</v>
      </c>
      <c r="B49" s="20" t="s">
        <v>264</v>
      </c>
      <c r="C49" s="20">
        <v>47</v>
      </c>
      <c r="D49" s="20" t="s">
        <v>264</v>
      </c>
      <c r="E49" s="20">
        <v>8863097933</v>
      </c>
      <c r="F49" s="20" t="s">
        <v>64</v>
      </c>
      <c r="G49" s="27" t="s">
        <v>68</v>
      </c>
      <c r="H49" s="19">
        <f t="shared" si="2"/>
        <v>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N49" s="21"/>
      <c r="AO49" s="21"/>
      <c r="AP49" s="21"/>
      <c r="AQ49" s="21"/>
      <c r="AR49" s="21"/>
      <c r="AS49" s="21"/>
      <c r="AT49" s="21"/>
      <c r="AU49" s="21"/>
      <c r="AV49" s="21"/>
    </row>
    <row r="50" spans="1:48">
      <c r="A50" s="20">
        <v>48</v>
      </c>
      <c r="B50" s="20" t="s">
        <v>265</v>
      </c>
      <c r="C50" s="20">
        <v>48</v>
      </c>
      <c r="D50" s="20" t="s">
        <v>265</v>
      </c>
      <c r="E50" s="20">
        <v>9835443096</v>
      </c>
      <c r="F50" s="20" t="s">
        <v>64</v>
      </c>
      <c r="G50" s="27" t="s">
        <v>69</v>
      </c>
      <c r="H50" s="19">
        <f t="shared" si="2"/>
        <v>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N50" s="21"/>
      <c r="AO50" s="21"/>
      <c r="AP50" s="21"/>
      <c r="AQ50" s="21"/>
      <c r="AR50" s="21"/>
      <c r="AS50" s="21"/>
      <c r="AT50" s="21"/>
      <c r="AU50" s="21"/>
      <c r="AV50" s="21"/>
    </row>
    <row r="51" spans="1:48">
      <c r="A51" s="20">
        <v>49</v>
      </c>
      <c r="B51" s="20" t="s">
        <v>266</v>
      </c>
      <c r="C51" s="20">
        <v>49</v>
      </c>
      <c r="D51" s="20" t="s">
        <v>267</v>
      </c>
      <c r="F51" s="20" t="s">
        <v>64</v>
      </c>
      <c r="G51" s="27" t="s">
        <v>70</v>
      </c>
      <c r="H51" s="19">
        <f t="shared" si="2"/>
        <v>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N51" s="21"/>
      <c r="AO51" s="21"/>
      <c r="AP51" s="21"/>
      <c r="AQ51" s="21"/>
      <c r="AR51" s="21"/>
      <c r="AS51" s="21"/>
      <c r="AT51" s="21"/>
      <c r="AU51" s="21"/>
      <c r="AV51" s="21"/>
    </row>
    <row r="52" spans="1:48">
      <c r="A52" s="20">
        <v>50</v>
      </c>
      <c r="C52" s="20">
        <v>50</v>
      </c>
      <c r="F52" s="20" t="s">
        <v>64</v>
      </c>
      <c r="G52" s="27" t="s">
        <v>71</v>
      </c>
      <c r="H52" s="19">
        <f t="shared" si="2"/>
        <v>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N52" s="21"/>
      <c r="AO52" s="21"/>
      <c r="AP52" s="21"/>
      <c r="AQ52" s="21"/>
      <c r="AR52" s="21"/>
      <c r="AS52" s="21"/>
      <c r="AT52" s="21"/>
      <c r="AU52" s="21"/>
      <c r="AV52" s="21"/>
    </row>
    <row r="53" spans="1:48">
      <c r="A53" s="20">
        <v>51</v>
      </c>
      <c r="B53" s="20" t="s">
        <v>268</v>
      </c>
      <c r="C53" s="20">
        <v>51</v>
      </c>
      <c r="D53" s="20" t="s">
        <v>268</v>
      </c>
      <c r="F53" s="20" t="s">
        <v>64</v>
      </c>
      <c r="G53" s="27" t="s">
        <v>72</v>
      </c>
      <c r="H53" s="19">
        <f t="shared" si="2"/>
        <v>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N53" s="21"/>
      <c r="AO53" s="21"/>
      <c r="AP53" s="21"/>
      <c r="AQ53" s="21"/>
      <c r="AR53" s="21"/>
      <c r="AS53" s="21"/>
      <c r="AT53" s="21"/>
      <c r="AU53" s="21"/>
      <c r="AV53" s="21"/>
    </row>
    <row r="54" spans="1:48">
      <c r="A54" s="20">
        <v>52</v>
      </c>
      <c r="C54" s="20">
        <v>52</v>
      </c>
      <c r="F54" s="20" t="s">
        <v>64</v>
      </c>
      <c r="G54" s="27" t="s">
        <v>73</v>
      </c>
      <c r="H54" s="19">
        <f t="shared" si="2"/>
        <v>6000</v>
      </c>
      <c r="I54" s="21"/>
      <c r="J54" s="21"/>
      <c r="K54" s="21"/>
      <c r="L54" s="30">
        <v>6000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N54" s="21"/>
      <c r="AO54" s="21"/>
      <c r="AP54" s="21"/>
      <c r="AQ54" s="21"/>
      <c r="AR54" s="21"/>
      <c r="AS54" s="21"/>
      <c r="AT54" s="21"/>
      <c r="AU54" s="21"/>
      <c r="AV54" s="21"/>
    </row>
    <row r="55" spans="1:48">
      <c r="A55" s="20">
        <v>53</v>
      </c>
      <c r="B55" s="20" t="s">
        <v>269</v>
      </c>
      <c r="C55" s="20">
        <v>53</v>
      </c>
      <c r="D55" s="20" t="s">
        <v>269</v>
      </c>
      <c r="F55" s="20" t="s">
        <v>64</v>
      </c>
      <c r="G55" s="27" t="s">
        <v>74</v>
      </c>
      <c r="H55" s="19">
        <f t="shared" si="2"/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N55" s="21"/>
      <c r="AO55" s="21"/>
      <c r="AP55" s="21"/>
      <c r="AQ55" s="21"/>
      <c r="AR55" s="21"/>
      <c r="AS55" s="21"/>
      <c r="AT55" s="21"/>
      <c r="AU55" s="21"/>
      <c r="AV55" s="21"/>
    </row>
    <row r="56" spans="1:48">
      <c r="A56" s="20">
        <v>54</v>
      </c>
      <c r="B56" s="20" t="s">
        <v>270</v>
      </c>
      <c r="C56" s="20">
        <v>54</v>
      </c>
      <c r="D56" s="20" t="s">
        <v>270</v>
      </c>
      <c r="F56" s="20" t="s">
        <v>64</v>
      </c>
      <c r="G56" s="27" t="s">
        <v>75</v>
      </c>
      <c r="H56" s="19">
        <f t="shared" si="2"/>
        <v>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N56" s="21"/>
      <c r="AO56" s="21"/>
      <c r="AP56" s="21"/>
      <c r="AQ56" s="21"/>
      <c r="AR56" s="21"/>
      <c r="AS56" s="21"/>
      <c r="AT56" s="21"/>
      <c r="AU56" s="21"/>
      <c r="AV56" s="21"/>
    </row>
    <row r="57" spans="1:48">
      <c r="A57" s="20">
        <v>55</v>
      </c>
      <c r="C57" s="20">
        <v>55</v>
      </c>
      <c r="E57" s="20">
        <v>6202424016</v>
      </c>
      <c r="F57" s="20" t="s">
        <v>64</v>
      </c>
      <c r="G57" s="27" t="s">
        <v>76</v>
      </c>
      <c r="H57" s="19">
        <f t="shared" si="2"/>
        <v>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N57" s="21"/>
      <c r="AO57" s="21"/>
      <c r="AP57" s="21"/>
      <c r="AQ57" s="21"/>
      <c r="AR57" s="21"/>
      <c r="AS57" s="21"/>
      <c r="AT57" s="21"/>
      <c r="AU57" s="21"/>
      <c r="AV57" s="21"/>
    </row>
    <row r="58" spans="1:48">
      <c r="A58" s="20">
        <v>56</v>
      </c>
      <c r="C58" s="20">
        <v>56</v>
      </c>
      <c r="D58" s="20" t="s">
        <v>271</v>
      </c>
      <c r="E58" s="20">
        <v>7004211364</v>
      </c>
      <c r="F58" s="20" t="s">
        <v>77</v>
      </c>
      <c r="G58" s="27" t="s">
        <v>78</v>
      </c>
      <c r="H58" s="19">
        <f t="shared" si="2"/>
        <v>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N58" s="21"/>
      <c r="AO58" s="21"/>
      <c r="AP58" s="21"/>
      <c r="AQ58" s="21"/>
      <c r="AR58" s="21"/>
      <c r="AS58" s="21"/>
      <c r="AT58" s="21"/>
      <c r="AU58" s="21"/>
      <c r="AV58" s="21"/>
    </row>
    <row r="59" spans="1:48">
      <c r="A59" s="20">
        <v>57</v>
      </c>
      <c r="B59" s="20" t="s">
        <v>272</v>
      </c>
      <c r="C59" s="20">
        <v>57</v>
      </c>
      <c r="D59" s="20" t="s">
        <v>273</v>
      </c>
      <c r="F59" s="20" t="s">
        <v>77</v>
      </c>
      <c r="G59" s="27" t="s">
        <v>79</v>
      </c>
      <c r="H59" s="19">
        <f t="shared" si="2"/>
        <v>10000</v>
      </c>
      <c r="I59" s="21">
        <v>10000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spans="1:48">
      <c r="A60" s="20">
        <v>58</v>
      </c>
      <c r="C60" s="20">
        <v>58</v>
      </c>
      <c r="D60" s="20" t="s">
        <v>274</v>
      </c>
      <c r="F60" s="20" t="s">
        <v>77</v>
      </c>
      <c r="G60" s="27" t="s">
        <v>80</v>
      </c>
      <c r="H60" s="19">
        <f t="shared" si="2"/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spans="1:48">
      <c r="A61" s="20">
        <v>59</v>
      </c>
      <c r="C61" s="20">
        <v>59</v>
      </c>
      <c r="D61" s="20" t="s">
        <v>275</v>
      </c>
      <c r="E61" s="20">
        <v>9798805204</v>
      </c>
      <c r="F61" s="20" t="s">
        <v>77</v>
      </c>
      <c r="G61" s="27" t="s">
        <v>81</v>
      </c>
      <c r="H61" s="19">
        <f t="shared" si="2"/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spans="1:48">
      <c r="A62" s="20">
        <v>60</v>
      </c>
      <c r="B62" s="20" t="s">
        <v>276</v>
      </c>
      <c r="C62" s="20">
        <v>60</v>
      </c>
      <c r="D62" s="20" t="s">
        <v>276</v>
      </c>
      <c r="E62" s="20">
        <v>9504958065</v>
      </c>
      <c r="F62" s="20" t="s">
        <v>277</v>
      </c>
      <c r="G62" s="27" t="s">
        <v>83</v>
      </c>
      <c r="H62" s="19">
        <f t="shared" si="2"/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spans="1:48">
      <c r="A63" s="20">
        <v>61</v>
      </c>
      <c r="C63" s="20">
        <v>61</v>
      </c>
      <c r="E63" s="20">
        <v>9852299192</v>
      </c>
      <c r="F63" s="20" t="s">
        <v>277</v>
      </c>
      <c r="G63" s="27" t="s">
        <v>84</v>
      </c>
      <c r="H63" s="19">
        <f t="shared" si="2"/>
        <v>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spans="1:48">
      <c r="A64" s="20">
        <v>62</v>
      </c>
      <c r="B64" s="20" t="s">
        <v>278</v>
      </c>
      <c r="C64" s="20">
        <v>62</v>
      </c>
      <c r="D64" s="20" t="s">
        <v>279</v>
      </c>
      <c r="E64" s="20" t="s">
        <v>280</v>
      </c>
      <c r="F64" s="20" t="s">
        <v>277</v>
      </c>
      <c r="G64" s="27" t="s">
        <v>87</v>
      </c>
      <c r="H64" s="19">
        <f t="shared" si="2"/>
        <v>5000</v>
      </c>
      <c r="I64" s="21"/>
      <c r="J64" s="30">
        <v>5000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spans="1:48">
      <c r="A65" s="20">
        <v>63</v>
      </c>
      <c r="B65" s="20" t="s">
        <v>281</v>
      </c>
      <c r="C65" s="20">
        <v>63</v>
      </c>
      <c r="D65" s="20" t="s">
        <v>282</v>
      </c>
      <c r="E65" s="20">
        <v>7004399486</v>
      </c>
      <c r="F65" s="20" t="s">
        <v>88</v>
      </c>
      <c r="G65" s="20" t="s">
        <v>89</v>
      </c>
      <c r="H65" s="19">
        <f t="shared" si="2"/>
        <v>2000</v>
      </c>
      <c r="I65" s="21"/>
      <c r="J65" s="21"/>
      <c r="K65" s="21"/>
      <c r="L65" s="30">
        <v>2000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N65" s="21"/>
      <c r="AO65" s="21"/>
      <c r="AP65" s="21"/>
      <c r="AQ65" s="21"/>
      <c r="AR65" s="21"/>
      <c r="AS65" s="21"/>
      <c r="AT65" s="21"/>
      <c r="AU65" s="21"/>
      <c r="AV65" s="21"/>
    </row>
    <row r="66" spans="1:48">
      <c r="A66" s="20">
        <v>64</v>
      </c>
      <c r="B66" s="20" t="s">
        <v>283</v>
      </c>
      <c r="C66" s="20">
        <v>64</v>
      </c>
      <c r="D66" s="20" t="s">
        <v>284</v>
      </c>
      <c r="F66" s="20" t="s">
        <v>88</v>
      </c>
      <c r="G66" s="27" t="s">
        <v>90</v>
      </c>
      <c r="H66" s="19">
        <f t="shared" si="2"/>
        <v>2000</v>
      </c>
      <c r="I66" s="21"/>
      <c r="J66" s="30">
        <v>2000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N66" s="21"/>
      <c r="AO66" s="21"/>
      <c r="AP66" s="21"/>
      <c r="AQ66" s="21"/>
      <c r="AR66" s="21"/>
      <c r="AS66" s="21"/>
      <c r="AT66" s="21"/>
      <c r="AU66" s="21"/>
      <c r="AV66" s="21"/>
    </row>
    <row r="67" spans="1:48">
      <c r="A67" s="20">
        <v>65</v>
      </c>
      <c r="C67" s="20">
        <v>65</v>
      </c>
      <c r="D67" s="20" t="s">
        <v>285</v>
      </c>
      <c r="F67" s="20" t="s">
        <v>91</v>
      </c>
      <c r="G67" s="27" t="s">
        <v>92</v>
      </c>
      <c r="H67" s="19">
        <f t="shared" si="2"/>
        <v>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 spans="1:48">
      <c r="A68" s="20">
        <v>66</v>
      </c>
      <c r="C68" s="20">
        <v>66</v>
      </c>
      <c r="F68" s="20" t="s">
        <v>93</v>
      </c>
      <c r="G68" s="27" t="s">
        <v>94</v>
      </c>
      <c r="H68" s="19">
        <f t="shared" ref="H68:H97" si="3">SUM(I68:AM68)</f>
        <v>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N68" s="21"/>
      <c r="AO68" s="21"/>
      <c r="AP68" s="21"/>
      <c r="AQ68" s="21"/>
      <c r="AR68" s="21"/>
      <c r="AS68" s="21"/>
      <c r="AT68" s="21"/>
      <c r="AU68" s="21"/>
      <c r="AV68" s="21"/>
    </row>
    <row r="69" spans="1:48">
      <c r="A69" s="20">
        <v>67</v>
      </c>
      <c r="C69" s="20">
        <v>67</v>
      </c>
      <c r="F69" s="20" t="s">
        <v>93</v>
      </c>
      <c r="G69" s="27" t="s">
        <v>95</v>
      </c>
      <c r="H69" s="19">
        <f t="shared" si="3"/>
        <v>2000</v>
      </c>
      <c r="I69" s="21"/>
      <c r="J69" s="21"/>
      <c r="K69" s="30">
        <v>2000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N69" s="21"/>
      <c r="AO69" s="21"/>
      <c r="AP69" s="21"/>
      <c r="AQ69" s="21"/>
      <c r="AR69" s="21"/>
      <c r="AS69" s="21"/>
      <c r="AT69" s="21"/>
      <c r="AU69" s="21"/>
      <c r="AV69" s="21"/>
    </row>
    <row r="70" spans="1:48">
      <c r="A70" s="20">
        <v>68</v>
      </c>
      <c r="C70" s="20">
        <v>68</v>
      </c>
      <c r="E70" s="20">
        <v>7903311240</v>
      </c>
      <c r="F70" s="20" t="s">
        <v>93</v>
      </c>
      <c r="G70" s="27" t="s">
        <v>96</v>
      </c>
      <c r="H70" s="19">
        <f t="shared" si="3"/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N70" s="21"/>
      <c r="AO70" s="21"/>
      <c r="AP70" s="21"/>
      <c r="AQ70" s="21"/>
      <c r="AR70" s="21"/>
      <c r="AS70" s="21"/>
      <c r="AT70" s="21"/>
      <c r="AU70" s="21"/>
      <c r="AV70" s="21"/>
    </row>
    <row r="71" spans="1:48">
      <c r="A71" s="20">
        <v>69</v>
      </c>
      <c r="C71" s="20">
        <v>69</v>
      </c>
      <c r="F71" s="20" t="s">
        <v>93</v>
      </c>
      <c r="G71" s="27" t="s">
        <v>97</v>
      </c>
      <c r="H71" s="19">
        <f t="shared" si="3"/>
        <v>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N71" s="21"/>
      <c r="AO71" s="21"/>
      <c r="AP71" s="21"/>
      <c r="AQ71" s="21"/>
      <c r="AR71" s="21"/>
      <c r="AS71" s="21"/>
      <c r="AT71" s="21"/>
      <c r="AU71" s="21"/>
      <c r="AV71" s="21"/>
    </row>
    <row r="72" spans="1:48">
      <c r="A72" s="20">
        <v>70</v>
      </c>
      <c r="C72" s="20">
        <v>70</v>
      </c>
      <c r="D72" s="20" t="s">
        <v>286</v>
      </c>
      <c r="F72" s="20" t="s">
        <v>93</v>
      </c>
      <c r="G72" s="27" t="s">
        <v>98</v>
      </c>
      <c r="H72" s="19">
        <f t="shared" si="3"/>
        <v>5000</v>
      </c>
      <c r="I72" s="21"/>
      <c r="J72" s="21"/>
      <c r="K72" s="30">
        <v>5000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spans="1:48">
      <c r="A73" s="20">
        <v>71</v>
      </c>
      <c r="C73" s="20">
        <v>71</v>
      </c>
      <c r="D73" s="20" t="s">
        <v>287</v>
      </c>
      <c r="F73" s="20" t="s">
        <v>93</v>
      </c>
      <c r="G73" s="27" t="s">
        <v>99</v>
      </c>
      <c r="H73" s="19">
        <f t="shared" si="3"/>
        <v>4000</v>
      </c>
      <c r="I73" s="21"/>
      <c r="J73" s="21"/>
      <c r="K73" s="30">
        <v>4000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spans="1:48">
      <c r="A74" s="20">
        <v>72</v>
      </c>
      <c r="B74" s="20" t="s">
        <v>288</v>
      </c>
      <c r="C74" s="20">
        <v>72</v>
      </c>
      <c r="D74" s="20" t="s">
        <v>289</v>
      </c>
      <c r="E74" s="20">
        <v>8825370430</v>
      </c>
      <c r="F74" s="20" t="s">
        <v>93</v>
      </c>
      <c r="G74" s="27" t="s">
        <v>100</v>
      </c>
      <c r="H74" s="19">
        <f t="shared" si="3"/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N74" s="21"/>
      <c r="AO74" s="21"/>
      <c r="AP74" s="21"/>
      <c r="AQ74" s="21"/>
      <c r="AR74" s="21"/>
      <c r="AS74" s="21"/>
      <c r="AT74" s="21"/>
      <c r="AU74" s="21"/>
      <c r="AV74" s="21"/>
    </row>
    <row r="75" spans="1:48">
      <c r="A75" s="20">
        <v>73</v>
      </c>
      <c r="C75" s="20">
        <v>73</v>
      </c>
      <c r="E75" s="20">
        <v>9631378928</v>
      </c>
      <c r="F75" s="20" t="s">
        <v>93</v>
      </c>
      <c r="G75" s="27" t="s">
        <v>101</v>
      </c>
      <c r="H75" s="19">
        <f t="shared" si="3"/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N75" s="21"/>
      <c r="AO75" s="21"/>
      <c r="AP75" s="21"/>
      <c r="AQ75" s="21"/>
      <c r="AR75" s="21"/>
      <c r="AS75" s="21"/>
      <c r="AT75" s="21"/>
      <c r="AU75" s="21"/>
      <c r="AV75" s="21"/>
    </row>
    <row r="76" spans="1:48">
      <c r="A76" s="20">
        <v>74</v>
      </c>
      <c r="C76" s="20">
        <v>74</v>
      </c>
      <c r="F76" s="20" t="s">
        <v>93</v>
      </c>
      <c r="G76" s="27" t="s">
        <v>102</v>
      </c>
      <c r="H76" s="19">
        <f t="shared" si="3"/>
        <v>2000</v>
      </c>
      <c r="I76" s="21"/>
      <c r="J76" s="21"/>
      <c r="K76" s="21">
        <v>2000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N76" s="21"/>
      <c r="AO76" s="21"/>
      <c r="AP76" s="21"/>
      <c r="AQ76" s="21"/>
      <c r="AR76" s="21"/>
      <c r="AS76" s="21"/>
      <c r="AT76" s="21"/>
      <c r="AU76" s="21"/>
      <c r="AV76" s="21"/>
    </row>
    <row r="77" spans="1:48">
      <c r="A77" s="20">
        <v>75</v>
      </c>
      <c r="B77" s="20" t="s">
        <v>290</v>
      </c>
      <c r="C77" s="20">
        <v>75</v>
      </c>
      <c r="D77" s="20" t="s">
        <v>290</v>
      </c>
      <c r="E77" s="20">
        <v>6200769032</v>
      </c>
      <c r="F77" s="20" t="s">
        <v>103</v>
      </c>
      <c r="G77" s="27" t="s">
        <v>104</v>
      </c>
      <c r="H77" s="19">
        <f t="shared" si="3"/>
        <v>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N77" s="21"/>
      <c r="AO77" s="21"/>
      <c r="AP77" s="21"/>
      <c r="AQ77" s="21"/>
      <c r="AR77" s="21"/>
      <c r="AS77" s="21"/>
      <c r="AT77" s="21"/>
      <c r="AU77" s="21"/>
      <c r="AV77" s="21"/>
    </row>
    <row r="78" spans="1:48">
      <c r="A78" s="20">
        <v>76</v>
      </c>
      <c r="B78" s="20" t="s">
        <v>291</v>
      </c>
      <c r="C78" s="20">
        <v>76</v>
      </c>
      <c r="D78" s="20" t="s">
        <v>292</v>
      </c>
      <c r="F78" s="20" t="s">
        <v>103</v>
      </c>
      <c r="G78" s="27" t="s">
        <v>105</v>
      </c>
      <c r="H78" s="19">
        <f t="shared" si="3"/>
        <v>4000</v>
      </c>
      <c r="I78" s="21"/>
      <c r="J78" s="30">
        <v>4000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N78" s="21"/>
      <c r="AO78" s="21"/>
      <c r="AP78" s="21"/>
      <c r="AQ78" s="21"/>
      <c r="AR78" s="21"/>
      <c r="AS78" s="21"/>
      <c r="AT78" s="21"/>
      <c r="AU78" s="21"/>
      <c r="AV78" s="21"/>
    </row>
    <row r="79" spans="1:48">
      <c r="A79" s="20">
        <v>77</v>
      </c>
      <c r="B79" s="20" t="s">
        <v>293</v>
      </c>
      <c r="C79" s="20">
        <v>77</v>
      </c>
      <c r="D79" s="20" t="s">
        <v>294</v>
      </c>
      <c r="F79" s="20" t="s">
        <v>103</v>
      </c>
      <c r="G79" s="27" t="s">
        <v>106</v>
      </c>
      <c r="H79" s="19">
        <f t="shared" si="3"/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N79" s="21"/>
      <c r="AO79" s="21"/>
      <c r="AP79" s="21"/>
      <c r="AQ79" s="21"/>
      <c r="AR79" s="21"/>
      <c r="AS79" s="21"/>
      <c r="AT79" s="21"/>
      <c r="AU79" s="21"/>
      <c r="AV79" s="21"/>
    </row>
    <row r="80" spans="1:48">
      <c r="A80" s="20">
        <v>78</v>
      </c>
      <c r="C80" s="20">
        <v>78</v>
      </c>
      <c r="G80" s="27" t="s">
        <v>107</v>
      </c>
      <c r="H80" s="19">
        <f t="shared" si="3"/>
        <v>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 spans="1:48">
      <c r="A81" s="20">
        <v>79</v>
      </c>
      <c r="B81" s="20" t="s">
        <v>295</v>
      </c>
      <c r="C81" s="20">
        <v>79</v>
      </c>
      <c r="D81" s="20" t="s">
        <v>295</v>
      </c>
      <c r="E81" s="20" t="s">
        <v>296</v>
      </c>
      <c r="F81" s="20" t="s">
        <v>108</v>
      </c>
      <c r="G81" s="27" t="s">
        <v>109</v>
      </c>
      <c r="H81" s="19">
        <f t="shared" si="3"/>
        <v>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 spans="1:48">
      <c r="A82" s="20">
        <v>80</v>
      </c>
      <c r="C82" s="20">
        <v>80</v>
      </c>
      <c r="G82" s="27" t="s">
        <v>110</v>
      </c>
      <c r="H82" s="19">
        <f t="shared" si="3"/>
        <v>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 spans="1:48">
      <c r="A83" s="20">
        <v>81</v>
      </c>
      <c r="C83" s="20">
        <v>81</v>
      </c>
      <c r="F83" s="20" t="s">
        <v>111</v>
      </c>
      <c r="G83" s="27" t="s">
        <v>112</v>
      </c>
      <c r="H83" s="19">
        <f t="shared" si="3"/>
        <v>2000</v>
      </c>
      <c r="I83" s="21"/>
      <c r="J83" s="21"/>
      <c r="K83" s="30">
        <v>2000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 spans="1:48">
      <c r="A84" s="20">
        <v>82</v>
      </c>
      <c r="C84" s="20">
        <v>82</v>
      </c>
      <c r="G84" s="27" t="s">
        <v>113</v>
      </c>
      <c r="H84" s="19">
        <f t="shared" si="3"/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 spans="1:48">
      <c r="A85" s="20">
        <v>83</v>
      </c>
      <c r="B85" s="20" t="s">
        <v>297</v>
      </c>
      <c r="C85" s="20">
        <v>83</v>
      </c>
      <c r="D85" s="20" t="s">
        <v>297</v>
      </c>
      <c r="F85" s="20" t="s">
        <v>114</v>
      </c>
      <c r="G85" s="27" t="s">
        <v>115</v>
      </c>
      <c r="H85" s="19">
        <f t="shared" si="3"/>
        <v>10000</v>
      </c>
      <c r="I85" s="21"/>
      <c r="J85" s="30">
        <v>10000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 spans="1:48">
      <c r="A86" s="20">
        <v>84</v>
      </c>
      <c r="C86" s="20">
        <v>84</v>
      </c>
      <c r="E86" s="20">
        <v>9934079439</v>
      </c>
      <c r="F86" s="20" t="s">
        <v>114</v>
      </c>
      <c r="G86" s="27" t="s">
        <v>116</v>
      </c>
      <c r="H86" s="19">
        <f t="shared" si="3"/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N86" s="21"/>
      <c r="AO86" s="21"/>
      <c r="AP86" s="21"/>
      <c r="AQ86" s="21"/>
      <c r="AR86" s="21"/>
      <c r="AS86" s="21"/>
      <c r="AT86" s="21"/>
      <c r="AU86" s="21"/>
      <c r="AV86" s="21"/>
    </row>
    <row r="87" spans="1:48">
      <c r="A87" s="20">
        <v>85</v>
      </c>
      <c r="B87" s="20" t="s">
        <v>298</v>
      </c>
      <c r="C87" s="20">
        <v>85</v>
      </c>
      <c r="D87" s="20" t="s">
        <v>298</v>
      </c>
      <c r="E87" s="20">
        <v>7903552643</v>
      </c>
      <c r="F87" s="20" t="s">
        <v>114</v>
      </c>
      <c r="G87" s="27" t="s">
        <v>117</v>
      </c>
      <c r="H87" s="19">
        <f t="shared" si="3"/>
        <v>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 spans="1:48">
      <c r="A88" s="20">
        <v>86</v>
      </c>
      <c r="C88" s="20">
        <v>86</v>
      </c>
      <c r="D88" s="20" t="s">
        <v>299</v>
      </c>
      <c r="E88" s="20">
        <v>9911430509</v>
      </c>
      <c r="F88" s="20" t="s">
        <v>118</v>
      </c>
      <c r="G88" s="27" t="s">
        <v>119</v>
      </c>
      <c r="H88" s="19">
        <f t="shared" si="3"/>
        <v>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 spans="1:48">
      <c r="A89" s="20">
        <v>87</v>
      </c>
      <c r="C89" s="20">
        <v>87</v>
      </c>
      <c r="G89" s="27" t="s">
        <v>120</v>
      </c>
      <c r="H89" s="19">
        <f t="shared" si="3"/>
        <v>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N89" s="21"/>
      <c r="AO89" s="21"/>
      <c r="AP89" s="21"/>
      <c r="AQ89" s="21"/>
      <c r="AR89" s="21"/>
      <c r="AS89" s="21"/>
      <c r="AT89" s="21"/>
      <c r="AU89" s="21"/>
      <c r="AV89" s="21"/>
    </row>
    <row r="90" spans="1:48">
      <c r="A90" s="20">
        <v>88</v>
      </c>
      <c r="B90" s="20" t="s">
        <v>300</v>
      </c>
      <c r="C90" s="20">
        <v>88</v>
      </c>
      <c r="D90" s="20" t="s">
        <v>300</v>
      </c>
      <c r="G90" s="27" t="s">
        <v>121</v>
      </c>
      <c r="H90" s="19">
        <f t="shared" si="3"/>
        <v>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 spans="1:48">
      <c r="A91" s="20">
        <v>89</v>
      </c>
      <c r="C91" s="20">
        <v>89</v>
      </c>
      <c r="G91" s="27" t="s">
        <v>122</v>
      </c>
      <c r="H91" s="19">
        <f t="shared" si="3"/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 spans="1:48">
      <c r="A92" s="20">
        <v>90</v>
      </c>
      <c r="C92" s="20">
        <v>90</v>
      </c>
      <c r="D92" s="20" t="s">
        <v>301</v>
      </c>
      <c r="E92" s="20">
        <v>9015378357</v>
      </c>
      <c r="F92" s="20" t="s">
        <v>302</v>
      </c>
      <c r="G92" s="27" t="s">
        <v>123</v>
      </c>
      <c r="H92" s="19">
        <f t="shared" si="3"/>
        <v>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 spans="1:48">
      <c r="A93" s="20">
        <v>91</v>
      </c>
      <c r="C93" s="20">
        <v>91</v>
      </c>
      <c r="G93" s="27" t="s">
        <v>124</v>
      </c>
      <c r="H93" s="19">
        <f t="shared" si="3"/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N93" s="21"/>
      <c r="AO93" s="21"/>
      <c r="AP93" s="21"/>
      <c r="AQ93" s="21"/>
      <c r="AR93" s="21"/>
      <c r="AS93" s="21"/>
      <c r="AT93" s="21"/>
      <c r="AU93" s="21"/>
      <c r="AV93" s="21"/>
    </row>
    <row r="94" spans="1:48">
      <c r="A94" s="20">
        <v>92</v>
      </c>
      <c r="C94" s="20">
        <v>92</v>
      </c>
      <c r="D94" s="20" t="s">
        <v>303</v>
      </c>
      <c r="F94" s="20" t="s">
        <v>125</v>
      </c>
      <c r="G94" s="27" t="s">
        <v>126</v>
      </c>
      <c r="H94" s="19">
        <f t="shared" si="3"/>
        <v>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 spans="1:48">
      <c r="A95" s="20">
        <v>93</v>
      </c>
      <c r="C95" s="20">
        <v>93</v>
      </c>
      <c r="G95" s="27" t="s">
        <v>127</v>
      </c>
      <c r="H95" s="19">
        <f t="shared" si="3"/>
        <v>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 spans="1:48">
      <c r="A96" s="20">
        <v>94</v>
      </c>
      <c r="C96" s="20">
        <v>94</v>
      </c>
      <c r="G96" s="27" t="s">
        <v>128</v>
      </c>
      <c r="H96" s="19">
        <f t="shared" ref="H96:H127" si="4">SUM(I96:AM96)</f>
        <v>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 spans="3:48">
      <c r="C97" s="20">
        <v>95</v>
      </c>
      <c r="G97" s="20" t="s">
        <v>129</v>
      </c>
      <c r="H97" s="19">
        <f t="shared" si="4"/>
        <v>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 spans="3:48">
      <c r="C98" s="31" t="s">
        <v>130</v>
      </c>
      <c r="D98" s="31"/>
      <c r="E98" s="31"/>
      <c r="H98" s="19">
        <f t="shared" si="4"/>
        <v>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 spans="3:48">
      <c r="C99" s="20">
        <v>96</v>
      </c>
      <c r="F99" s="20" t="s">
        <v>132</v>
      </c>
      <c r="G99" s="20" t="s">
        <v>133</v>
      </c>
      <c r="H99" s="19">
        <f t="shared" si="4"/>
        <v>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 spans="3:48">
      <c r="C100" s="20">
        <v>97</v>
      </c>
      <c r="F100" s="20" t="s">
        <v>132</v>
      </c>
      <c r="G100" s="20" t="s">
        <v>134</v>
      </c>
      <c r="H100" s="19">
        <f t="shared" si="4"/>
        <v>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N100" s="21"/>
      <c r="AO100" s="21"/>
      <c r="AP100" s="21"/>
      <c r="AQ100" s="21"/>
      <c r="AR100" s="21"/>
      <c r="AS100" s="21"/>
      <c r="AT100" s="21"/>
      <c r="AU100" s="21"/>
      <c r="AV100" s="21"/>
    </row>
    <row r="101" spans="3:48">
      <c r="C101" s="20">
        <v>98</v>
      </c>
      <c r="F101" s="20" t="s">
        <v>132</v>
      </c>
      <c r="H101" s="19">
        <f t="shared" si="4"/>
        <v>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 spans="3:48">
      <c r="C102" s="20">
        <v>99</v>
      </c>
      <c r="F102" s="20" t="s">
        <v>132</v>
      </c>
      <c r="G102" s="20" t="s">
        <v>135</v>
      </c>
      <c r="H102" s="19">
        <f t="shared" si="4"/>
        <v>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 spans="3:48">
      <c r="C103" s="20">
        <v>100</v>
      </c>
      <c r="F103" s="20" t="s">
        <v>132</v>
      </c>
      <c r="G103" s="20" t="s">
        <v>137</v>
      </c>
      <c r="H103" s="19">
        <f t="shared" si="4"/>
        <v>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 spans="3:48">
      <c r="C104" s="20">
        <v>101</v>
      </c>
      <c r="F104" s="20" t="s">
        <v>132</v>
      </c>
      <c r="G104" s="20" t="s">
        <v>139</v>
      </c>
      <c r="H104" s="19">
        <f t="shared" si="4"/>
        <v>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N104" s="21"/>
      <c r="AO104" s="21"/>
      <c r="AP104" s="21"/>
      <c r="AQ104" s="21"/>
      <c r="AR104" s="21"/>
      <c r="AS104" s="21"/>
      <c r="AT104" s="21"/>
      <c r="AU104" s="21"/>
      <c r="AV104" s="21"/>
    </row>
    <row r="105" spans="3:48">
      <c r="C105" s="20">
        <v>102</v>
      </c>
      <c r="F105" s="20" t="s">
        <v>132</v>
      </c>
      <c r="H105" s="19">
        <f t="shared" si="4"/>
        <v>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N105" s="21"/>
      <c r="AO105" s="21"/>
      <c r="AP105" s="21"/>
      <c r="AQ105" s="21"/>
      <c r="AR105" s="21"/>
      <c r="AS105" s="21"/>
      <c r="AT105" s="21"/>
      <c r="AU105" s="21"/>
      <c r="AV105" s="21"/>
    </row>
    <row r="106" spans="3:48">
      <c r="C106" s="20">
        <v>103</v>
      </c>
      <c r="F106" s="20" t="s">
        <v>132</v>
      </c>
      <c r="G106" s="20" t="s">
        <v>140</v>
      </c>
      <c r="H106" s="19">
        <f t="shared" si="4"/>
        <v>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N106" s="21"/>
      <c r="AO106" s="21"/>
      <c r="AP106" s="21"/>
      <c r="AQ106" s="21"/>
      <c r="AR106" s="21"/>
      <c r="AS106" s="21"/>
      <c r="AT106" s="21"/>
      <c r="AU106" s="21"/>
      <c r="AV106" s="21"/>
    </row>
    <row r="107" spans="3:48">
      <c r="C107" s="20">
        <v>104</v>
      </c>
      <c r="F107" s="20" t="s">
        <v>132</v>
      </c>
      <c r="G107" s="20" t="s">
        <v>142</v>
      </c>
      <c r="H107" s="19">
        <f t="shared" si="4"/>
        <v>1000</v>
      </c>
      <c r="I107" s="21"/>
      <c r="J107" s="21"/>
      <c r="K107" s="21">
        <v>1000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N107" s="21"/>
      <c r="AO107" s="21"/>
      <c r="AP107" s="21"/>
      <c r="AQ107" s="21"/>
      <c r="AR107" s="21"/>
      <c r="AS107" s="21"/>
      <c r="AT107" s="21"/>
      <c r="AU107" s="21"/>
      <c r="AV107" s="21"/>
    </row>
    <row r="108" spans="3:48">
      <c r="C108" s="20">
        <v>105</v>
      </c>
      <c r="F108" s="20" t="s">
        <v>132</v>
      </c>
      <c r="G108" s="20" t="s">
        <v>143</v>
      </c>
      <c r="H108" s="19">
        <f t="shared" si="4"/>
        <v>0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N108" s="21"/>
      <c r="AO108" s="21"/>
      <c r="AP108" s="21"/>
      <c r="AQ108" s="21"/>
      <c r="AR108" s="21"/>
      <c r="AS108" s="21"/>
      <c r="AT108" s="21"/>
      <c r="AU108" s="21"/>
      <c r="AV108" s="21"/>
    </row>
    <row r="109" spans="3:48">
      <c r="C109" s="20">
        <v>106</v>
      </c>
      <c r="F109" s="20" t="s">
        <v>132</v>
      </c>
      <c r="G109" s="20" t="s">
        <v>144</v>
      </c>
      <c r="H109" s="19">
        <f t="shared" si="4"/>
        <v>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N109" s="21"/>
      <c r="AO109" s="21"/>
      <c r="AP109" s="21"/>
      <c r="AQ109" s="21"/>
      <c r="AR109" s="21"/>
      <c r="AS109" s="21"/>
      <c r="AT109" s="21"/>
      <c r="AU109" s="21"/>
      <c r="AV109" s="21"/>
    </row>
    <row r="110" spans="3:38">
      <c r="C110" s="20">
        <v>107</v>
      </c>
      <c r="F110" s="20" t="s">
        <v>132</v>
      </c>
      <c r="G110" s="20" t="s">
        <v>145</v>
      </c>
      <c r="H110" s="19">
        <f t="shared" si="4"/>
        <v>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spans="3:38">
      <c r="C111" s="20">
        <v>108</v>
      </c>
      <c r="F111" s="20" t="s">
        <v>132</v>
      </c>
      <c r="G111" s="20" t="s">
        <v>147</v>
      </c>
      <c r="H111" s="19">
        <f t="shared" si="4"/>
        <v>0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spans="3:8">
      <c r="C112" s="20">
        <v>109</v>
      </c>
      <c r="F112" s="20" t="s">
        <v>132</v>
      </c>
      <c r="G112" s="20" t="s">
        <v>149</v>
      </c>
      <c r="H112" s="19">
        <f t="shared" si="4"/>
        <v>0</v>
      </c>
    </row>
    <row r="113" spans="3:11">
      <c r="C113" s="20">
        <v>110</v>
      </c>
      <c r="F113" s="20" t="s">
        <v>132</v>
      </c>
      <c r="G113" s="20" t="s">
        <v>151</v>
      </c>
      <c r="H113" s="19">
        <f t="shared" si="4"/>
        <v>2000</v>
      </c>
      <c r="K113" s="20">
        <v>2000</v>
      </c>
    </row>
    <row r="114" spans="3:8">
      <c r="C114" s="20">
        <v>111</v>
      </c>
      <c r="F114" s="20" t="s">
        <v>132</v>
      </c>
      <c r="G114" s="20" t="s">
        <v>152</v>
      </c>
      <c r="H114" s="19">
        <f t="shared" si="4"/>
        <v>0</v>
      </c>
    </row>
    <row r="115" spans="3:8">
      <c r="C115" s="20">
        <v>112</v>
      </c>
      <c r="F115" s="20" t="s">
        <v>132</v>
      </c>
      <c r="G115" s="20" t="s">
        <v>154</v>
      </c>
      <c r="H115" s="19">
        <f t="shared" si="4"/>
        <v>0</v>
      </c>
    </row>
    <row r="116" spans="3:8">
      <c r="C116" s="20">
        <v>113</v>
      </c>
      <c r="F116" s="20" t="s">
        <v>132</v>
      </c>
      <c r="G116" s="20" t="s">
        <v>156</v>
      </c>
      <c r="H116" s="19">
        <f t="shared" si="4"/>
        <v>0</v>
      </c>
    </row>
    <row r="117" spans="3:8">
      <c r="C117" s="20">
        <v>114</v>
      </c>
      <c r="F117" s="20" t="s">
        <v>132</v>
      </c>
      <c r="G117" s="20" t="s">
        <v>158</v>
      </c>
      <c r="H117" s="19">
        <f t="shared" si="4"/>
        <v>0</v>
      </c>
    </row>
    <row r="118" spans="3:8">
      <c r="C118" s="20">
        <v>115</v>
      </c>
      <c r="F118" s="20" t="s">
        <v>132</v>
      </c>
      <c r="G118" s="20" t="s">
        <v>160</v>
      </c>
      <c r="H118" s="19">
        <f t="shared" si="4"/>
        <v>0</v>
      </c>
    </row>
    <row r="119" spans="3:8">
      <c r="C119" s="20">
        <v>116</v>
      </c>
      <c r="F119" s="20" t="s">
        <v>132</v>
      </c>
      <c r="G119" s="20" t="s">
        <v>162</v>
      </c>
      <c r="H119" s="19">
        <f t="shared" si="4"/>
        <v>0</v>
      </c>
    </row>
    <row r="120" spans="3:8">
      <c r="C120" s="20">
        <v>117</v>
      </c>
      <c r="F120" s="20" t="s">
        <v>132</v>
      </c>
      <c r="G120" s="20" t="s">
        <v>163</v>
      </c>
      <c r="H120" s="19">
        <f t="shared" si="4"/>
        <v>0</v>
      </c>
    </row>
    <row r="121" spans="3:8">
      <c r="C121" s="20">
        <v>118</v>
      </c>
      <c r="F121" s="20" t="s">
        <v>132</v>
      </c>
      <c r="G121" s="20" t="s">
        <v>165</v>
      </c>
      <c r="H121" s="19">
        <f t="shared" si="4"/>
        <v>0</v>
      </c>
    </row>
    <row r="122" spans="3:8">
      <c r="C122" s="20">
        <v>119</v>
      </c>
      <c r="F122" s="20" t="s">
        <v>132</v>
      </c>
      <c r="G122" s="20" t="s">
        <v>167</v>
      </c>
      <c r="H122" s="19">
        <f t="shared" si="4"/>
        <v>0</v>
      </c>
    </row>
    <row r="123" spans="3:8">
      <c r="C123" s="20">
        <v>120</v>
      </c>
      <c r="F123" s="20" t="s">
        <v>132</v>
      </c>
      <c r="G123" s="20" t="s">
        <v>168</v>
      </c>
      <c r="H123" s="19">
        <f t="shared" si="4"/>
        <v>0</v>
      </c>
    </row>
    <row r="124" spans="3:11">
      <c r="C124" s="20">
        <v>121</v>
      </c>
      <c r="F124" s="20" t="s">
        <v>132</v>
      </c>
      <c r="G124" s="20" t="s">
        <v>170</v>
      </c>
      <c r="H124" s="19">
        <f t="shared" si="4"/>
        <v>2000</v>
      </c>
      <c r="K124" s="20">
        <v>2000</v>
      </c>
    </row>
    <row r="125" spans="3:8">
      <c r="C125" s="20">
        <v>122</v>
      </c>
      <c r="F125" s="20" t="s">
        <v>132</v>
      </c>
      <c r="G125" s="20" t="s">
        <v>172</v>
      </c>
      <c r="H125" s="19">
        <f t="shared" si="4"/>
        <v>0</v>
      </c>
    </row>
    <row r="126" spans="3:8">
      <c r="C126" s="20">
        <v>123</v>
      </c>
      <c r="F126" s="20" t="s">
        <v>132</v>
      </c>
      <c r="G126" s="20" t="s">
        <v>173</v>
      </c>
      <c r="H126" s="19">
        <f t="shared" si="4"/>
        <v>0</v>
      </c>
    </row>
    <row r="127" spans="3:8">
      <c r="C127" s="20">
        <v>124</v>
      </c>
      <c r="F127" s="20" t="s">
        <v>132</v>
      </c>
      <c r="G127" s="20" t="s">
        <v>174</v>
      </c>
      <c r="H127" s="19">
        <f t="shared" si="4"/>
        <v>0</v>
      </c>
    </row>
    <row r="128" spans="3:8">
      <c r="C128" s="20">
        <v>125</v>
      </c>
      <c r="F128" s="20" t="s">
        <v>132</v>
      </c>
      <c r="G128" s="20" t="s">
        <v>175</v>
      </c>
      <c r="H128" s="19">
        <f t="shared" ref="H128:H159" si="5">SUM(I128:AM128)</f>
        <v>0</v>
      </c>
    </row>
    <row r="129" spans="3:8">
      <c r="C129" s="20">
        <v>126</v>
      </c>
      <c r="F129" s="20" t="s">
        <v>82</v>
      </c>
      <c r="H129" s="19">
        <f t="shared" si="5"/>
        <v>0</v>
      </c>
    </row>
    <row r="130" spans="3:8">
      <c r="C130" s="20">
        <v>127</v>
      </c>
      <c r="F130" s="20" t="s">
        <v>82</v>
      </c>
      <c r="G130" s="20" t="s">
        <v>176</v>
      </c>
      <c r="H130" s="19">
        <f t="shared" si="5"/>
        <v>0</v>
      </c>
    </row>
    <row r="131" spans="3:8">
      <c r="C131" s="20">
        <v>128</v>
      </c>
      <c r="F131" s="20" t="s">
        <v>82</v>
      </c>
      <c r="G131" s="20" t="s">
        <v>178</v>
      </c>
      <c r="H131" s="19">
        <f t="shared" si="5"/>
        <v>0</v>
      </c>
    </row>
    <row r="132" spans="3:8">
      <c r="C132" s="20">
        <v>129</v>
      </c>
      <c r="F132" s="20" t="s">
        <v>82</v>
      </c>
      <c r="H132" s="19">
        <f t="shared" si="5"/>
        <v>0</v>
      </c>
    </row>
    <row r="133" spans="3:8">
      <c r="C133" s="20">
        <v>130</v>
      </c>
      <c r="F133" s="20" t="s">
        <v>82</v>
      </c>
      <c r="G133" s="20" t="s">
        <v>179</v>
      </c>
      <c r="H133" s="19">
        <f t="shared" si="5"/>
        <v>0</v>
      </c>
    </row>
    <row r="134" spans="3:11">
      <c r="C134" s="20">
        <v>131</v>
      </c>
      <c r="D134" s="20" t="s">
        <v>304</v>
      </c>
      <c r="F134" s="20" t="s">
        <v>82</v>
      </c>
      <c r="G134" s="20" t="s">
        <v>180</v>
      </c>
      <c r="H134" s="19">
        <f t="shared" si="5"/>
        <v>1000</v>
      </c>
      <c r="K134" s="32">
        <v>1000</v>
      </c>
    </row>
    <row r="135" spans="3:8">
      <c r="C135" s="20">
        <v>132</v>
      </c>
      <c r="F135" s="20" t="s">
        <v>82</v>
      </c>
      <c r="G135" s="20" t="s">
        <v>181</v>
      </c>
      <c r="H135" s="19">
        <f t="shared" si="5"/>
        <v>0</v>
      </c>
    </row>
    <row r="136" spans="3:8">
      <c r="C136" s="20">
        <v>133</v>
      </c>
      <c r="F136" s="20" t="s">
        <v>82</v>
      </c>
      <c r="G136" s="20" t="s">
        <v>182</v>
      </c>
      <c r="H136" s="19">
        <f t="shared" si="5"/>
        <v>0</v>
      </c>
    </row>
    <row r="137" spans="3:8">
      <c r="C137" s="20">
        <v>134</v>
      </c>
      <c r="F137" s="20" t="s">
        <v>82</v>
      </c>
      <c r="H137" s="19">
        <f t="shared" si="5"/>
        <v>0</v>
      </c>
    </row>
    <row r="138" spans="3:8">
      <c r="C138" s="20">
        <v>135</v>
      </c>
      <c r="F138" s="20" t="s">
        <v>82</v>
      </c>
      <c r="G138" s="20" t="s">
        <v>183</v>
      </c>
      <c r="H138" s="19">
        <f t="shared" si="5"/>
        <v>0</v>
      </c>
    </row>
    <row r="139" spans="3:8">
      <c r="C139" s="20">
        <v>136</v>
      </c>
      <c r="F139" s="20" t="s">
        <v>82</v>
      </c>
      <c r="G139" s="20" t="s">
        <v>184</v>
      </c>
      <c r="H139" s="19">
        <f t="shared" si="5"/>
        <v>0</v>
      </c>
    </row>
    <row r="140" spans="3:8">
      <c r="C140" s="20">
        <v>137</v>
      </c>
      <c r="F140" s="20" t="s">
        <v>82</v>
      </c>
      <c r="G140" s="20" t="s">
        <v>185</v>
      </c>
      <c r="H140" s="19">
        <f t="shared" si="5"/>
        <v>0</v>
      </c>
    </row>
    <row r="141" spans="3:8">
      <c r="C141" s="20">
        <v>138</v>
      </c>
      <c r="F141" s="20" t="s">
        <v>82</v>
      </c>
      <c r="G141" s="20" t="s">
        <v>186</v>
      </c>
      <c r="H141" s="19">
        <f t="shared" si="5"/>
        <v>0</v>
      </c>
    </row>
    <row r="142" spans="3:8">
      <c r="C142" s="20">
        <v>139</v>
      </c>
      <c r="F142" s="20" t="s">
        <v>82</v>
      </c>
      <c r="G142" s="20" t="s">
        <v>187</v>
      </c>
      <c r="H142" s="19">
        <f t="shared" si="5"/>
        <v>0</v>
      </c>
    </row>
    <row r="143" spans="3:8">
      <c r="C143" s="20">
        <v>140</v>
      </c>
      <c r="F143" s="20" t="s">
        <v>82</v>
      </c>
      <c r="G143" s="20" t="s">
        <v>188</v>
      </c>
      <c r="H143" s="19">
        <f t="shared" si="5"/>
        <v>0</v>
      </c>
    </row>
    <row r="144" spans="3:8">
      <c r="C144" s="20">
        <v>141</v>
      </c>
      <c r="F144" s="20" t="s">
        <v>82</v>
      </c>
      <c r="G144" s="20" t="s">
        <v>189</v>
      </c>
      <c r="H144" s="19">
        <f t="shared" si="5"/>
        <v>0</v>
      </c>
    </row>
    <row r="145" spans="3:8">
      <c r="C145" s="20">
        <v>142</v>
      </c>
      <c r="F145" s="20" t="s">
        <v>82</v>
      </c>
      <c r="G145" s="20" t="s">
        <v>190</v>
      </c>
      <c r="H145" s="19">
        <f t="shared" si="5"/>
        <v>0</v>
      </c>
    </row>
    <row r="146" spans="3:8">
      <c r="C146" s="20">
        <v>143</v>
      </c>
      <c r="F146" s="20" t="s">
        <v>191</v>
      </c>
      <c r="G146" s="20" t="s">
        <v>192</v>
      </c>
      <c r="H146" s="19">
        <f t="shared" si="5"/>
        <v>0</v>
      </c>
    </row>
    <row r="147" spans="3:8">
      <c r="C147" s="20">
        <v>144</v>
      </c>
      <c r="F147" s="20" t="s">
        <v>191</v>
      </c>
      <c r="G147" s="20" t="s">
        <v>193</v>
      </c>
      <c r="H147" s="19">
        <f t="shared" si="5"/>
        <v>0</v>
      </c>
    </row>
    <row r="148" spans="3:8">
      <c r="C148" s="20">
        <v>145</v>
      </c>
      <c r="F148" s="20" t="s">
        <v>191</v>
      </c>
      <c r="G148" s="20" t="s">
        <v>194</v>
      </c>
      <c r="H148" s="19">
        <f t="shared" si="5"/>
        <v>0</v>
      </c>
    </row>
    <row r="149" spans="3:8">
      <c r="C149" s="20">
        <v>146</v>
      </c>
      <c r="F149" s="20" t="s">
        <v>191</v>
      </c>
      <c r="H149" s="19">
        <f t="shared" si="5"/>
        <v>0</v>
      </c>
    </row>
    <row r="150" spans="3:8">
      <c r="C150" s="20">
        <v>147</v>
      </c>
      <c r="F150" s="20" t="s">
        <v>191</v>
      </c>
      <c r="H150" s="19">
        <f t="shared" si="5"/>
        <v>0</v>
      </c>
    </row>
    <row r="151" spans="3:11">
      <c r="C151" s="20">
        <v>148</v>
      </c>
      <c r="F151" s="20" t="s">
        <v>195</v>
      </c>
      <c r="G151" s="20" t="s">
        <v>196</v>
      </c>
      <c r="H151" s="19">
        <f t="shared" si="5"/>
        <v>2000</v>
      </c>
      <c r="K151" s="20">
        <v>2000</v>
      </c>
    </row>
    <row r="152" spans="3:8">
      <c r="C152" s="20">
        <v>149</v>
      </c>
      <c r="F152" s="20" t="s">
        <v>195</v>
      </c>
      <c r="H152" s="19">
        <f t="shared" si="5"/>
        <v>0</v>
      </c>
    </row>
    <row r="153" spans="3:11">
      <c r="C153" s="20">
        <v>150</v>
      </c>
      <c r="D153" s="20" t="s">
        <v>305</v>
      </c>
      <c r="F153" s="20" t="s">
        <v>195</v>
      </c>
      <c r="G153" s="20" t="s">
        <v>198</v>
      </c>
      <c r="H153" s="19">
        <f t="shared" si="5"/>
        <v>3000</v>
      </c>
      <c r="K153" s="32">
        <v>3000</v>
      </c>
    </row>
    <row r="154" spans="3:8">
      <c r="C154" s="20">
        <v>151</v>
      </c>
      <c r="F154" s="20" t="s">
        <v>195</v>
      </c>
      <c r="H154" s="19">
        <f t="shared" si="5"/>
        <v>0</v>
      </c>
    </row>
    <row r="155" spans="3:8">
      <c r="C155" s="20">
        <v>152</v>
      </c>
      <c r="F155" s="20" t="s">
        <v>199</v>
      </c>
      <c r="G155" s="20" t="s">
        <v>200</v>
      </c>
      <c r="H155" s="19">
        <f t="shared" si="5"/>
        <v>0</v>
      </c>
    </row>
    <row r="156" spans="3:8">
      <c r="C156" s="20">
        <v>153</v>
      </c>
      <c r="F156" s="20" t="s">
        <v>199</v>
      </c>
      <c r="H156" s="19">
        <f t="shared" si="5"/>
        <v>0</v>
      </c>
    </row>
    <row r="157" spans="3:8">
      <c r="C157" s="20">
        <v>154</v>
      </c>
      <c r="F157" s="20" t="s">
        <v>199</v>
      </c>
      <c r="H157" s="19">
        <f t="shared" si="5"/>
        <v>0</v>
      </c>
    </row>
    <row r="158" spans="3:8">
      <c r="C158" s="20">
        <v>155</v>
      </c>
      <c r="F158" s="20" t="s">
        <v>23</v>
      </c>
      <c r="H158" s="19">
        <f t="shared" si="5"/>
        <v>0</v>
      </c>
    </row>
    <row r="159" spans="3:8">
      <c r="C159" s="20">
        <v>156</v>
      </c>
      <c r="H159" s="19">
        <f t="shared" si="5"/>
        <v>0</v>
      </c>
    </row>
    <row r="160" spans="3:8">
      <c r="C160" s="20">
        <v>157</v>
      </c>
      <c r="F160" s="20" t="s">
        <v>201</v>
      </c>
      <c r="G160" s="20" t="s">
        <v>202</v>
      </c>
      <c r="H160" s="19">
        <f t="shared" ref="H160:H175" si="6">SUM(I160:AM160)</f>
        <v>0</v>
      </c>
    </row>
    <row r="161" spans="3:11">
      <c r="C161" s="20">
        <v>158</v>
      </c>
      <c r="E161" s="20" t="s">
        <v>306</v>
      </c>
      <c r="F161" s="20" t="s">
        <v>203</v>
      </c>
      <c r="G161" s="20" t="s">
        <v>204</v>
      </c>
      <c r="H161" s="19">
        <f t="shared" si="6"/>
        <v>1000</v>
      </c>
      <c r="K161" s="32">
        <v>1000</v>
      </c>
    </row>
    <row r="162" spans="3:8">
      <c r="C162" s="20">
        <v>159</v>
      </c>
      <c r="H162" s="19">
        <f t="shared" si="6"/>
        <v>0</v>
      </c>
    </row>
    <row r="163" spans="3:8">
      <c r="C163" s="20">
        <v>160</v>
      </c>
      <c r="H163" s="19">
        <f t="shared" si="6"/>
        <v>0</v>
      </c>
    </row>
    <row r="164" spans="3:8">
      <c r="C164" s="20">
        <v>161</v>
      </c>
      <c r="H164" s="19">
        <f t="shared" si="6"/>
        <v>0</v>
      </c>
    </row>
    <row r="165" spans="3:8">
      <c r="C165" s="20">
        <v>162</v>
      </c>
      <c r="H165" s="19">
        <f t="shared" si="6"/>
        <v>0</v>
      </c>
    </row>
    <row r="166" spans="3:8">
      <c r="C166" s="20">
        <v>163</v>
      </c>
      <c r="F166" s="20" t="s">
        <v>77</v>
      </c>
      <c r="G166" s="20" t="s">
        <v>205</v>
      </c>
      <c r="H166" s="19">
        <f t="shared" si="6"/>
        <v>0</v>
      </c>
    </row>
    <row r="167" spans="3:12">
      <c r="C167" s="20">
        <v>164</v>
      </c>
      <c r="D167" s="20" t="s">
        <v>307</v>
      </c>
      <c r="F167" s="20" t="s">
        <v>206</v>
      </c>
      <c r="G167" s="20" t="s">
        <v>207</v>
      </c>
      <c r="H167" s="19">
        <f t="shared" si="6"/>
        <v>7000</v>
      </c>
      <c r="L167" s="32">
        <v>7000</v>
      </c>
    </row>
    <row r="168" spans="3:8">
      <c r="C168" s="20">
        <v>165</v>
      </c>
      <c r="F168" s="20" t="s">
        <v>206</v>
      </c>
      <c r="G168" s="20" t="s">
        <v>208</v>
      </c>
      <c r="H168" s="19">
        <f t="shared" si="6"/>
        <v>0</v>
      </c>
    </row>
    <row r="169" spans="3:11">
      <c r="C169" s="20">
        <v>166</v>
      </c>
      <c r="D169" s="20" t="s">
        <v>308</v>
      </c>
      <c r="E169" s="20">
        <v>7903748069</v>
      </c>
      <c r="F169" s="20" t="s">
        <v>206</v>
      </c>
      <c r="G169" s="20" t="s">
        <v>209</v>
      </c>
      <c r="H169" s="19">
        <f t="shared" si="6"/>
        <v>2000</v>
      </c>
      <c r="K169" s="32">
        <v>2000</v>
      </c>
    </row>
    <row r="170" spans="3:8">
      <c r="C170" s="20">
        <v>167</v>
      </c>
      <c r="F170" s="20" t="s">
        <v>206</v>
      </c>
      <c r="G170" s="20" t="s">
        <v>210</v>
      </c>
      <c r="H170" s="19">
        <f t="shared" si="6"/>
        <v>0</v>
      </c>
    </row>
    <row r="171" spans="3:11">
      <c r="C171" s="20">
        <v>168</v>
      </c>
      <c r="F171" s="20" t="s">
        <v>206</v>
      </c>
      <c r="G171" s="20" t="s">
        <v>211</v>
      </c>
      <c r="H171" s="19">
        <f t="shared" si="6"/>
        <v>2000</v>
      </c>
      <c r="K171" s="20">
        <v>2000</v>
      </c>
    </row>
    <row r="172" spans="3:8">
      <c r="C172" s="20">
        <v>169</v>
      </c>
      <c r="F172" s="20" t="s">
        <v>206</v>
      </c>
      <c r="G172" s="20" t="s">
        <v>213</v>
      </c>
      <c r="H172" s="19">
        <f t="shared" si="6"/>
        <v>0</v>
      </c>
    </row>
    <row r="173" spans="3:8">
      <c r="C173" s="20">
        <v>170</v>
      </c>
      <c r="F173" s="20" t="s">
        <v>206</v>
      </c>
      <c r="G173" s="20" t="s">
        <v>214</v>
      </c>
      <c r="H173" s="19">
        <f t="shared" si="6"/>
        <v>0</v>
      </c>
    </row>
    <row r="174" spans="3:12">
      <c r="C174" s="20">
        <v>171</v>
      </c>
      <c r="D174" s="20" t="s">
        <v>309</v>
      </c>
      <c r="F174" s="20" t="s">
        <v>215</v>
      </c>
      <c r="G174" s="20" t="s">
        <v>216</v>
      </c>
      <c r="H174" s="19">
        <f t="shared" si="6"/>
        <v>1000</v>
      </c>
      <c r="L174" s="32">
        <v>1000</v>
      </c>
    </row>
    <row r="175" spans="3:8">
      <c r="C175" s="20">
        <v>172</v>
      </c>
      <c r="F175" s="20" t="s">
        <v>215</v>
      </c>
      <c r="G175" s="20" t="s">
        <v>217</v>
      </c>
      <c r="H175" s="19">
        <f t="shared" si="6"/>
        <v>0</v>
      </c>
    </row>
  </sheetData>
  <mergeCells count="1">
    <mergeCell ref="C98:E9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75"/>
  <sheetViews>
    <sheetView tabSelected="1" workbookViewId="0">
      <selection activeCell="C2" sqref="C2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5" width="9.57142857142857" style="1"/>
    <col min="6" max="12" width="9.14285714285714" style="1"/>
    <col min="13" max="13" width="14" style="1" customWidth="1"/>
    <col min="14" max="16384" width="9.14285714285714" style="1"/>
  </cols>
  <sheetData>
    <row r="1" spans="1:5">
      <c r="A1" s="3" t="s">
        <v>3</v>
      </c>
      <c r="B1" s="3" t="s">
        <v>218</v>
      </c>
      <c r="C1" s="3" t="s">
        <v>4</v>
      </c>
      <c r="D1" s="3" t="s">
        <v>310</v>
      </c>
      <c r="E1" s="4">
        <f>ROUND(SUM(D3:D1032),0)</f>
        <v>254200</v>
      </c>
    </row>
    <row r="2" spans="1:5">
      <c r="A2" s="5"/>
      <c r="B2" s="5"/>
      <c r="C2" s="6" t="s">
        <v>8</v>
      </c>
      <c r="D2" s="7">
        <f>Orders!F2-Collection!H2</f>
        <v>254200</v>
      </c>
      <c r="E2" s="8">
        <f>SUM(D3:D97)-D80</f>
        <v>172200</v>
      </c>
    </row>
    <row r="3" hidden="1" spans="1:4">
      <c r="A3" s="9" t="s">
        <v>9</v>
      </c>
      <c r="B3" s="9">
        <v>9334066332</v>
      </c>
      <c r="C3" s="10" t="s">
        <v>10</v>
      </c>
      <c r="D3" s="11">
        <f>Orders!F3-Collection!H3</f>
        <v>0</v>
      </c>
    </row>
    <row r="4" spans="1:4">
      <c r="A4" s="9" t="s">
        <v>9</v>
      </c>
      <c r="B4" s="9">
        <v>9123417146</v>
      </c>
      <c r="C4" s="10" t="s">
        <v>11</v>
      </c>
      <c r="D4" s="11">
        <f>Orders!F4-Collection!H4</f>
        <v>2000</v>
      </c>
    </row>
    <row r="5" hidden="1" spans="1:4">
      <c r="A5" s="9" t="s">
        <v>9</v>
      </c>
      <c r="B5" s="9">
        <v>8340365412</v>
      </c>
      <c r="C5" s="10" t="s">
        <v>13</v>
      </c>
      <c r="D5" s="11">
        <f>Orders!F5-Collection!H5</f>
        <v>0</v>
      </c>
    </row>
    <row r="6" spans="1:4">
      <c r="A6" s="9" t="s">
        <v>9</v>
      </c>
      <c r="B6" s="9">
        <v>9102317719</v>
      </c>
      <c r="C6" s="10" t="s">
        <v>15</v>
      </c>
      <c r="D6" s="11">
        <f>Orders!F6-Collection!H6</f>
        <v>2000</v>
      </c>
    </row>
    <row r="7" spans="1:4">
      <c r="A7" s="9" t="s">
        <v>9</v>
      </c>
      <c r="B7" s="9">
        <v>8210924561</v>
      </c>
      <c r="C7" s="10" t="s">
        <v>17</v>
      </c>
      <c r="D7" s="11">
        <f>Orders!F7-Collection!H7</f>
        <v>20000</v>
      </c>
    </row>
    <row r="8" hidden="1" spans="1:4">
      <c r="A8" s="9" t="s">
        <v>9</v>
      </c>
      <c r="B8" s="9">
        <v>9110978139</v>
      </c>
      <c r="C8" s="10" t="s">
        <v>19</v>
      </c>
      <c r="D8" s="11">
        <f>Orders!F8-Collection!H8</f>
        <v>0</v>
      </c>
    </row>
    <row r="9" hidden="1" spans="1:4">
      <c r="A9" s="9" t="s">
        <v>9</v>
      </c>
      <c r="B9" s="9">
        <v>8340201321</v>
      </c>
      <c r="C9" s="10" t="s">
        <v>20</v>
      </c>
      <c r="D9" s="11">
        <f>Orders!F9-Collection!H9</f>
        <v>0</v>
      </c>
    </row>
    <row r="10" spans="1:4">
      <c r="A10" s="9" t="s">
        <v>9</v>
      </c>
      <c r="B10" s="9">
        <v>7004365158</v>
      </c>
      <c r="C10" s="10" t="s">
        <v>22</v>
      </c>
      <c r="D10" s="11">
        <f>Orders!F10-Collection!H10</f>
        <v>2500</v>
      </c>
    </row>
    <row r="11" spans="1:4">
      <c r="A11" s="9" t="s">
        <v>23</v>
      </c>
      <c r="B11" s="9">
        <v>9973022718</v>
      </c>
      <c r="C11" s="10" t="s">
        <v>24</v>
      </c>
      <c r="D11" s="11">
        <f>Orders!F11-Collection!H11</f>
        <v>4000</v>
      </c>
    </row>
    <row r="12" spans="1:4">
      <c r="A12" s="9" t="s">
        <v>23</v>
      </c>
      <c r="B12" s="9">
        <v>7004923653</v>
      </c>
      <c r="C12" s="10" t="s">
        <v>25</v>
      </c>
      <c r="D12" s="11">
        <f>Orders!F12-Collection!H12</f>
        <v>2800</v>
      </c>
    </row>
    <row r="13" spans="1:4">
      <c r="A13" s="9" t="s">
        <v>23</v>
      </c>
      <c r="B13" s="9">
        <v>8340182577</v>
      </c>
      <c r="C13" s="10" t="s">
        <v>26</v>
      </c>
      <c r="D13" s="11">
        <f>Orders!F13-Collection!H13</f>
        <v>5000</v>
      </c>
    </row>
    <row r="14" spans="1:4">
      <c r="A14" s="9" t="s">
        <v>23</v>
      </c>
      <c r="B14" s="9">
        <v>7004740439</v>
      </c>
      <c r="C14" s="10" t="s">
        <v>27</v>
      </c>
      <c r="D14" s="11">
        <f>Orders!F14-Collection!H14</f>
        <v>4000</v>
      </c>
    </row>
    <row r="15" spans="1:4">
      <c r="A15" s="9" t="s">
        <v>23</v>
      </c>
      <c r="B15" s="9">
        <v>7004936104</v>
      </c>
      <c r="C15" s="10" t="s">
        <v>29</v>
      </c>
      <c r="D15" s="11">
        <f>Orders!F15-Collection!H15</f>
        <v>4000</v>
      </c>
    </row>
    <row r="16" spans="1:4">
      <c r="A16" s="9" t="s">
        <v>23</v>
      </c>
      <c r="B16" s="9">
        <v>7321004323</v>
      </c>
      <c r="C16" s="10" t="s">
        <v>30</v>
      </c>
      <c r="D16" s="11">
        <f>Orders!F16-Collection!H16</f>
        <v>3000</v>
      </c>
    </row>
    <row r="17" spans="1:4">
      <c r="A17" s="9" t="s">
        <v>23</v>
      </c>
      <c r="B17" s="9">
        <v>7903378748</v>
      </c>
      <c r="C17" s="10" t="s">
        <v>32</v>
      </c>
      <c r="D17" s="11">
        <f>Orders!F17-Collection!H17</f>
        <v>3000</v>
      </c>
    </row>
    <row r="18" spans="1:4">
      <c r="A18" s="9" t="s">
        <v>23</v>
      </c>
      <c r="B18" s="9">
        <v>7004493350</v>
      </c>
      <c r="C18" s="10" t="s">
        <v>34</v>
      </c>
      <c r="D18" s="11">
        <f>Orders!F18-Collection!H18</f>
        <v>2000</v>
      </c>
    </row>
    <row r="19" spans="1:4">
      <c r="A19" s="9" t="s">
        <v>23</v>
      </c>
      <c r="B19" s="9">
        <v>9608475282</v>
      </c>
      <c r="C19" s="10" t="s">
        <v>35</v>
      </c>
      <c r="D19" s="11">
        <f>Orders!F19-Collection!H19</f>
        <v>3000</v>
      </c>
    </row>
    <row r="20" spans="1:4">
      <c r="A20" s="9" t="s">
        <v>36</v>
      </c>
      <c r="B20" s="9">
        <v>9661555592</v>
      </c>
      <c r="C20" s="10" t="s">
        <v>37</v>
      </c>
      <c r="D20" s="11">
        <f>Orders!F20-Collection!H20</f>
        <v>5000</v>
      </c>
    </row>
    <row r="21" spans="1:4">
      <c r="A21" s="9" t="s">
        <v>36</v>
      </c>
      <c r="B21" s="9">
        <v>8340523512</v>
      </c>
      <c r="C21" s="10" t="s">
        <v>38</v>
      </c>
      <c r="D21" s="11">
        <f>Orders!F21-Collection!H21</f>
        <v>4000</v>
      </c>
    </row>
    <row r="22" hidden="1" spans="1:4">
      <c r="A22" s="9" t="s">
        <v>36</v>
      </c>
      <c r="B22" s="9">
        <v>8825310472</v>
      </c>
      <c r="C22" s="10" t="s">
        <v>39</v>
      </c>
      <c r="D22" s="11">
        <f>Orders!F22-Collection!H22</f>
        <v>0</v>
      </c>
    </row>
    <row r="23" spans="1:4">
      <c r="A23" s="9" t="s">
        <v>36</v>
      </c>
      <c r="B23" s="9">
        <v>7004478123</v>
      </c>
      <c r="C23" s="10" t="s">
        <v>40</v>
      </c>
      <c r="D23" s="11">
        <f>Orders!F23-Collection!H23</f>
        <v>5000</v>
      </c>
    </row>
    <row r="24" spans="1:4">
      <c r="A24" s="9" t="s">
        <v>36</v>
      </c>
      <c r="B24" s="9">
        <v>7667895364</v>
      </c>
      <c r="C24" s="10" t="s">
        <v>41</v>
      </c>
      <c r="D24" s="11">
        <f>Orders!F24-Collection!H24</f>
        <v>2000</v>
      </c>
    </row>
    <row r="25" spans="1:4">
      <c r="A25" s="9" t="s">
        <v>36</v>
      </c>
      <c r="B25" s="9">
        <v>7006041121</v>
      </c>
      <c r="C25" s="10" t="s">
        <v>42</v>
      </c>
      <c r="D25" s="11">
        <f>Orders!F25-Collection!H25</f>
        <v>2000</v>
      </c>
    </row>
    <row r="26" hidden="1" spans="1:4">
      <c r="A26" s="9" t="s">
        <v>36</v>
      </c>
      <c r="B26" s="9">
        <v>8709658240</v>
      </c>
      <c r="C26" s="10" t="s">
        <v>43</v>
      </c>
      <c r="D26" s="11">
        <f>Orders!F26-Collection!H26</f>
        <v>0</v>
      </c>
    </row>
    <row r="27" spans="1:4">
      <c r="A27" s="9" t="s">
        <v>36</v>
      </c>
      <c r="B27" s="9">
        <v>8709612020</v>
      </c>
      <c r="C27" s="10" t="s">
        <v>44</v>
      </c>
      <c r="D27" s="11">
        <f>Orders!F27-Collection!H27</f>
        <v>1000</v>
      </c>
    </row>
    <row r="28" spans="1:4">
      <c r="A28" s="9" t="s">
        <v>36</v>
      </c>
      <c r="B28" s="9">
        <v>9973040600</v>
      </c>
      <c r="C28" s="10" t="s">
        <v>45</v>
      </c>
      <c r="D28" s="11">
        <f>Orders!F28-Collection!H28</f>
        <v>2000</v>
      </c>
    </row>
    <row r="29" spans="1:4">
      <c r="A29" s="9" t="s">
        <v>36</v>
      </c>
      <c r="B29" s="9">
        <v>9973345687</v>
      </c>
      <c r="C29" s="10" t="s">
        <v>46</v>
      </c>
      <c r="D29" s="11">
        <f>Orders!F29-Collection!H29</f>
        <v>2000</v>
      </c>
    </row>
    <row r="30" hidden="1" spans="1:4">
      <c r="A30" s="9" t="s">
        <v>36</v>
      </c>
      <c r="B30" s="9">
        <v>9631391206</v>
      </c>
      <c r="C30" s="10" t="s">
        <v>47</v>
      </c>
      <c r="D30" s="11">
        <f>Orders!F30-Collection!H30</f>
        <v>0</v>
      </c>
    </row>
    <row r="31" spans="1:4">
      <c r="A31" s="9" t="s">
        <v>36</v>
      </c>
      <c r="B31" s="9">
        <v>8340565882</v>
      </c>
      <c r="C31" s="10" t="s">
        <v>48</v>
      </c>
      <c r="D31" s="11">
        <f>Orders!F31-Collection!H31</f>
        <v>2000</v>
      </c>
    </row>
    <row r="32" spans="1:4">
      <c r="A32" s="9" t="s">
        <v>36</v>
      </c>
      <c r="B32" s="9">
        <v>7004134938</v>
      </c>
      <c r="C32" s="10" t="s">
        <v>49</v>
      </c>
      <c r="D32" s="11">
        <f>Orders!F32-Collection!H32</f>
        <v>5000</v>
      </c>
    </row>
    <row r="33" hidden="1" spans="1:4">
      <c r="A33" s="9" t="s">
        <v>36</v>
      </c>
      <c r="B33" s="9">
        <v>7488143097</v>
      </c>
      <c r="C33" s="10" t="s">
        <v>50</v>
      </c>
      <c r="D33" s="11">
        <f>Orders!F33-Collection!H33</f>
        <v>0</v>
      </c>
    </row>
    <row r="34" hidden="1" spans="1:4">
      <c r="A34" s="9" t="s">
        <v>51</v>
      </c>
      <c r="B34" s="9">
        <v>9110951966</v>
      </c>
      <c r="C34" s="10" t="s">
        <v>52</v>
      </c>
      <c r="D34" s="11">
        <f>Orders!F34-Collection!H34</f>
        <v>0</v>
      </c>
    </row>
    <row r="35" spans="1:4">
      <c r="A35" s="9" t="s">
        <v>51</v>
      </c>
      <c r="B35" s="9">
        <v>7909015301</v>
      </c>
      <c r="C35" s="10" t="s">
        <v>53</v>
      </c>
      <c r="D35" s="11">
        <f>Orders!F35-Collection!H35</f>
        <v>2000</v>
      </c>
    </row>
    <row r="36" hidden="1" spans="1:4">
      <c r="A36" s="9" t="s">
        <v>51</v>
      </c>
      <c r="B36" s="9">
        <v>7654800030</v>
      </c>
      <c r="C36" s="10" t="s">
        <v>54</v>
      </c>
      <c r="D36" s="11">
        <f>Orders!F36-Collection!H36</f>
        <v>0</v>
      </c>
    </row>
    <row r="37" spans="1:4">
      <c r="A37" s="9" t="s">
        <v>51</v>
      </c>
      <c r="B37" s="9">
        <v>7004687743</v>
      </c>
      <c r="C37" s="10" t="s">
        <v>55</v>
      </c>
      <c r="D37" s="11">
        <f>Orders!F37-Collection!H37</f>
        <v>5000</v>
      </c>
    </row>
    <row r="38" hidden="1" spans="1:4">
      <c r="A38" s="9" t="s">
        <v>51</v>
      </c>
      <c r="B38" s="9">
        <v>9122226207</v>
      </c>
      <c r="C38" s="10" t="s">
        <v>56</v>
      </c>
      <c r="D38" s="11">
        <f>Orders!F38-Collection!H38</f>
        <v>0</v>
      </c>
    </row>
    <row r="39" hidden="1" spans="1:4">
      <c r="A39" s="9" t="s">
        <v>51</v>
      </c>
      <c r="B39" s="9">
        <v>9708329918</v>
      </c>
      <c r="C39" s="10" t="s">
        <v>57</v>
      </c>
      <c r="D39" s="11">
        <f>Orders!F39-Collection!H39</f>
        <v>0</v>
      </c>
    </row>
    <row r="40" spans="1:4">
      <c r="A40" s="9" t="s">
        <v>51</v>
      </c>
      <c r="B40" s="9">
        <v>8709954402</v>
      </c>
      <c r="C40" s="10" t="s">
        <v>58</v>
      </c>
      <c r="D40" s="11">
        <f>Orders!F40-Collection!H40</f>
        <v>2000</v>
      </c>
    </row>
    <row r="41" spans="1:4">
      <c r="A41" s="9" t="s">
        <v>51</v>
      </c>
      <c r="B41" s="9">
        <v>8102542369</v>
      </c>
      <c r="C41" s="10" t="s">
        <v>59</v>
      </c>
      <c r="D41" s="11">
        <f>Orders!F41-Collection!H41</f>
        <v>2000</v>
      </c>
    </row>
    <row r="42" spans="1:4">
      <c r="A42" s="9" t="s">
        <v>51</v>
      </c>
      <c r="B42" s="9">
        <v>9304671707</v>
      </c>
      <c r="C42" s="10" t="s">
        <v>60</v>
      </c>
      <c r="D42" s="11">
        <f>Orders!F42-Collection!H42</f>
        <v>2000</v>
      </c>
    </row>
    <row r="43" spans="1:4">
      <c r="A43" s="9" t="s">
        <v>51</v>
      </c>
      <c r="B43" s="9">
        <v>8210095108</v>
      </c>
      <c r="C43" s="10" t="s">
        <v>61</v>
      </c>
      <c r="D43" s="11">
        <f>Orders!F43-Collection!H43</f>
        <v>4000</v>
      </c>
    </row>
    <row r="44" spans="1:4">
      <c r="A44" s="9" t="s">
        <v>51</v>
      </c>
      <c r="B44" s="9">
        <v>9525707958</v>
      </c>
      <c r="C44" s="10" t="s">
        <v>62</v>
      </c>
      <c r="D44" s="11">
        <f>Orders!F44-Collection!H44</f>
        <v>2000</v>
      </c>
    </row>
    <row r="45" hidden="1" spans="1:4">
      <c r="A45" s="9" t="s">
        <v>51</v>
      </c>
      <c r="B45" s="9">
        <v>8588878618</v>
      </c>
      <c r="C45" s="10" t="s">
        <v>63</v>
      </c>
      <c r="D45" s="11">
        <f>Orders!F45-Collection!H45</f>
        <v>0</v>
      </c>
    </row>
    <row r="46" hidden="1" spans="1:4">
      <c r="A46" s="9" t="s">
        <v>64</v>
      </c>
      <c r="B46" s="9">
        <v>7004687745</v>
      </c>
      <c r="C46" s="10" t="s">
        <v>65</v>
      </c>
      <c r="D46" s="11">
        <f>Orders!F46-Collection!H46</f>
        <v>0</v>
      </c>
    </row>
    <row r="47" spans="1:4">
      <c r="A47" s="9" t="s">
        <v>64</v>
      </c>
      <c r="B47" s="9">
        <v>7004454705</v>
      </c>
      <c r="C47" s="10" t="s">
        <v>66</v>
      </c>
      <c r="D47" s="11">
        <f>Orders!F47-Collection!H47</f>
        <v>2000</v>
      </c>
    </row>
    <row r="48" hidden="1" spans="1:4">
      <c r="A48" s="9" t="s">
        <v>64</v>
      </c>
      <c r="B48" s="9">
        <v>7004729703</v>
      </c>
      <c r="C48" s="10" t="s">
        <v>67</v>
      </c>
      <c r="D48" s="11">
        <f>Orders!F48-Collection!H48</f>
        <v>0</v>
      </c>
    </row>
    <row r="49" spans="1:4">
      <c r="A49" s="12" t="s">
        <v>64</v>
      </c>
      <c r="B49" s="12">
        <v>7479799801</v>
      </c>
      <c r="C49" s="13" t="s">
        <v>68</v>
      </c>
      <c r="D49" s="14">
        <f>Orders!F49-Collection!H49</f>
        <v>8000</v>
      </c>
    </row>
    <row r="50" spans="1:4">
      <c r="A50" s="9" t="s">
        <v>64</v>
      </c>
      <c r="B50" s="9">
        <v>9835443096</v>
      </c>
      <c r="C50" s="10" t="s">
        <v>69</v>
      </c>
      <c r="D50" s="11">
        <f>Orders!F50-Collection!H50</f>
        <v>2000</v>
      </c>
    </row>
    <row r="51" hidden="1" spans="1:4">
      <c r="A51" s="9" t="s">
        <v>64</v>
      </c>
      <c r="B51" s="9">
        <v>7004191817</v>
      </c>
      <c r="C51" s="10" t="s">
        <v>70</v>
      </c>
      <c r="D51" s="11">
        <f>Orders!F51-Collection!H51</f>
        <v>0</v>
      </c>
    </row>
    <row r="52" hidden="1" spans="1:4">
      <c r="A52" s="9" t="s">
        <v>64</v>
      </c>
      <c r="B52" s="9">
        <v>8210487942</v>
      </c>
      <c r="C52" s="10" t="s">
        <v>71</v>
      </c>
      <c r="D52" s="11">
        <f>Orders!F52-Collection!H52</f>
        <v>0</v>
      </c>
    </row>
    <row r="53" spans="1:4">
      <c r="A53" s="9" t="s">
        <v>64</v>
      </c>
      <c r="B53" s="9">
        <v>7004423721</v>
      </c>
      <c r="C53" s="10" t="s">
        <v>72</v>
      </c>
      <c r="D53" s="11">
        <f>Orders!F53-Collection!H53</f>
        <v>6000</v>
      </c>
    </row>
    <row r="54" hidden="1" spans="1:4">
      <c r="A54" s="9" t="s">
        <v>64</v>
      </c>
      <c r="B54" s="9">
        <v>6202424016</v>
      </c>
      <c r="C54" s="10" t="s">
        <v>73</v>
      </c>
      <c r="D54" s="11">
        <f>Orders!F54-Collection!H54</f>
        <v>0</v>
      </c>
    </row>
    <row r="55" hidden="1" spans="1:4">
      <c r="A55" s="9" t="s">
        <v>64</v>
      </c>
      <c r="B55" s="9">
        <v>8873894618</v>
      </c>
      <c r="C55" s="10" t="s">
        <v>74</v>
      </c>
      <c r="D55" s="11">
        <f>Orders!F55-Collection!H55</f>
        <v>0</v>
      </c>
    </row>
    <row r="56" spans="1:4">
      <c r="A56" s="9" t="s">
        <v>64</v>
      </c>
      <c r="B56" s="9">
        <v>7870055507</v>
      </c>
      <c r="C56" s="10" t="s">
        <v>75</v>
      </c>
      <c r="D56" s="11">
        <f>Orders!F56-Collection!H56</f>
        <v>1000</v>
      </c>
    </row>
    <row r="57" hidden="1" spans="1:4">
      <c r="A57" s="9" t="s">
        <v>64</v>
      </c>
      <c r="B57" s="9">
        <v>6202424016</v>
      </c>
      <c r="C57" s="10" t="s">
        <v>76</v>
      </c>
      <c r="D57" s="11">
        <f>Orders!F57-Collection!H57</f>
        <v>0</v>
      </c>
    </row>
    <row r="58" spans="1:4">
      <c r="A58" s="9" t="s">
        <v>77</v>
      </c>
      <c r="B58" s="9">
        <v>7004211364</v>
      </c>
      <c r="C58" s="10" t="s">
        <v>78</v>
      </c>
      <c r="D58" s="11">
        <f>Orders!F58-Collection!H58</f>
        <v>2000</v>
      </c>
    </row>
    <row r="59" hidden="1" spans="1:4">
      <c r="A59" s="9" t="s">
        <v>77</v>
      </c>
      <c r="B59" s="9">
        <v>7979985074</v>
      </c>
      <c r="C59" s="10" t="s">
        <v>79</v>
      </c>
      <c r="D59" s="11">
        <f>Orders!F59-Collection!H59</f>
        <v>0</v>
      </c>
    </row>
    <row r="60" hidden="1" spans="1:4">
      <c r="A60" s="9" t="s">
        <v>77</v>
      </c>
      <c r="B60" s="9">
        <v>9304063435</v>
      </c>
      <c r="C60" s="10" t="s">
        <v>80</v>
      </c>
      <c r="D60" s="11">
        <f>Orders!F60-Collection!H60</f>
        <v>0</v>
      </c>
    </row>
    <row r="61" hidden="1" spans="1:4">
      <c r="A61" s="9" t="s">
        <v>77</v>
      </c>
      <c r="B61" s="9">
        <v>9798805204</v>
      </c>
      <c r="C61" s="10" t="s">
        <v>81</v>
      </c>
      <c r="D61" s="11">
        <f>Orders!F61-Collection!H61</f>
        <v>0</v>
      </c>
    </row>
    <row r="62" spans="1:4">
      <c r="A62" s="9" t="s">
        <v>277</v>
      </c>
      <c r="B62" s="9">
        <v>9504958065</v>
      </c>
      <c r="C62" s="10" t="s">
        <v>83</v>
      </c>
      <c r="D62" s="11">
        <f>Orders!F62-Collection!H62</f>
        <v>5000</v>
      </c>
    </row>
    <row r="63" spans="1:4">
      <c r="A63" s="12" t="s">
        <v>277</v>
      </c>
      <c r="B63" s="12">
        <v>9852299192</v>
      </c>
      <c r="C63" s="13" t="s">
        <v>84</v>
      </c>
      <c r="D63" s="14">
        <f>Orders!F63-Collection!H63</f>
        <v>1100</v>
      </c>
    </row>
    <row r="64" hidden="1" spans="1:4">
      <c r="A64" s="9" t="s">
        <v>277</v>
      </c>
      <c r="B64" s="9">
        <v>9931812966</v>
      </c>
      <c r="C64" s="10" t="s">
        <v>87</v>
      </c>
      <c r="D64" s="11">
        <f>Orders!F64-Collection!H64</f>
        <v>0</v>
      </c>
    </row>
    <row r="65" hidden="1" spans="1:4">
      <c r="A65" s="9" t="s">
        <v>88</v>
      </c>
      <c r="B65" s="9">
        <v>7004399486</v>
      </c>
      <c r="C65" s="9" t="s">
        <v>89</v>
      </c>
      <c r="D65" s="11">
        <f>Orders!F65-Collection!H65</f>
        <v>0</v>
      </c>
    </row>
    <row r="66" spans="1:4">
      <c r="A66" s="9" t="s">
        <v>88</v>
      </c>
      <c r="B66" s="9">
        <v>9939935008</v>
      </c>
      <c r="C66" s="10" t="s">
        <v>90</v>
      </c>
      <c r="D66" s="11">
        <f>Orders!F66-Collection!H66</f>
        <v>6000</v>
      </c>
    </row>
    <row r="67" spans="1:4">
      <c r="A67" s="9" t="s">
        <v>91</v>
      </c>
      <c r="B67" s="9">
        <v>8271027441</v>
      </c>
      <c r="C67" s="10" t="s">
        <v>92</v>
      </c>
      <c r="D67" s="11">
        <f>Orders!F67-Collection!H67</f>
        <v>1000</v>
      </c>
    </row>
    <row r="68" spans="1:4">
      <c r="A68" s="9" t="s">
        <v>93</v>
      </c>
      <c r="B68" s="9">
        <v>8709494155</v>
      </c>
      <c r="C68" s="10" t="s">
        <v>94</v>
      </c>
      <c r="D68" s="11">
        <f>Orders!F68-Collection!H68</f>
        <v>8000</v>
      </c>
    </row>
    <row r="69" hidden="1" spans="1:4">
      <c r="A69" s="9" t="s">
        <v>93</v>
      </c>
      <c r="B69" s="9">
        <v>8210273217</v>
      </c>
      <c r="C69" s="10" t="s">
        <v>95</v>
      </c>
      <c r="D69" s="11">
        <f>Orders!F69-Collection!H69</f>
        <v>0</v>
      </c>
    </row>
    <row r="70" hidden="1" spans="1:4">
      <c r="A70" s="9" t="s">
        <v>93</v>
      </c>
      <c r="B70" s="9">
        <v>7903311240</v>
      </c>
      <c r="C70" s="10" t="s">
        <v>96</v>
      </c>
      <c r="D70" s="11">
        <f>Orders!F70-Collection!H70</f>
        <v>0</v>
      </c>
    </row>
    <row r="71" spans="1:4">
      <c r="A71" s="9" t="s">
        <v>93</v>
      </c>
      <c r="B71" s="9">
        <v>6202448688</v>
      </c>
      <c r="C71" s="10" t="s">
        <v>97</v>
      </c>
      <c r="D71" s="11">
        <f>Orders!F71-Collection!H71</f>
        <v>2000</v>
      </c>
    </row>
    <row r="72" spans="1:4">
      <c r="A72" s="9" t="s">
        <v>93</v>
      </c>
      <c r="B72" s="9">
        <v>8709017189</v>
      </c>
      <c r="C72" s="10" t="s">
        <v>98</v>
      </c>
      <c r="D72" s="11">
        <f>Orders!F72-Collection!H72</f>
        <v>5000</v>
      </c>
    </row>
    <row r="73" hidden="1" spans="1:4">
      <c r="A73" s="9" t="s">
        <v>93</v>
      </c>
      <c r="B73" s="9">
        <v>7909071642</v>
      </c>
      <c r="C73" s="10" t="s">
        <v>99</v>
      </c>
      <c r="D73" s="11">
        <f>Orders!F73-Collection!H73</f>
        <v>0</v>
      </c>
    </row>
    <row r="74" hidden="1" spans="1:4">
      <c r="A74" s="9" t="s">
        <v>93</v>
      </c>
      <c r="B74" s="9">
        <v>8825370430</v>
      </c>
      <c r="C74" s="10" t="s">
        <v>100</v>
      </c>
      <c r="D74" s="11">
        <f>Orders!F74-Collection!H74</f>
        <v>0</v>
      </c>
    </row>
    <row r="75" hidden="1" spans="1:4">
      <c r="A75" s="9" t="s">
        <v>93</v>
      </c>
      <c r="B75" s="9">
        <v>9631378928</v>
      </c>
      <c r="C75" s="10" t="s">
        <v>101</v>
      </c>
      <c r="D75" s="11">
        <f>Orders!F75-Collection!H75</f>
        <v>0</v>
      </c>
    </row>
    <row r="76" hidden="1" spans="1:4">
      <c r="A76" s="9" t="s">
        <v>93</v>
      </c>
      <c r="B76" s="9">
        <v>8271027441</v>
      </c>
      <c r="C76" s="10" t="s">
        <v>102</v>
      </c>
      <c r="D76" s="11">
        <f>Orders!F76-Collection!H76</f>
        <v>0</v>
      </c>
    </row>
    <row r="77" spans="1:4">
      <c r="A77" s="9" t="s">
        <v>103</v>
      </c>
      <c r="B77" s="9">
        <v>6200769032</v>
      </c>
      <c r="C77" s="10" t="s">
        <v>104</v>
      </c>
      <c r="D77" s="11">
        <f>Orders!F77-Collection!H77</f>
        <v>3800</v>
      </c>
    </row>
    <row r="78" spans="1:4">
      <c r="A78" s="9" t="s">
        <v>103</v>
      </c>
      <c r="B78" s="9">
        <v>7004695819</v>
      </c>
      <c r="C78" s="10" t="s">
        <v>105</v>
      </c>
      <c r="D78" s="11">
        <f>Orders!F78-Collection!H78</f>
        <v>1000</v>
      </c>
    </row>
    <row r="79" hidden="1" spans="1:4">
      <c r="A79" s="9" t="s">
        <v>103</v>
      </c>
      <c r="B79" s="9">
        <v>8789354609</v>
      </c>
      <c r="C79" s="10" t="s">
        <v>106</v>
      </c>
      <c r="D79" s="11">
        <f>Orders!F79-Collection!H79</f>
        <v>0</v>
      </c>
    </row>
    <row r="80" hidden="1" spans="1:4">
      <c r="A80" s="9"/>
      <c r="B80" s="9"/>
      <c r="C80" s="10" t="s">
        <v>107</v>
      </c>
      <c r="D80" s="11">
        <f>Orders!F80-Collection!H80</f>
        <v>67000</v>
      </c>
    </row>
    <row r="81" spans="1:4">
      <c r="A81" s="9" t="s">
        <v>108</v>
      </c>
      <c r="B81" s="9">
        <v>8789783884</v>
      </c>
      <c r="C81" s="10" t="s">
        <v>109</v>
      </c>
      <c r="D81" s="11">
        <f>Orders!F81-Collection!H81</f>
        <v>2000</v>
      </c>
    </row>
    <row r="82" hidden="1" spans="1:4">
      <c r="A82" s="9"/>
      <c r="B82" s="9"/>
      <c r="C82" s="10" t="s">
        <v>110</v>
      </c>
      <c r="D82" s="11">
        <f>Orders!F82-Collection!H82</f>
        <v>0</v>
      </c>
    </row>
    <row r="83" hidden="1" spans="1:4">
      <c r="A83" s="9" t="s">
        <v>111</v>
      </c>
      <c r="B83" s="9">
        <v>7079312729</v>
      </c>
      <c r="C83" s="10" t="s">
        <v>112</v>
      </c>
      <c r="D83" s="11">
        <f>Orders!F83-Collection!H83</f>
        <v>0</v>
      </c>
    </row>
    <row r="84" hidden="1" spans="1:4">
      <c r="A84" s="9"/>
      <c r="B84" s="9"/>
      <c r="C84" s="10" t="s">
        <v>113</v>
      </c>
      <c r="D84" s="11">
        <f>Orders!F84-Collection!H84</f>
        <v>0</v>
      </c>
    </row>
    <row r="85" hidden="1" spans="1:4">
      <c r="A85" s="9" t="s">
        <v>114</v>
      </c>
      <c r="B85" s="9">
        <v>7979068575</v>
      </c>
      <c r="C85" s="10" t="s">
        <v>115</v>
      </c>
      <c r="D85" s="11">
        <f>Orders!F85-Collection!H85</f>
        <v>0</v>
      </c>
    </row>
    <row r="86" spans="1:4">
      <c r="A86" s="9" t="s">
        <v>114</v>
      </c>
      <c r="B86" s="9">
        <v>9934079439</v>
      </c>
      <c r="C86" s="10" t="s">
        <v>116</v>
      </c>
      <c r="D86" s="11">
        <f>Orders!F86-Collection!H86</f>
        <v>5000</v>
      </c>
    </row>
    <row r="87" hidden="1" spans="1:4">
      <c r="A87" s="9" t="s">
        <v>114</v>
      </c>
      <c r="B87" s="9">
        <v>7903552643</v>
      </c>
      <c r="C87" s="10" t="s">
        <v>117</v>
      </c>
      <c r="D87" s="11">
        <f>Orders!F87-Collection!H87</f>
        <v>0</v>
      </c>
    </row>
    <row r="88" hidden="1" spans="1:4">
      <c r="A88" s="9" t="s">
        <v>118</v>
      </c>
      <c r="B88" s="9">
        <v>9911430509</v>
      </c>
      <c r="C88" s="10" t="s">
        <v>119</v>
      </c>
      <c r="D88" s="11">
        <f>Orders!F88-Collection!H88</f>
        <v>0</v>
      </c>
    </row>
    <row r="89" hidden="1" spans="1:4">
      <c r="A89" s="9"/>
      <c r="B89" s="9"/>
      <c r="C89" s="10" t="s">
        <v>120</v>
      </c>
      <c r="D89" s="11">
        <f>Orders!F89-Collection!H89</f>
        <v>0</v>
      </c>
    </row>
    <row r="90" spans="1:4">
      <c r="A90" s="9" t="s">
        <v>23</v>
      </c>
      <c r="B90" s="9">
        <v>9905739212</v>
      </c>
      <c r="C90" s="10" t="s">
        <v>121</v>
      </c>
      <c r="D90" s="11">
        <f>Orders!F90-Collection!H90</f>
        <v>2000</v>
      </c>
    </row>
    <row r="91" hidden="1" spans="1:4">
      <c r="A91" s="9" t="s">
        <v>93</v>
      </c>
      <c r="B91" s="9">
        <v>9523357433</v>
      </c>
      <c r="C91" s="10" t="s">
        <v>122</v>
      </c>
      <c r="D91" s="11">
        <f>Orders!F91-Collection!H91</f>
        <v>0</v>
      </c>
    </row>
    <row r="92" spans="1:4">
      <c r="A92" s="9" t="s">
        <v>311</v>
      </c>
      <c r="B92" s="9">
        <v>7992363545</v>
      </c>
      <c r="C92" s="10" t="s">
        <v>123</v>
      </c>
      <c r="D92" s="11">
        <f>Orders!F92-Collection!H92</f>
        <v>2000</v>
      </c>
    </row>
    <row r="93" hidden="1" spans="1:4">
      <c r="A93" s="9"/>
      <c r="B93" s="9"/>
      <c r="C93" s="10" t="s">
        <v>124</v>
      </c>
      <c r="D93" s="11">
        <f>Orders!F93-Collection!H93</f>
        <v>0</v>
      </c>
    </row>
    <row r="94" spans="1:4">
      <c r="A94" s="9" t="s">
        <v>125</v>
      </c>
      <c r="B94" s="9">
        <v>7254967519</v>
      </c>
      <c r="C94" s="10" t="s">
        <v>126</v>
      </c>
      <c r="D94" s="11">
        <f>Orders!F94-Collection!H94</f>
        <v>1000</v>
      </c>
    </row>
    <row r="95" hidden="1" spans="1:4">
      <c r="A95" s="9"/>
      <c r="B95" s="9"/>
      <c r="C95" s="10" t="s">
        <v>127</v>
      </c>
      <c r="D95" s="11">
        <f>Orders!F95-Collection!H95</f>
        <v>0</v>
      </c>
    </row>
    <row r="96" hidden="1" spans="1:4">
      <c r="A96" s="9"/>
      <c r="B96" s="9"/>
      <c r="C96" s="10" t="s">
        <v>128</v>
      </c>
      <c r="D96" s="11">
        <f>Orders!F96-Collection!H96</f>
        <v>0</v>
      </c>
    </row>
    <row r="97" hidden="1" spans="1:4">
      <c r="A97" s="15"/>
      <c r="B97" s="15"/>
      <c r="C97" s="9" t="s">
        <v>129</v>
      </c>
      <c r="D97" s="11">
        <f>Orders!F97-Collection!H97</f>
        <v>0</v>
      </c>
    </row>
    <row r="98" spans="1:5">
      <c r="A98" s="16" t="s">
        <v>130</v>
      </c>
      <c r="B98" s="16"/>
      <c r="C98" s="16"/>
      <c r="D98" s="17">
        <v>0.1</v>
      </c>
      <c r="E98" s="8">
        <f>SUM(D99:D175)</f>
        <v>15000</v>
      </c>
    </row>
    <row r="99" hidden="1" spans="1:4">
      <c r="A99" s="9" t="s">
        <v>132</v>
      </c>
      <c r="B99" s="18">
        <v>9852773633</v>
      </c>
      <c r="C99" s="9" t="s">
        <v>133</v>
      </c>
      <c r="D99" s="11">
        <f>Orders!F99-Collection!H99</f>
        <v>0</v>
      </c>
    </row>
    <row r="100" hidden="1" spans="1:4">
      <c r="A100" s="9" t="s">
        <v>132</v>
      </c>
      <c r="B100" s="15"/>
      <c r="C100" s="9" t="s">
        <v>134</v>
      </c>
      <c r="D100" s="11">
        <f>Orders!F100-Collection!H100</f>
        <v>0</v>
      </c>
    </row>
    <row r="101" hidden="1" spans="1:4">
      <c r="A101" s="9" t="s">
        <v>132</v>
      </c>
      <c r="B101" s="15"/>
      <c r="C101" s="9"/>
      <c r="D101" s="11">
        <f>Orders!F101-Collection!H101</f>
        <v>0</v>
      </c>
    </row>
    <row r="102" hidden="1" spans="1:4">
      <c r="A102" s="9" t="s">
        <v>132</v>
      </c>
      <c r="B102" s="15"/>
      <c r="C102" s="9" t="s">
        <v>135</v>
      </c>
      <c r="D102" s="11">
        <f>Orders!F102-Collection!H102</f>
        <v>0</v>
      </c>
    </row>
    <row r="103" hidden="1" spans="1:4">
      <c r="A103" s="9" t="s">
        <v>132</v>
      </c>
      <c r="B103" s="15">
        <v>9122190230</v>
      </c>
      <c r="C103" s="9" t="s">
        <v>137</v>
      </c>
      <c r="D103" s="11">
        <f>Orders!F103-Collection!H103</f>
        <v>0</v>
      </c>
    </row>
    <row r="104" hidden="1" spans="1:4">
      <c r="A104" s="9" t="s">
        <v>132</v>
      </c>
      <c r="B104" s="15">
        <v>9122242352</v>
      </c>
      <c r="C104" s="9" t="s">
        <v>139</v>
      </c>
      <c r="D104" s="11">
        <f>Orders!F104-Collection!H104</f>
        <v>0</v>
      </c>
    </row>
    <row r="105" hidden="1" spans="1:4">
      <c r="A105" s="9" t="s">
        <v>132</v>
      </c>
      <c r="B105" s="15"/>
      <c r="C105" s="9"/>
      <c r="D105" s="11">
        <f>Orders!F105-Collection!H105</f>
        <v>0</v>
      </c>
    </row>
    <row r="106" hidden="1" spans="1:4">
      <c r="A106" s="9" t="s">
        <v>132</v>
      </c>
      <c r="B106" s="15"/>
      <c r="C106" s="9" t="s">
        <v>140</v>
      </c>
      <c r="D106" s="11">
        <f>Orders!F106-Collection!H106</f>
        <v>0</v>
      </c>
    </row>
    <row r="107" spans="1:4">
      <c r="A107" s="9" t="s">
        <v>132</v>
      </c>
      <c r="B107" s="15">
        <v>7979719608</v>
      </c>
      <c r="C107" s="9" t="s">
        <v>142</v>
      </c>
      <c r="D107" s="11">
        <f>Orders!F107-Collection!H107</f>
        <v>1000</v>
      </c>
    </row>
    <row r="108" hidden="1" spans="1:4">
      <c r="A108" s="9" t="s">
        <v>132</v>
      </c>
      <c r="B108" s="15"/>
      <c r="C108" s="9" t="s">
        <v>143</v>
      </c>
      <c r="D108" s="11">
        <f>Orders!F108-Collection!H108</f>
        <v>0</v>
      </c>
    </row>
    <row r="109" hidden="1" spans="1:4">
      <c r="A109" s="9" t="s">
        <v>132</v>
      </c>
      <c r="B109" s="15"/>
      <c r="C109" s="9" t="s">
        <v>144</v>
      </c>
      <c r="D109" s="11">
        <f>Orders!F109-Collection!H109</f>
        <v>0</v>
      </c>
    </row>
    <row r="110" hidden="1" spans="1:4">
      <c r="A110" s="9" t="s">
        <v>132</v>
      </c>
      <c r="B110" s="15"/>
      <c r="C110" s="9" t="s">
        <v>145</v>
      </c>
      <c r="D110" s="11">
        <f>Orders!F110-Collection!H110</f>
        <v>0</v>
      </c>
    </row>
    <row r="111" hidden="1" spans="1:4">
      <c r="A111" s="9" t="s">
        <v>132</v>
      </c>
      <c r="B111" s="15">
        <v>9006359166</v>
      </c>
      <c r="C111" s="9" t="s">
        <v>147</v>
      </c>
      <c r="D111" s="11">
        <f>Orders!F111-Collection!H111</f>
        <v>0</v>
      </c>
    </row>
    <row r="112" spans="1:4">
      <c r="A112" s="9" t="s">
        <v>132</v>
      </c>
      <c r="B112" s="15">
        <v>8210148576</v>
      </c>
      <c r="C112" s="9" t="s">
        <v>149</v>
      </c>
      <c r="D112" s="11">
        <f>Orders!F112-Collection!H112</f>
        <v>1000</v>
      </c>
    </row>
    <row r="113" hidden="1" spans="1:4">
      <c r="A113" s="9" t="s">
        <v>132</v>
      </c>
      <c r="B113" s="15">
        <v>7258828840</v>
      </c>
      <c r="C113" s="9" t="s">
        <v>151</v>
      </c>
      <c r="D113" s="11">
        <f>Orders!F113-Collection!H113</f>
        <v>0</v>
      </c>
    </row>
    <row r="114" hidden="1" spans="1:4">
      <c r="A114" s="9" t="s">
        <v>132</v>
      </c>
      <c r="B114" s="15"/>
      <c r="C114" s="9" t="s">
        <v>152</v>
      </c>
      <c r="D114" s="11">
        <f>Orders!F114-Collection!H114</f>
        <v>0</v>
      </c>
    </row>
    <row r="115" hidden="1" spans="1:4">
      <c r="A115" s="9" t="s">
        <v>132</v>
      </c>
      <c r="B115" s="15">
        <v>9852620786</v>
      </c>
      <c r="C115" s="9" t="s">
        <v>154</v>
      </c>
      <c r="D115" s="11">
        <f>Orders!F115-Collection!H115</f>
        <v>0</v>
      </c>
    </row>
    <row r="116" hidden="1" spans="1:4">
      <c r="A116" s="9" t="s">
        <v>132</v>
      </c>
      <c r="B116" s="15">
        <v>7004129753</v>
      </c>
      <c r="C116" s="9" t="s">
        <v>156</v>
      </c>
      <c r="D116" s="11">
        <f>Orders!F116-Collection!H116</f>
        <v>0</v>
      </c>
    </row>
    <row r="117" hidden="1" spans="1:4">
      <c r="A117" s="9" t="s">
        <v>132</v>
      </c>
      <c r="B117" s="15">
        <v>7004308089</v>
      </c>
      <c r="C117" s="9" t="s">
        <v>158</v>
      </c>
      <c r="D117" s="11">
        <f>Orders!F117-Collection!H117</f>
        <v>0</v>
      </c>
    </row>
    <row r="118" hidden="1" spans="1:4">
      <c r="A118" s="9" t="s">
        <v>132</v>
      </c>
      <c r="B118" s="15">
        <v>748803334</v>
      </c>
      <c r="C118" s="9" t="s">
        <v>160</v>
      </c>
      <c r="D118" s="11">
        <f>Orders!F118-Collection!H118</f>
        <v>0</v>
      </c>
    </row>
    <row r="119" hidden="1" spans="1:4">
      <c r="A119" s="9" t="s">
        <v>132</v>
      </c>
      <c r="B119" s="15">
        <v>9199240992</v>
      </c>
      <c r="C119" s="9" t="s">
        <v>162</v>
      </c>
      <c r="D119" s="11">
        <f>Orders!F119-Collection!H119</f>
        <v>0</v>
      </c>
    </row>
    <row r="120" hidden="1" spans="1:4">
      <c r="A120" s="9" t="s">
        <v>132</v>
      </c>
      <c r="B120" s="15"/>
      <c r="C120" s="9" t="s">
        <v>163</v>
      </c>
      <c r="D120" s="11">
        <f>Orders!F120-Collection!H120</f>
        <v>0</v>
      </c>
    </row>
    <row r="121" hidden="1" spans="1:4">
      <c r="A121" s="9" t="s">
        <v>132</v>
      </c>
      <c r="B121" s="15">
        <v>9931256580</v>
      </c>
      <c r="C121" s="9" t="s">
        <v>165</v>
      </c>
      <c r="D121" s="11">
        <f>Orders!F121-Collection!H121</f>
        <v>0</v>
      </c>
    </row>
    <row r="122" spans="1:4">
      <c r="A122" s="9" t="s">
        <v>132</v>
      </c>
      <c r="B122" s="15">
        <v>9931070730</v>
      </c>
      <c r="C122" s="9" t="s">
        <v>167</v>
      </c>
      <c r="D122" s="11">
        <f>Orders!F122-Collection!H122</f>
        <v>2000</v>
      </c>
    </row>
    <row r="123" hidden="1" spans="1:4">
      <c r="A123" s="9" t="s">
        <v>132</v>
      </c>
      <c r="B123" s="15"/>
      <c r="C123" s="9" t="s">
        <v>168</v>
      </c>
      <c r="D123" s="11">
        <f>Orders!F123-Collection!H123</f>
        <v>0</v>
      </c>
    </row>
    <row r="124" hidden="1" spans="1:4">
      <c r="A124" s="9" t="s">
        <v>132</v>
      </c>
      <c r="B124" s="15">
        <v>9852792631</v>
      </c>
      <c r="C124" s="9" t="s">
        <v>170</v>
      </c>
      <c r="D124" s="11">
        <f>Orders!F124-Collection!H124</f>
        <v>0</v>
      </c>
    </row>
    <row r="125" hidden="1" spans="1:4">
      <c r="A125" s="9" t="s">
        <v>132</v>
      </c>
      <c r="B125" s="15">
        <v>7004129804</v>
      </c>
      <c r="C125" s="9" t="s">
        <v>172</v>
      </c>
      <c r="D125" s="11">
        <f>Orders!F125-Collection!H125</f>
        <v>0</v>
      </c>
    </row>
    <row r="126" hidden="1" spans="1:4">
      <c r="A126" s="9" t="s">
        <v>132</v>
      </c>
      <c r="B126" s="15"/>
      <c r="C126" s="9" t="s">
        <v>173</v>
      </c>
      <c r="D126" s="11">
        <f>Orders!F126-Collection!H126</f>
        <v>0</v>
      </c>
    </row>
    <row r="127" hidden="1" spans="1:4">
      <c r="A127" s="9" t="s">
        <v>132</v>
      </c>
      <c r="B127" s="15">
        <v>8235940652</v>
      </c>
      <c r="C127" s="9" t="s">
        <v>174</v>
      </c>
      <c r="D127" s="11">
        <f>Orders!F127-Collection!H127</f>
        <v>0</v>
      </c>
    </row>
    <row r="128" hidden="1" spans="1:4">
      <c r="A128" s="9" t="s">
        <v>132</v>
      </c>
      <c r="B128" s="15"/>
      <c r="C128" s="9" t="s">
        <v>175</v>
      </c>
      <c r="D128" s="11">
        <f>Orders!F128-Collection!H128</f>
        <v>0</v>
      </c>
    </row>
    <row r="129" hidden="1" spans="1:4">
      <c r="A129" s="9" t="s">
        <v>82</v>
      </c>
      <c r="B129" s="15"/>
      <c r="C129" s="9"/>
      <c r="D129" s="11">
        <f>Orders!F129-Collection!H129</f>
        <v>0</v>
      </c>
    </row>
    <row r="130" hidden="1" spans="1:4">
      <c r="A130" s="9" t="s">
        <v>82</v>
      </c>
      <c r="B130" s="15">
        <v>9097671230</v>
      </c>
      <c r="C130" s="9" t="s">
        <v>176</v>
      </c>
      <c r="D130" s="11">
        <f>Orders!F130-Collection!H130</f>
        <v>0</v>
      </c>
    </row>
    <row r="131" hidden="1" spans="1:4">
      <c r="A131" s="9" t="s">
        <v>82</v>
      </c>
      <c r="B131" s="15">
        <v>7482908246</v>
      </c>
      <c r="C131" s="9" t="s">
        <v>178</v>
      </c>
      <c r="D131" s="11">
        <f>Orders!F131-Collection!H131</f>
        <v>0</v>
      </c>
    </row>
    <row r="132" hidden="1" spans="1:4">
      <c r="A132" s="9" t="s">
        <v>82</v>
      </c>
      <c r="B132" s="15"/>
      <c r="C132" s="9"/>
      <c r="D132" s="11">
        <f>Orders!F132-Collection!H132</f>
        <v>0</v>
      </c>
    </row>
    <row r="133" hidden="1" spans="1:4">
      <c r="A133" s="9" t="s">
        <v>82</v>
      </c>
      <c r="B133" s="15">
        <v>9939518710</v>
      </c>
      <c r="C133" s="9" t="s">
        <v>179</v>
      </c>
      <c r="D133" s="11">
        <f>Orders!F133-Collection!H133</f>
        <v>0</v>
      </c>
    </row>
    <row r="134" spans="1:4">
      <c r="A134" s="9" t="s">
        <v>82</v>
      </c>
      <c r="B134" s="15">
        <v>8340109140</v>
      </c>
      <c r="C134" s="9" t="s">
        <v>180</v>
      </c>
      <c r="D134" s="11">
        <f>Orders!F134-Collection!H134</f>
        <v>2000</v>
      </c>
    </row>
    <row r="135" hidden="1" spans="1:4">
      <c r="A135" s="9" t="s">
        <v>82</v>
      </c>
      <c r="B135" s="15">
        <v>7004763796</v>
      </c>
      <c r="C135" s="9" t="s">
        <v>181</v>
      </c>
      <c r="D135" s="11">
        <f>Orders!F135-Collection!H135</f>
        <v>0</v>
      </c>
    </row>
    <row r="136" hidden="1" spans="1:4">
      <c r="A136" s="9" t="s">
        <v>82</v>
      </c>
      <c r="B136" s="15"/>
      <c r="C136" s="9" t="s">
        <v>182</v>
      </c>
      <c r="D136" s="11">
        <f>Orders!F136-Collection!H136</f>
        <v>0</v>
      </c>
    </row>
    <row r="137" hidden="1" spans="1:4">
      <c r="A137" s="9" t="s">
        <v>82</v>
      </c>
      <c r="B137" s="15">
        <v>7033228726</v>
      </c>
      <c r="C137" s="9"/>
      <c r="D137" s="11">
        <f>Orders!F137-Collection!H137</f>
        <v>0</v>
      </c>
    </row>
    <row r="138" hidden="1" spans="1:4">
      <c r="A138" s="9" t="s">
        <v>82</v>
      </c>
      <c r="B138" s="15"/>
      <c r="C138" s="9" t="s">
        <v>183</v>
      </c>
      <c r="D138" s="11">
        <f>Orders!F138-Collection!H138</f>
        <v>0</v>
      </c>
    </row>
    <row r="139" hidden="1" spans="1:4">
      <c r="A139" s="9" t="s">
        <v>82</v>
      </c>
      <c r="B139" s="15"/>
      <c r="C139" s="9" t="s">
        <v>184</v>
      </c>
      <c r="D139" s="11">
        <f>Orders!F139-Collection!H139</f>
        <v>0</v>
      </c>
    </row>
    <row r="140" hidden="1" spans="1:4">
      <c r="A140" s="9" t="s">
        <v>82</v>
      </c>
      <c r="B140" s="15">
        <v>8825232517</v>
      </c>
      <c r="C140" s="9" t="s">
        <v>185</v>
      </c>
      <c r="D140" s="11">
        <f>Orders!F140-Collection!H140</f>
        <v>0</v>
      </c>
    </row>
    <row r="141" hidden="1" spans="1:4">
      <c r="A141" s="9" t="s">
        <v>82</v>
      </c>
      <c r="B141" s="15">
        <v>9939163568</v>
      </c>
      <c r="C141" s="9" t="s">
        <v>186</v>
      </c>
      <c r="D141" s="11">
        <f>Orders!F141-Collection!H141</f>
        <v>0</v>
      </c>
    </row>
    <row r="142" spans="1:4">
      <c r="A142" s="9" t="s">
        <v>82</v>
      </c>
      <c r="B142" s="15">
        <v>8804656537</v>
      </c>
      <c r="C142" s="9" t="s">
        <v>187</v>
      </c>
      <c r="D142" s="11">
        <f>Orders!F142-Collection!H142</f>
        <v>3000</v>
      </c>
    </row>
    <row r="143" hidden="1" spans="1:4">
      <c r="A143" s="9" t="s">
        <v>82</v>
      </c>
      <c r="B143" s="15">
        <v>9798383030</v>
      </c>
      <c r="C143" s="9" t="s">
        <v>188</v>
      </c>
      <c r="D143" s="11">
        <f>Orders!F143-Collection!H143</f>
        <v>0</v>
      </c>
    </row>
    <row r="144" hidden="1" spans="1:4">
      <c r="A144" s="9" t="s">
        <v>82</v>
      </c>
      <c r="B144" s="15">
        <v>9801442328</v>
      </c>
      <c r="C144" s="9" t="s">
        <v>189</v>
      </c>
      <c r="D144" s="11">
        <f>Orders!F144-Collection!H144</f>
        <v>0</v>
      </c>
    </row>
    <row r="145" hidden="1" spans="1:4">
      <c r="A145" s="9" t="s">
        <v>82</v>
      </c>
      <c r="B145" s="15"/>
      <c r="C145" s="9" t="s">
        <v>190</v>
      </c>
      <c r="D145" s="11">
        <f>Orders!F145-Collection!H145</f>
        <v>0</v>
      </c>
    </row>
    <row r="146" hidden="1" spans="1:4">
      <c r="A146" s="9" t="s">
        <v>191</v>
      </c>
      <c r="B146" s="15">
        <v>6207066085</v>
      </c>
      <c r="C146" s="9" t="s">
        <v>192</v>
      </c>
      <c r="D146" s="11">
        <f>Orders!F146-Collection!H146</f>
        <v>0</v>
      </c>
    </row>
    <row r="147" hidden="1" spans="1:4">
      <c r="A147" s="9" t="s">
        <v>191</v>
      </c>
      <c r="B147" s="15"/>
      <c r="C147" s="9" t="s">
        <v>193</v>
      </c>
      <c r="D147" s="11">
        <f>Orders!F147-Collection!H147</f>
        <v>0</v>
      </c>
    </row>
    <row r="148" hidden="1" spans="1:4">
      <c r="A148" s="9" t="s">
        <v>191</v>
      </c>
      <c r="B148" s="15">
        <v>8207701228</v>
      </c>
      <c r="C148" s="9" t="s">
        <v>194</v>
      </c>
      <c r="D148" s="11">
        <f>Orders!F148-Collection!H148</f>
        <v>0</v>
      </c>
    </row>
    <row r="149" hidden="1" spans="1:4">
      <c r="A149" s="9" t="s">
        <v>191</v>
      </c>
      <c r="B149" s="15"/>
      <c r="C149" s="9"/>
      <c r="D149" s="11">
        <f>Orders!F149-Collection!H149</f>
        <v>0</v>
      </c>
    </row>
    <row r="150" hidden="1" spans="1:4">
      <c r="A150" s="9" t="s">
        <v>191</v>
      </c>
      <c r="B150" s="15"/>
      <c r="C150" s="9"/>
      <c r="D150" s="11">
        <f>Orders!F150-Collection!H150</f>
        <v>0</v>
      </c>
    </row>
    <row r="151" hidden="1" spans="1:4">
      <c r="A151" s="9" t="s">
        <v>195</v>
      </c>
      <c r="B151" s="15">
        <v>9507432307</v>
      </c>
      <c r="C151" s="9" t="s">
        <v>196</v>
      </c>
      <c r="D151" s="11">
        <f>Orders!F151-Collection!H151</f>
        <v>0</v>
      </c>
    </row>
    <row r="152" hidden="1" spans="1:4">
      <c r="A152" s="9" t="s">
        <v>195</v>
      </c>
      <c r="B152" s="15"/>
      <c r="C152" s="9"/>
      <c r="D152" s="11">
        <f>Orders!F152-Collection!H152</f>
        <v>0</v>
      </c>
    </row>
    <row r="153" spans="1:4">
      <c r="A153" s="9" t="s">
        <v>195</v>
      </c>
      <c r="B153" s="15">
        <v>9113391144</v>
      </c>
      <c r="C153" s="9" t="s">
        <v>198</v>
      </c>
      <c r="D153" s="11">
        <f>Orders!F153-Collection!H153</f>
        <v>2000</v>
      </c>
    </row>
    <row r="154" hidden="1" spans="1:4">
      <c r="A154" s="9" t="s">
        <v>195</v>
      </c>
      <c r="B154" s="15"/>
      <c r="C154" s="9"/>
      <c r="D154" s="11">
        <f>Orders!F154-Collection!H154</f>
        <v>0</v>
      </c>
    </row>
    <row r="155" hidden="1" spans="1:4">
      <c r="A155" s="9" t="s">
        <v>199</v>
      </c>
      <c r="B155" s="15"/>
      <c r="C155" s="9" t="s">
        <v>200</v>
      </c>
      <c r="D155" s="11">
        <f>Orders!F155-Collection!H155</f>
        <v>0</v>
      </c>
    </row>
    <row r="156" hidden="1" spans="1:4">
      <c r="A156" s="9" t="s">
        <v>199</v>
      </c>
      <c r="B156" s="15"/>
      <c r="C156" s="9"/>
      <c r="D156" s="11">
        <f>Orders!F156-Collection!H156</f>
        <v>0</v>
      </c>
    </row>
    <row r="157" hidden="1" spans="1:4">
      <c r="A157" s="9" t="s">
        <v>199</v>
      </c>
      <c r="B157" s="15"/>
      <c r="C157" s="9"/>
      <c r="D157" s="11">
        <f>Orders!F157-Collection!H157</f>
        <v>0</v>
      </c>
    </row>
    <row r="158" hidden="1" spans="1:4">
      <c r="A158" s="9" t="s">
        <v>23</v>
      </c>
      <c r="B158" s="15"/>
      <c r="C158" s="9"/>
      <c r="D158" s="11">
        <f>Orders!F158-Collection!H158</f>
        <v>0</v>
      </c>
    </row>
    <row r="159" hidden="1" spans="1:4">
      <c r="A159" s="9"/>
      <c r="B159" s="15"/>
      <c r="C159" s="9"/>
      <c r="D159" s="11">
        <f>Orders!F159-Collection!H159</f>
        <v>0</v>
      </c>
    </row>
    <row r="160" hidden="1" spans="1:4">
      <c r="A160" s="9" t="s">
        <v>201</v>
      </c>
      <c r="B160" s="15">
        <v>9110027071</v>
      </c>
      <c r="C160" s="9" t="s">
        <v>202</v>
      </c>
      <c r="D160" s="11">
        <f>Orders!F160-Collection!H160</f>
        <v>0</v>
      </c>
    </row>
    <row r="161" spans="1:4">
      <c r="A161" s="9" t="s">
        <v>203</v>
      </c>
      <c r="B161" s="15">
        <v>8210849560</v>
      </c>
      <c r="C161" s="9" t="s">
        <v>204</v>
      </c>
      <c r="D161" s="11">
        <f>Orders!F161-Collection!H161</f>
        <v>2000</v>
      </c>
    </row>
    <row r="162" hidden="1" spans="1:4">
      <c r="A162" s="9"/>
      <c r="B162" s="15"/>
      <c r="C162" s="9"/>
      <c r="D162" s="11">
        <f>Orders!F162-Collection!H162</f>
        <v>0</v>
      </c>
    </row>
    <row r="163" hidden="1" spans="1:4">
      <c r="A163" s="9"/>
      <c r="B163" s="15"/>
      <c r="C163" s="9"/>
      <c r="D163" s="11">
        <f>Orders!F163-Collection!H163</f>
        <v>0</v>
      </c>
    </row>
    <row r="164" hidden="1" spans="1:4">
      <c r="A164" s="9"/>
      <c r="B164" s="15"/>
      <c r="C164" s="9"/>
      <c r="D164" s="11">
        <f>Orders!F164-Collection!H164</f>
        <v>0</v>
      </c>
    </row>
    <row r="165" hidden="1" spans="1:4">
      <c r="A165" s="9"/>
      <c r="B165" s="15"/>
      <c r="C165" s="9"/>
      <c r="D165" s="11">
        <f>Orders!F165-Collection!H165</f>
        <v>0</v>
      </c>
    </row>
    <row r="166" hidden="1" spans="1:4">
      <c r="A166" s="9" t="s">
        <v>77</v>
      </c>
      <c r="B166" s="15"/>
      <c r="C166" s="9" t="s">
        <v>205</v>
      </c>
      <c r="D166" s="11">
        <f>Orders!F166-Collection!H166</f>
        <v>0</v>
      </c>
    </row>
    <row r="167" hidden="1" spans="1:4">
      <c r="A167" s="9" t="s">
        <v>206</v>
      </c>
      <c r="B167" s="15">
        <v>7903210589</v>
      </c>
      <c r="C167" s="9" t="s">
        <v>207</v>
      </c>
      <c r="D167" s="11">
        <f>Orders!F167-Collection!H167</f>
        <v>0</v>
      </c>
    </row>
    <row r="168" hidden="1" spans="1:4">
      <c r="A168" s="9" t="s">
        <v>206</v>
      </c>
      <c r="B168" s="15">
        <v>6203201991</v>
      </c>
      <c r="C168" s="9" t="s">
        <v>208</v>
      </c>
      <c r="D168" s="11">
        <f>Orders!F168-Collection!H168</f>
        <v>0</v>
      </c>
    </row>
    <row r="169" hidden="1" spans="1:4">
      <c r="A169" s="9" t="s">
        <v>206</v>
      </c>
      <c r="B169" s="15">
        <v>7903748069</v>
      </c>
      <c r="C169" s="9" t="s">
        <v>209</v>
      </c>
      <c r="D169" s="11">
        <f>Orders!F169-Collection!H169</f>
        <v>0</v>
      </c>
    </row>
    <row r="170" hidden="1" spans="1:4">
      <c r="A170" s="9" t="s">
        <v>206</v>
      </c>
      <c r="B170" s="15">
        <v>8709003781</v>
      </c>
      <c r="C170" s="9" t="s">
        <v>210</v>
      </c>
      <c r="D170" s="11">
        <f>Orders!F170-Collection!H170</f>
        <v>0</v>
      </c>
    </row>
    <row r="171" hidden="1" spans="1:4">
      <c r="A171" s="9" t="s">
        <v>206</v>
      </c>
      <c r="B171" s="15">
        <v>8789050082</v>
      </c>
      <c r="C171" s="9" t="s">
        <v>211</v>
      </c>
      <c r="D171" s="11">
        <f>Orders!F171-Collection!H171</f>
        <v>0</v>
      </c>
    </row>
    <row r="172" hidden="1" spans="1:4">
      <c r="A172" s="9" t="s">
        <v>206</v>
      </c>
      <c r="B172" s="15">
        <v>8002924498</v>
      </c>
      <c r="C172" s="9" t="s">
        <v>213</v>
      </c>
      <c r="D172" s="11">
        <f>Orders!F172-Collection!H172</f>
        <v>0</v>
      </c>
    </row>
    <row r="173" hidden="1" spans="1:4">
      <c r="A173" s="9" t="s">
        <v>206</v>
      </c>
      <c r="B173" s="15">
        <v>7050470759</v>
      </c>
      <c r="C173" s="9" t="s">
        <v>214</v>
      </c>
      <c r="D173" s="11">
        <f>Orders!F173-Collection!H173</f>
        <v>0</v>
      </c>
    </row>
    <row r="174" hidden="1" spans="1:4">
      <c r="A174" s="9" t="s">
        <v>215</v>
      </c>
      <c r="B174" s="15"/>
      <c r="C174" s="9" t="s">
        <v>216</v>
      </c>
      <c r="D174" s="11">
        <f>Orders!F174-Collection!H174</f>
        <v>0</v>
      </c>
    </row>
    <row r="175" spans="1:4">
      <c r="A175" s="9" t="s">
        <v>215</v>
      </c>
      <c r="B175" s="15">
        <v>9852299198</v>
      </c>
      <c r="C175" s="9" t="s">
        <v>217</v>
      </c>
      <c r="D175" s="11">
        <f>Orders!F175-Collection!H175</f>
        <v>2000</v>
      </c>
    </row>
  </sheetData>
  <autoFilter ref="A1:D175">
    <filterColumn colId="3">
      <filters>
        <filter val="1000"/>
        <filter val="1100"/>
        <filter val="2000"/>
        <filter val="2500"/>
        <filter val="2800"/>
        <filter val="3000"/>
        <filter val="3800"/>
        <filter val="4000"/>
        <filter val="5000"/>
        <filter val="6000"/>
        <filter val="8000"/>
        <filter val="20000"/>
        <filter val="254200"/>
        <filter val="0.1"/>
      </filters>
    </filterColumn>
    <extLst/>
  </autoFilter>
  <mergeCells count="1">
    <mergeCell ref="A98:C9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Smart1001Ajay</cp:lastModifiedBy>
  <dcterms:created xsi:type="dcterms:W3CDTF">2021-02-14T14:04:00Z</dcterms:created>
  <dcterms:modified xsi:type="dcterms:W3CDTF">2021-07-05T01:53:27Z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  <property fmtid="{D5CDD505-2E9C-101B-9397-08002B2CF9AE}" pid="3" name="KSOReadingLayout">
    <vt:bool>true</vt:bool>
  </property>
</Properties>
</file>