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 activeTab="2"/>
  </bookViews>
  <sheets>
    <sheet name="Orders" sheetId="1" r:id="rId1"/>
    <sheet name="Collection" sheetId="2" r:id="rId2"/>
    <sheet name="AmtToCollect" sheetId="3" r:id="rId3"/>
  </sheets>
  <definedNames>
    <definedName name="_xlnm._FilterDatabase" localSheetId="2" hidden="1">AmtToCollect!$A$1:$D$96</definedName>
  </definedNames>
  <calcPr calcId="144525"/>
</workbook>
</file>

<file path=xl/comments1.xml><?xml version="1.0" encoding="utf-8"?>
<comments xmlns="http://schemas.openxmlformats.org/spreadsheetml/2006/main">
  <authors>
    <author>Vijay</author>
  </authors>
  <commentList>
    <comment ref="AE7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2080-Auto
2080-Auto</t>
        </r>
      </text>
    </comment>
    <comment ref="AM7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2080-Auto
2080-Auto</t>
        </r>
      </text>
    </comment>
    <comment ref="AK10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2080-Auto
1040-Manual</t>
        </r>
      </text>
    </comment>
    <comment ref="K35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1040-Auto
1040-Manual</t>
        </r>
      </text>
    </comment>
    <comment ref="AL46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2080-Auto
1040-Manual</t>
        </r>
      </text>
    </comment>
    <comment ref="P62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2080-Auto
2080-Auto</t>
        </r>
      </text>
    </comment>
    <comment ref="AF78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2080-Auto
2080-Auto</t>
        </r>
      </text>
    </comment>
  </commentList>
</comments>
</file>

<file path=xl/comments2.xml><?xml version="1.0" encoding="utf-8"?>
<comments xmlns="http://schemas.openxmlformats.org/spreadsheetml/2006/main">
  <authors>
    <author>Vijay</author>
  </authors>
  <commentList>
    <comment ref="AM7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4900-Digital
100-Cash</t>
        </r>
      </text>
    </comment>
    <comment ref="I14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1000-Cash
500-Digital</t>
        </r>
      </text>
    </comment>
    <comment ref="N16" authorId="0">
      <text>
        <r>
          <rPr>
            <b/>
            <sz val="9"/>
            <rFont val="Times New Roman"/>
            <charset val="0"/>
          </rPr>
          <t xml:space="preserve">Vijay:
</t>
        </r>
        <r>
          <rPr>
            <sz val="9"/>
            <rFont val="Times New Roman"/>
            <charset val="0"/>
          </rPr>
          <t>Received on 7 May Early Morning</t>
        </r>
      </text>
    </comment>
    <comment ref="AL73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6000-Recharge
6000-Jio Phone</t>
        </r>
      </text>
    </comment>
  </commentList>
</comments>
</file>

<file path=xl/sharedStrings.xml><?xml version="1.0" encoding="utf-8"?>
<sst xmlns="http://schemas.openxmlformats.org/spreadsheetml/2006/main" count="679" uniqueCount="215">
  <si>
    <t>S.No.</t>
  </si>
  <si>
    <t>Alias Name</t>
  </si>
  <si>
    <t>Retailer Id</t>
  </si>
  <si>
    <t>Area</t>
  </si>
  <si>
    <t>Retailer Name</t>
  </si>
  <si>
    <t>Amount To be Collect</t>
  </si>
  <si>
    <t>Total Order</t>
  </si>
  <si>
    <t>Carry Amt to collect</t>
  </si>
  <si>
    <t>Total:</t>
  </si>
  <si>
    <t>AGNOOR</t>
  </si>
  <si>
    <t>S K COMMUNICATION(661475194)</t>
  </si>
  <si>
    <t>SAJNISH KIRANA(661644709)</t>
  </si>
  <si>
    <t>Amit</t>
  </si>
  <si>
    <t>MAHI TELECOM ELECTRONICS(661644706)</t>
  </si>
  <si>
    <t>Ganesh</t>
  </si>
  <si>
    <t>ARVIND AIRTEL EGRECHARGE CENTR(661591709)</t>
  </si>
  <si>
    <t>shakti</t>
  </si>
  <si>
    <t>pawan and ravi telicom(660604868)</t>
  </si>
  <si>
    <t>Satish</t>
  </si>
  <si>
    <t>PRABHAT TELECOM &amp; ELECTRIC(661066820)</t>
  </si>
  <si>
    <t>SINGH TELECOM(661066803)</t>
  </si>
  <si>
    <t>Ankit</t>
  </si>
  <si>
    <t>ANKIT TELECOM(660324751)</t>
  </si>
  <si>
    <t>KALER</t>
  </si>
  <si>
    <t>NAVEEN MOBILE CENTRE(660903120)</t>
  </si>
  <si>
    <t>SANTOSH PUSTAK BHANDAR(661063900)</t>
  </si>
  <si>
    <t>RAJA MOBILE CENTER(661032976)</t>
  </si>
  <si>
    <t>KALLU JI DOWN LOADING CENTRE(661066808)</t>
  </si>
  <si>
    <t>Praduman</t>
  </si>
  <si>
    <t>NAVEEN RECHARGE CENTRE(661474491)</t>
  </si>
  <si>
    <t>Rohit Mobile Care-(662161247)</t>
  </si>
  <si>
    <t>Vikash Amir Bigha</t>
  </si>
  <si>
    <t>BHUMIKA ELECTRONICS(660320662)</t>
  </si>
  <si>
    <t>Amit Amir Bigha</t>
  </si>
  <si>
    <t>KRISHNA KIRANA STORE(661613674)</t>
  </si>
  <si>
    <t>Glaxy Mobile and Digital Studi(660587311)</t>
  </si>
  <si>
    <t>MAHENDIA</t>
  </si>
  <si>
    <t>SINGH COMMUNICATION(660315658)</t>
  </si>
  <si>
    <t>ASHU COMMUNICATION(661025161)</t>
  </si>
  <si>
    <t>ANIL PAN DUKAN(661705269)</t>
  </si>
  <si>
    <t>MAA VINDHWASHNI COMMUNICATION(660301564)</t>
  </si>
  <si>
    <t>MUKESH PAN BHANDAR(661613669)</t>
  </si>
  <si>
    <t>Maa Bhindwashni Mobile Center(660587310)</t>
  </si>
  <si>
    <t>MS RIYA ENTERPRISES(661562283)</t>
  </si>
  <si>
    <t>ANKIT MOBILE CENTRE(661025000)</t>
  </si>
  <si>
    <t>Sahaj Vasudha Kendra(660624994)</t>
  </si>
  <si>
    <t>rangoli singar general store(660604869)</t>
  </si>
  <si>
    <t>SUBODH PAN(661562286)</t>
  </si>
  <si>
    <t>GUPTA PAN DUKAN(661063901)</t>
  </si>
  <si>
    <t>SUMAN PHONE GHAR(660315655)</t>
  </si>
  <si>
    <t>BAJRANG MOBILE ELECTRIC &amp; ELEC(661591707)</t>
  </si>
  <si>
    <t>WALIDAD</t>
  </si>
  <si>
    <t>ALL THE BEST COMMUNICATION(661096390)</t>
  </si>
  <si>
    <t>NOKIA REPAIRING CENTER(660301577)</t>
  </si>
  <si>
    <t>PRINCE COMMUNICATION(660831270)</t>
  </si>
  <si>
    <t>Vicky Communication(660614434)</t>
  </si>
  <si>
    <t>Kaler Electronics(660628532)</t>
  </si>
  <si>
    <t>MS OM COMPUTER(661542289)</t>
  </si>
  <si>
    <t>SANTU KIRANA STORE(661752211)</t>
  </si>
  <si>
    <t>ujjwal pustak bhandar(660849999)</t>
  </si>
  <si>
    <t>PAYAL COMMNICATION(661644712)</t>
  </si>
  <si>
    <t>PRAVEEN ELECTRONICS(660831267)</t>
  </si>
  <si>
    <t>SONU PHONEX(661752239)</t>
  </si>
  <si>
    <t>CHANDAN TELECOM(661644693)</t>
  </si>
  <si>
    <t>USRI</t>
  </si>
  <si>
    <t>MEDIA MOBILE GALLERY(660315675)</t>
  </si>
  <si>
    <t>PAWAN PAY PHONE(660297502)</t>
  </si>
  <si>
    <t>KUMAR INTERNET(660322625)</t>
  </si>
  <si>
    <t>PRITI MOBILE CENTRE(660297509)</t>
  </si>
  <si>
    <t>PATEL TELECOM(661644686)</t>
  </si>
  <si>
    <t>KRISH RAJ MOBILE &amp; ELECTRONIC(661032970)</t>
  </si>
  <si>
    <t>UTKARSH ENTERPRISES(661673664)</t>
  </si>
  <si>
    <t>DIVYANKA MOBILE CENTER(660315660)</t>
  </si>
  <si>
    <t>Anant Mobile Gallery-(662173660)</t>
  </si>
  <si>
    <t>SHASHANK MOBILE(661969234)</t>
  </si>
  <si>
    <t>SANGAM GENERAL STORE(661644708)</t>
  </si>
  <si>
    <t>Neha Phonex(660614432)</t>
  </si>
  <si>
    <t>PARASI</t>
  </si>
  <si>
    <t>ANISH MOBILE CENTER(661474493)</t>
  </si>
  <si>
    <t>SINGH ENTERPRISES(660865703)</t>
  </si>
  <si>
    <t>SHAHAZ VASHUDHA KENDRA(661377147)</t>
  </si>
  <si>
    <t>KALER ENTERPRISES(661674410)</t>
  </si>
  <si>
    <t>BADRABAD</t>
  </si>
  <si>
    <t>ANJALI MOBILE RAMPURCHAE(661735620)</t>
  </si>
  <si>
    <t>SONU PHONE GHAR(660815245)</t>
  </si>
  <si>
    <t>Ganga communication</t>
  </si>
  <si>
    <t>0681066927/0681961014</t>
  </si>
  <si>
    <t>MAA VINDHYAVASINI MOBILE CENTE(660064218)</t>
  </si>
  <si>
    <t>ITWA</t>
  </si>
  <si>
    <t>Ananya Communication-(662161233)</t>
  </si>
  <si>
    <t>chintu electronics(662114680)</t>
  </si>
  <si>
    <t>NIRANJANPUR</t>
  </si>
  <si>
    <t>RAJESH TELECOM(661613671)</t>
  </si>
  <si>
    <t>CHANDA</t>
  </si>
  <si>
    <t>MAA TELECOM(661361714)</t>
  </si>
  <si>
    <t>RAJU TELECOM(661673669)</t>
  </si>
  <si>
    <t>satyam mobile(661811583)</t>
  </si>
  <si>
    <t>ARYANS PRINTER REPAIRING CENTE(662074228)</t>
  </si>
  <si>
    <t>SHASHI PAY PHONE(661176231)</t>
  </si>
  <si>
    <t>SANDEEP TELECOM(661066825)</t>
  </si>
  <si>
    <t>SHRI SAI ELECTRONICS(661673670)</t>
  </si>
  <si>
    <t>RAJU PHONE GHAR(661613675)</t>
  </si>
  <si>
    <t>RAJESH TELECOM &amp; KIRANA DUKAN(661063895)</t>
  </si>
  <si>
    <t>BELSAR</t>
  </si>
  <si>
    <t>NISHA GENERAL STORE(661644683)</t>
  </si>
  <si>
    <t>PRAKASH GENERAL SRINGAR STORE(661303685)</t>
  </si>
  <si>
    <t>ANAND SRINGAR STORE(660831268)</t>
  </si>
  <si>
    <t>ROHIT SHOE STORE(661670729)</t>
  </si>
  <si>
    <t>Dhewai</t>
  </si>
  <si>
    <t>maa phone ghar(662077151)</t>
  </si>
  <si>
    <t>Payal Communication(660614430)</t>
  </si>
  <si>
    <t>KAMTA</t>
  </si>
  <si>
    <t>GRAMOTHAN SEVA KENDRA(661705272)</t>
  </si>
  <si>
    <t>Rounk Mobile and Electronics(660584652)</t>
  </si>
  <si>
    <t>Arwal</t>
  </si>
  <si>
    <t>RAJ PHONE HIRDYACHAK(661712682)</t>
  </si>
  <si>
    <t>Raj communication(660623659)</t>
  </si>
  <si>
    <t>SANGAM ENTERPRISES(661591706)</t>
  </si>
  <si>
    <t>Rupsagar</t>
  </si>
  <si>
    <t>sugam phone bathe(661711006)</t>
  </si>
  <si>
    <t>JANTA SEVA KENDRA(661752229)</t>
  </si>
  <si>
    <t>MUSKAN COMMUNICATION(662077126)</t>
  </si>
  <si>
    <t>SURAJ KIRANA STORE(661735618)</t>
  </si>
  <si>
    <t>SANTOSH MOBILE CENTER(660321089)</t>
  </si>
  <si>
    <t>JANTA MOBILE CENTRE(660322613)</t>
  </si>
  <si>
    <t>Gopalpur</t>
  </si>
  <si>
    <t>PRADEEP GENERAL STORE(661809210)</t>
  </si>
  <si>
    <t>6201704055(662077143)</t>
  </si>
  <si>
    <t>Manish mobile center(662157439)</t>
  </si>
  <si>
    <t>Contact</t>
  </si>
  <si>
    <t>Total</t>
  </si>
  <si>
    <t>Sanjeev Kr. Rahi</t>
  </si>
  <si>
    <t>Abhimanyu</t>
  </si>
  <si>
    <t>9123417146/7979995728</t>
  </si>
  <si>
    <t>Ganesh Lal Khatri</t>
  </si>
  <si>
    <t>Shakti</t>
  </si>
  <si>
    <t>Shakti/Ashok</t>
  </si>
  <si>
    <t>Shashi Satish</t>
  </si>
  <si>
    <t>NAVIN KUM</t>
  </si>
  <si>
    <t>SUCHENDRA</t>
  </si>
  <si>
    <t>Naveen</t>
  </si>
  <si>
    <t>Reyazul</t>
  </si>
  <si>
    <t>MD Gulam</t>
  </si>
  <si>
    <t>MD Gulam,Rina kri,SUAIB AK</t>
  </si>
  <si>
    <t>Sushil Kr.</t>
  </si>
  <si>
    <t>Vikas Amir Bigha</t>
  </si>
  <si>
    <t>Ranveer/Rina</t>
  </si>
  <si>
    <t>Sailesh</t>
  </si>
  <si>
    <t>SHAILESH</t>
  </si>
  <si>
    <t>Ajay 9939757903</t>
  </si>
  <si>
    <t>Sudhir Bandhan bank</t>
  </si>
  <si>
    <t>Aarti 9523733118</t>
  </si>
  <si>
    <t>Rajnish Kr 9708003669</t>
  </si>
  <si>
    <t>Shantnu Kr.</t>
  </si>
  <si>
    <t>Munna Kr.(PNB)/Manish</t>
  </si>
  <si>
    <t>YASHWANT</t>
  </si>
  <si>
    <t>Nitish Kr.</t>
  </si>
  <si>
    <t>Nitish Kr./SURESH SA/</t>
  </si>
  <si>
    <t>Basant Kr.</t>
  </si>
  <si>
    <t>Basant Kr./SHREE</t>
  </si>
  <si>
    <t>Binay Lal</t>
  </si>
  <si>
    <t>ABINESH</t>
  </si>
  <si>
    <t>Arman Ala</t>
  </si>
  <si>
    <t>VIKESH/ VK</t>
  </si>
  <si>
    <t>Sonu/Rupa 9708329918</t>
  </si>
  <si>
    <t>PK</t>
  </si>
  <si>
    <t>8709954402/6207783075</t>
  </si>
  <si>
    <t>SHIV PRAK</t>
  </si>
  <si>
    <t>RAJESH(Bandhan Bank)</t>
  </si>
  <si>
    <t>NAUSHAD</t>
  </si>
  <si>
    <t>HARENDRA</t>
  </si>
  <si>
    <t>CHANDAN</t>
  </si>
  <si>
    <t>Deepak 7004687745</t>
  </si>
  <si>
    <t>PINTU</t>
  </si>
  <si>
    <t>Ranjit Kr.</t>
  </si>
  <si>
    <t>Sanjeev Kr.</t>
  </si>
  <si>
    <t>Vikash Kr.</t>
  </si>
  <si>
    <t>Chandan</t>
  </si>
  <si>
    <t>Chandan/MANJEET K</t>
  </si>
  <si>
    <t>Akhilesh</t>
  </si>
  <si>
    <t>Krishna Kr</t>
  </si>
  <si>
    <t>Binod Kr. Vishwaka</t>
  </si>
  <si>
    <t>UMAKANT</t>
  </si>
  <si>
    <t>Navin Kr. Ojha</t>
  </si>
  <si>
    <t>Navin Kr. Ojha/SANTOSH SBI</t>
  </si>
  <si>
    <t>UMESH PRA</t>
  </si>
  <si>
    <t>PANKAJ</t>
  </si>
  <si>
    <t>Ranjit Kr. 9504958065</t>
  </si>
  <si>
    <t>Amresh Kr.</t>
  </si>
  <si>
    <t>Amresh Kr./HONSI/GAUTAM/Rohit</t>
  </si>
  <si>
    <t>9931812966/9572985032</t>
  </si>
  <si>
    <t>Munna Kr.</t>
  </si>
  <si>
    <t>Munna Kr.(UCO)</t>
  </si>
  <si>
    <t>D.K.</t>
  </si>
  <si>
    <t>DK</t>
  </si>
  <si>
    <t>BALMIKI/ASHUTOSH</t>
  </si>
  <si>
    <t>Mr Shashi</t>
  </si>
  <si>
    <t>Ramesh</t>
  </si>
  <si>
    <t>Rajiv Kr/ Rajeev Kamal</t>
  </si>
  <si>
    <t>RAVINDRA /Rajiv Kr/ Rajeev Kamal</t>
  </si>
  <si>
    <t>Brajesh Kr.</t>
  </si>
  <si>
    <t>Chandan Kr</t>
  </si>
  <si>
    <t>Chandan Kr UCO/KARAN KU</t>
  </si>
  <si>
    <t>Sunil Kr./Gudiya</t>
  </si>
  <si>
    <t>Sunil Kr./Gudiya/Ajit Kr</t>
  </si>
  <si>
    <t>INDRJEET KUMAR</t>
  </si>
  <si>
    <t>8789783884/7061621223</t>
  </si>
  <si>
    <t>Khatri sudhir sahani</t>
  </si>
  <si>
    <t>Ajay Kr.</t>
  </si>
  <si>
    <t>Dev Kr.</t>
  </si>
  <si>
    <t>MD Aslam</t>
  </si>
  <si>
    <t>Vikas Kr</t>
  </si>
  <si>
    <t>Tawakala</t>
  </si>
  <si>
    <t>Brajesh Kr./Archana/RANJAN</t>
  </si>
  <si>
    <t>Dues Amount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</si>
</sst>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8" formatCode="[$-409]d\-mmm;@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9"/>
      <name val="Times New Roman"/>
      <charset val="0"/>
    </font>
    <font>
      <sz val="9"/>
      <name val="Times New Roman"/>
      <charset val="0"/>
    </font>
  </fonts>
  <fills count="42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56E2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2" fillId="1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19" borderId="4" applyNumberFormat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0" fillId="20" borderId="6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2" borderId="8" applyNumberFormat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4" fillId="13" borderId="2" applyNumberFormat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8" fillId="13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0" xfId="0" applyNumberFormat="1" applyFont="1" applyFill="1" applyAlignment="1">
      <alignment horizontal="center" vertical="center"/>
    </xf>
    <xf numFmtId="0" fontId="0" fillId="0" borderId="1" xfId="0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Fill="1" applyAlignment="1" applyProtection="1">
      <alignment horizontal="center" vertical="center"/>
      <protection locked="0"/>
    </xf>
    <xf numFmtId="0" fontId="1" fillId="0" borderId="0" xfId="0" applyFont="1" applyFill="1" applyAlignment="1" applyProtection="1">
      <alignment horizontal="center" vertical="center"/>
    </xf>
    <xf numFmtId="0" fontId="1" fillId="5" borderId="0" xfId="0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  <protection locked="0"/>
    </xf>
    <xf numFmtId="0" fontId="1" fillId="6" borderId="0" xfId="0" applyNumberFormat="1" applyFont="1" applyFill="1" applyAlignment="1" applyProtection="1">
      <alignment horizontal="center" vertical="center"/>
    </xf>
    <xf numFmtId="0" fontId="1" fillId="3" borderId="0" xfId="0" applyFont="1" applyFill="1" applyAlignment="1" applyProtection="1">
      <alignment horizontal="center" vertical="center"/>
    </xf>
    <xf numFmtId="0" fontId="1" fillId="6" borderId="0" xfId="0" applyFont="1" applyFill="1" applyAlignment="1" applyProtection="1">
      <alignment horizontal="center" vertical="center"/>
    </xf>
    <xf numFmtId="0" fontId="0" fillId="0" borderId="0" xfId="0" applyFill="1" applyAlignment="1" applyProtection="1">
      <alignment horizontal="center" vertical="center"/>
    </xf>
    <xf numFmtId="178" fontId="1" fillId="5" borderId="0" xfId="0" applyNumberFormat="1" applyFont="1" applyFill="1" applyAlignment="1" applyProtection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 applyProtection="1">
      <alignment horizontal="center" vertical="center"/>
      <protection locked="0"/>
    </xf>
    <xf numFmtId="0" fontId="1" fillId="9" borderId="0" xfId="0" applyFont="1" applyFill="1" applyAlignment="1" applyProtection="1">
      <alignment horizontal="center" vertical="center"/>
    </xf>
    <xf numFmtId="0" fontId="1" fillId="4" borderId="0" xfId="0" applyNumberFormat="1" applyFont="1" applyFill="1" applyAlignment="1" applyProtection="1">
      <alignment horizontal="center" vertical="center"/>
    </xf>
    <xf numFmtId="0" fontId="1" fillId="4" borderId="0" xfId="0" applyFont="1" applyFill="1" applyAlignment="1" applyProtection="1">
      <alignment horizontal="center" vertical="center"/>
    </xf>
    <xf numFmtId="0" fontId="1" fillId="10" borderId="0" xfId="0" applyNumberFormat="1" applyFont="1" applyFill="1" applyAlignment="1" applyProtection="1">
      <alignment horizontal="center" vertical="center"/>
    </xf>
    <xf numFmtId="0" fontId="0" fillId="8" borderId="0" xfId="0" applyFill="1" applyAlignment="1" applyProtection="1">
      <alignment horizontal="center" vertical="center"/>
    </xf>
    <xf numFmtId="0" fontId="0" fillId="0" borderId="0" xfId="0" applyFill="1" applyBorder="1" applyAlignment="1" applyProtection="1">
      <alignment horizontal="center" vertical="center"/>
      <protection locked="0"/>
    </xf>
    <xf numFmtId="0" fontId="0" fillId="0" borderId="0" xfId="0" applyFill="1" applyBorder="1" applyAlignment="1" applyProtection="1">
      <alignment horizontal="center" vertical="center"/>
    </xf>
    <xf numFmtId="178" fontId="1" fillId="9" borderId="0" xfId="0" applyNumberFormat="1" applyFont="1" applyFill="1" applyAlignment="1" applyProtection="1">
      <alignment horizontal="center" vertical="center"/>
    </xf>
    <xf numFmtId="178" fontId="1" fillId="0" borderId="0" xfId="0" applyNumberFormat="1" applyFont="1" applyFill="1" applyAlignment="1" applyProtection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B01FAF"/>
      <color rgb="00EEA2EF"/>
      <color rgb="00DD56E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114"/>
  <sheetViews>
    <sheetView workbookViewId="0">
      <pane xSplit="7" ySplit="2" topLeftCell="I35" activePane="bottomRight" state="frozen"/>
      <selection/>
      <selection pane="topRight"/>
      <selection pane="bottomLeft"/>
      <selection pane="bottomRight" activeCell="I49" sqref="I49"/>
    </sheetView>
  </sheetViews>
  <sheetFormatPr defaultColWidth="9.14285714285714" defaultRowHeight="15"/>
  <cols>
    <col min="1" max="1" width="5.71428571428571" style="11" customWidth="1"/>
    <col min="2" max="3" width="11.5714285714286" style="11" customWidth="1"/>
    <col min="4" max="4" width="15" style="11" customWidth="1"/>
    <col min="5" max="5" width="51.1428571428571" style="11" customWidth="1"/>
    <col min="6" max="6" width="21.8571428571429" style="11" customWidth="1"/>
    <col min="7" max="7" width="11" style="11" customWidth="1"/>
    <col min="8" max="8" width="20" style="21" customWidth="1"/>
    <col min="9" max="16384" width="9.14285714285714" style="11"/>
  </cols>
  <sheetData>
    <row r="1" s="12" customFormat="1" spans="1:45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9">
        <v>44317</v>
      </c>
      <c r="J1" s="29">
        <v>44318</v>
      </c>
      <c r="K1" s="29">
        <v>44319</v>
      </c>
      <c r="L1" s="29">
        <v>44320</v>
      </c>
      <c r="M1" s="29">
        <v>44321</v>
      </c>
      <c r="N1" s="29">
        <v>44322</v>
      </c>
      <c r="O1" s="29">
        <v>44323</v>
      </c>
      <c r="P1" s="29">
        <v>44324</v>
      </c>
      <c r="Q1" s="29">
        <v>44325</v>
      </c>
      <c r="R1" s="29">
        <v>44326</v>
      </c>
      <c r="S1" s="29">
        <v>44327</v>
      </c>
      <c r="T1" s="29">
        <v>44328</v>
      </c>
      <c r="U1" s="29">
        <v>44329</v>
      </c>
      <c r="V1" s="29">
        <v>44330</v>
      </c>
      <c r="W1" s="29">
        <v>44331</v>
      </c>
      <c r="X1" s="29">
        <v>44332</v>
      </c>
      <c r="Y1" s="29">
        <v>44333</v>
      </c>
      <c r="Z1" s="29">
        <v>44334</v>
      </c>
      <c r="AA1" s="29">
        <v>44335</v>
      </c>
      <c r="AB1" s="29">
        <v>44336</v>
      </c>
      <c r="AC1" s="29">
        <v>44337</v>
      </c>
      <c r="AD1" s="29">
        <v>44338</v>
      </c>
      <c r="AE1" s="29">
        <v>44339</v>
      </c>
      <c r="AF1" s="29">
        <v>44340</v>
      </c>
      <c r="AG1" s="29">
        <v>44341</v>
      </c>
      <c r="AH1" s="29">
        <v>44342</v>
      </c>
      <c r="AI1" s="29">
        <v>44343</v>
      </c>
      <c r="AJ1" s="29">
        <v>44344</v>
      </c>
      <c r="AK1" s="29">
        <v>44345</v>
      </c>
      <c r="AL1" s="29">
        <v>44346</v>
      </c>
      <c r="AM1" s="29">
        <v>44347</v>
      </c>
      <c r="AN1" s="30"/>
      <c r="AO1" s="30"/>
      <c r="AP1" s="30"/>
      <c r="AQ1" s="30"/>
      <c r="AR1" s="30"/>
      <c r="AS1" s="30"/>
    </row>
    <row r="2" s="12" customFormat="1" spans="1:39">
      <c r="A2" s="14"/>
      <c r="B2" s="23">
        <f>SUM(F3:F121)</f>
        <v>1335900</v>
      </c>
      <c r="D2" s="15">
        <f>SUM(G3:G121)</f>
        <v>1179360</v>
      </c>
      <c r="E2" s="16" t="s">
        <v>8</v>
      </c>
      <c r="F2" s="24">
        <f>G2/1.04+H2</f>
        <v>1335900</v>
      </c>
      <c r="G2" s="15">
        <f t="shared" ref="G2:G65" si="0">SUM(I2:AM2)</f>
        <v>1179360</v>
      </c>
      <c r="H2" s="25">
        <f>SUM(H3:H121)</f>
        <v>201900</v>
      </c>
      <c r="I2" s="12">
        <f>SUM(I3:I121)</f>
        <v>38480</v>
      </c>
      <c r="J2" s="12">
        <f t="shared" ref="J2:AM2" si="1">SUM(J3:J121)</f>
        <v>40560</v>
      </c>
      <c r="K2" s="12">
        <f t="shared" si="1"/>
        <v>75920</v>
      </c>
      <c r="L2" s="12">
        <f t="shared" si="1"/>
        <v>45760</v>
      </c>
      <c r="M2" s="12">
        <f t="shared" si="1"/>
        <v>18720</v>
      </c>
      <c r="N2" s="12">
        <f t="shared" si="1"/>
        <v>23920</v>
      </c>
      <c r="O2" s="12">
        <f t="shared" si="1"/>
        <v>24960</v>
      </c>
      <c r="P2" s="12">
        <f t="shared" si="1"/>
        <v>33280</v>
      </c>
      <c r="Q2" s="12">
        <f t="shared" si="1"/>
        <v>34320</v>
      </c>
      <c r="R2" s="12">
        <f t="shared" si="1"/>
        <v>42640</v>
      </c>
      <c r="S2" s="12">
        <f t="shared" si="1"/>
        <v>31200</v>
      </c>
      <c r="T2" s="12">
        <f t="shared" si="1"/>
        <v>38480</v>
      </c>
      <c r="U2" s="12">
        <f t="shared" si="1"/>
        <v>33280</v>
      </c>
      <c r="V2" s="12">
        <f t="shared" si="1"/>
        <v>37440</v>
      </c>
      <c r="W2" s="12">
        <f t="shared" si="1"/>
        <v>46800</v>
      </c>
      <c r="X2" s="12">
        <f t="shared" si="1"/>
        <v>36400</v>
      </c>
      <c r="Y2" s="12">
        <f t="shared" si="1"/>
        <v>56160</v>
      </c>
      <c r="Z2" s="12">
        <f t="shared" si="1"/>
        <v>59280</v>
      </c>
      <c r="AA2" s="12">
        <f t="shared" si="1"/>
        <v>22880</v>
      </c>
      <c r="AB2" s="12">
        <f t="shared" si="1"/>
        <v>26000</v>
      </c>
      <c r="AC2" s="12">
        <f t="shared" si="1"/>
        <v>49920</v>
      </c>
      <c r="AD2" s="12">
        <f t="shared" si="1"/>
        <v>38480</v>
      </c>
      <c r="AE2" s="12">
        <f t="shared" si="1"/>
        <v>32240</v>
      </c>
      <c r="AF2" s="12">
        <f t="shared" si="1"/>
        <v>47840</v>
      </c>
      <c r="AG2" s="12">
        <f t="shared" si="1"/>
        <v>40560</v>
      </c>
      <c r="AH2" s="12">
        <f t="shared" si="1"/>
        <v>30160</v>
      </c>
      <c r="AI2" s="12">
        <f t="shared" si="1"/>
        <v>23920</v>
      </c>
      <c r="AJ2" s="12">
        <f t="shared" si="1"/>
        <v>26000</v>
      </c>
      <c r="AK2" s="12">
        <f t="shared" si="1"/>
        <v>43680</v>
      </c>
      <c r="AL2" s="12">
        <f t="shared" si="1"/>
        <v>54080</v>
      </c>
      <c r="AM2" s="12">
        <f t="shared" si="1"/>
        <v>26000</v>
      </c>
    </row>
    <row r="3" s="11" customFormat="1" spans="1:40">
      <c r="A3" s="11">
        <v>1</v>
      </c>
      <c r="D3" s="11" t="s">
        <v>9</v>
      </c>
      <c r="E3" s="18" t="s">
        <v>10</v>
      </c>
      <c r="F3" s="12">
        <f t="shared" ref="F2:F18" si="2">G3/1.04+H3</f>
        <v>2000</v>
      </c>
      <c r="G3" s="12">
        <f t="shared" si="0"/>
        <v>2080</v>
      </c>
      <c r="H3" s="26">
        <v>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>
        <v>2080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="11" customFormat="1" spans="1:40">
      <c r="A4" s="11">
        <v>2</v>
      </c>
      <c r="D4" s="11" t="s">
        <v>9</v>
      </c>
      <c r="E4" s="18" t="s">
        <v>11</v>
      </c>
      <c r="F4" s="12">
        <f t="shared" si="2"/>
        <v>12000</v>
      </c>
      <c r="G4" s="12">
        <f t="shared" si="0"/>
        <v>10400</v>
      </c>
      <c r="H4" s="26">
        <v>2000</v>
      </c>
      <c r="I4" s="1"/>
      <c r="J4" s="1">
        <v>2080</v>
      </c>
      <c r="K4" s="1"/>
      <c r="L4" s="1"/>
      <c r="M4" s="1"/>
      <c r="N4" s="1"/>
      <c r="O4" s="1">
        <v>2080</v>
      </c>
      <c r="P4" s="1"/>
      <c r="Q4" s="1"/>
      <c r="R4" s="1"/>
      <c r="S4" s="1"/>
      <c r="T4" s="1">
        <v>2080</v>
      </c>
      <c r="U4" s="1"/>
      <c r="V4" s="1"/>
      <c r="W4" s="1"/>
      <c r="X4" s="1"/>
      <c r="Y4" s="1">
        <v>2080</v>
      </c>
      <c r="Z4" s="1"/>
      <c r="AA4" s="1"/>
      <c r="AB4" s="1"/>
      <c r="AC4" s="1"/>
      <c r="AD4" s="1"/>
      <c r="AE4" s="1">
        <v>2080</v>
      </c>
      <c r="AF4" s="1"/>
      <c r="AG4" s="1"/>
      <c r="AH4" s="1"/>
      <c r="AI4" s="1"/>
      <c r="AJ4" s="1"/>
      <c r="AK4" s="1"/>
      <c r="AL4" s="1"/>
      <c r="AM4" s="1"/>
      <c r="AN4" s="1"/>
    </row>
    <row r="5" s="11" customFormat="1" spans="1:40">
      <c r="A5" s="11">
        <v>3</v>
      </c>
      <c r="B5" s="11" t="s">
        <v>12</v>
      </c>
      <c r="D5" s="11" t="s">
        <v>9</v>
      </c>
      <c r="E5" s="18" t="s">
        <v>13</v>
      </c>
      <c r="F5" s="12">
        <f t="shared" si="2"/>
        <v>24500</v>
      </c>
      <c r="G5" s="12">
        <f t="shared" si="0"/>
        <v>22880</v>
      </c>
      <c r="H5" s="26">
        <v>2500</v>
      </c>
      <c r="I5" s="1"/>
      <c r="J5" s="1">
        <v>2080</v>
      </c>
      <c r="K5" s="1"/>
      <c r="L5" s="1"/>
      <c r="M5" s="1"/>
      <c r="N5" s="1">
        <v>2080</v>
      </c>
      <c r="O5" s="1"/>
      <c r="P5" s="1"/>
      <c r="Q5" s="1"/>
      <c r="R5" s="1">
        <v>2080</v>
      </c>
      <c r="S5" s="1"/>
      <c r="T5" s="1">
        <v>2080</v>
      </c>
      <c r="U5" s="1">
        <v>2080</v>
      </c>
      <c r="V5" s="1"/>
      <c r="W5" s="1"/>
      <c r="X5" s="1">
        <v>2080</v>
      </c>
      <c r="Y5" s="1"/>
      <c r="Z5" s="1">
        <v>2080</v>
      </c>
      <c r="AA5" s="1"/>
      <c r="AB5" s="1">
        <v>2080</v>
      </c>
      <c r="AC5" s="1"/>
      <c r="AD5" s="1">
        <v>2080</v>
      </c>
      <c r="AE5" s="1"/>
      <c r="AF5" s="1"/>
      <c r="AG5" s="1"/>
      <c r="AH5" s="1">
        <v>2080</v>
      </c>
      <c r="AI5" s="1"/>
      <c r="AJ5" s="1"/>
      <c r="AK5" s="1">
        <v>2080</v>
      </c>
      <c r="AL5" s="1"/>
      <c r="AM5" s="1"/>
      <c r="AN5" s="1"/>
    </row>
    <row r="6" s="11" customFormat="1" spans="1:40">
      <c r="A6" s="11">
        <v>4</v>
      </c>
      <c r="B6" s="11" t="s">
        <v>14</v>
      </c>
      <c r="D6" s="11" t="s">
        <v>9</v>
      </c>
      <c r="E6" s="18" t="s">
        <v>15</v>
      </c>
      <c r="F6" s="12">
        <f t="shared" si="2"/>
        <v>28000</v>
      </c>
      <c r="G6" s="12">
        <f t="shared" si="0"/>
        <v>27040</v>
      </c>
      <c r="H6" s="26">
        <v>2000</v>
      </c>
      <c r="I6" s="1"/>
      <c r="J6" s="1">
        <v>3120</v>
      </c>
      <c r="K6" s="1"/>
      <c r="L6" s="1">
        <v>5200</v>
      </c>
      <c r="M6" s="1"/>
      <c r="N6" s="1"/>
      <c r="O6" s="1"/>
      <c r="P6" s="1"/>
      <c r="Q6" s="1"/>
      <c r="R6" s="1"/>
      <c r="S6" s="1">
        <v>2080</v>
      </c>
      <c r="T6" s="1"/>
      <c r="U6" s="1">
        <v>2080</v>
      </c>
      <c r="V6" s="1"/>
      <c r="W6" s="1">
        <v>2080</v>
      </c>
      <c r="X6" s="1"/>
      <c r="Y6" s="1">
        <v>2080</v>
      </c>
      <c r="Z6" s="1"/>
      <c r="AA6" s="1">
        <v>2080</v>
      </c>
      <c r="AB6" s="1"/>
      <c r="AC6" s="1">
        <v>2080</v>
      </c>
      <c r="AD6" s="1"/>
      <c r="AE6" s="1"/>
      <c r="AF6" s="1"/>
      <c r="AG6" s="1">
        <v>2080</v>
      </c>
      <c r="AH6" s="1"/>
      <c r="AI6" s="1"/>
      <c r="AJ6" s="1">
        <v>2080</v>
      </c>
      <c r="AK6" s="1"/>
      <c r="AL6" s="1"/>
      <c r="AM6" s="1">
        <v>2080</v>
      </c>
      <c r="AN6" s="1"/>
    </row>
    <row r="7" s="11" customFormat="1" spans="1:40">
      <c r="A7" s="11">
        <v>5</v>
      </c>
      <c r="B7" s="11" t="s">
        <v>16</v>
      </c>
      <c r="D7" s="11" t="s">
        <v>9</v>
      </c>
      <c r="E7" s="18" t="s">
        <v>17</v>
      </c>
      <c r="F7" s="12">
        <f t="shared" si="2"/>
        <v>69000</v>
      </c>
      <c r="G7" s="12">
        <f t="shared" si="0"/>
        <v>55120</v>
      </c>
      <c r="H7" s="26">
        <v>16000</v>
      </c>
      <c r="I7" s="1">
        <v>2080</v>
      </c>
      <c r="J7" s="11">
        <v>1040</v>
      </c>
      <c r="K7" s="1">
        <v>2080</v>
      </c>
      <c r="L7" s="1">
        <v>2080</v>
      </c>
      <c r="M7" s="1">
        <v>2080</v>
      </c>
      <c r="N7" s="1">
        <v>2080</v>
      </c>
      <c r="O7" s="1">
        <v>2080</v>
      </c>
      <c r="P7" s="1">
        <v>2080</v>
      </c>
      <c r="Q7" s="1"/>
      <c r="R7" s="1">
        <v>2080</v>
      </c>
      <c r="S7" s="1">
        <v>2080</v>
      </c>
      <c r="T7" s="1"/>
      <c r="U7" s="1">
        <v>4160</v>
      </c>
      <c r="V7" s="1">
        <v>2080</v>
      </c>
      <c r="W7" s="1">
        <v>2080</v>
      </c>
      <c r="X7" s="1">
        <v>2080</v>
      </c>
      <c r="Y7" s="1"/>
      <c r="Z7" s="1">
        <v>4160</v>
      </c>
      <c r="AA7" s="1"/>
      <c r="AB7" s="1">
        <v>2080</v>
      </c>
      <c r="AC7" s="1"/>
      <c r="AD7" s="1">
        <v>2080</v>
      </c>
      <c r="AE7" s="1">
        <v>4160</v>
      </c>
      <c r="AF7" s="1"/>
      <c r="AG7" s="1">
        <v>2080</v>
      </c>
      <c r="AH7" s="1">
        <v>2080</v>
      </c>
      <c r="AI7" s="1">
        <v>2080</v>
      </c>
      <c r="AJ7" s="1"/>
      <c r="AK7" s="1"/>
      <c r="AL7" s="1">
        <v>2080</v>
      </c>
      <c r="AM7" s="1">
        <v>4160</v>
      </c>
      <c r="AN7" s="1"/>
    </row>
    <row r="8" s="11" customFormat="1" spans="1:40">
      <c r="A8" s="11">
        <v>6</v>
      </c>
      <c r="B8" s="11" t="s">
        <v>18</v>
      </c>
      <c r="D8" s="11" t="s">
        <v>9</v>
      </c>
      <c r="E8" s="18" t="s">
        <v>19</v>
      </c>
      <c r="F8" s="12">
        <f t="shared" si="2"/>
        <v>16000</v>
      </c>
      <c r="G8" s="12">
        <f t="shared" si="0"/>
        <v>14560</v>
      </c>
      <c r="H8" s="26">
        <v>2000</v>
      </c>
      <c r="I8" s="1">
        <v>2080</v>
      </c>
      <c r="J8" s="1"/>
      <c r="K8" s="1">
        <v>2080</v>
      </c>
      <c r="L8" s="1"/>
      <c r="M8" s="1"/>
      <c r="N8" s="1"/>
      <c r="O8" s="1"/>
      <c r="P8" s="1"/>
      <c r="Q8" s="1"/>
      <c r="R8" s="1"/>
      <c r="S8" s="1"/>
      <c r="T8" s="1"/>
      <c r="U8" s="1">
        <v>2080</v>
      </c>
      <c r="V8" s="1">
        <v>2080</v>
      </c>
      <c r="W8" s="1"/>
      <c r="X8" s="1"/>
      <c r="Y8" s="1"/>
      <c r="Z8" s="1"/>
      <c r="AA8" s="1"/>
      <c r="AB8" s="1">
        <v>2080</v>
      </c>
      <c r="AC8" s="1"/>
      <c r="AD8" s="1"/>
      <c r="AE8" s="1"/>
      <c r="AF8" s="1"/>
      <c r="AG8" s="1">
        <v>2080</v>
      </c>
      <c r="AH8" s="1"/>
      <c r="AI8" s="1"/>
      <c r="AJ8" s="1">
        <v>2080</v>
      </c>
      <c r="AK8" s="1"/>
      <c r="AL8" s="1"/>
      <c r="AM8" s="1"/>
      <c r="AN8" s="1"/>
    </row>
    <row r="9" s="11" customFormat="1" spans="1:40">
      <c r="A9" s="11">
        <v>7</v>
      </c>
      <c r="D9" s="11" t="s">
        <v>9</v>
      </c>
      <c r="E9" s="18" t="s">
        <v>20</v>
      </c>
      <c r="F9" s="12">
        <f t="shared" si="2"/>
        <v>7000</v>
      </c>
      <c r="G9" s="12">
        <f t="shared" si="0"/>
        <v>7280</v>
      </c>
      <c r="H9" s="26">
        <v>0</v>
      </c>
      <c r="I9" s="1"/>
      <c r="J9" s="1">
        <v>1040</v>
      </c>
      <c r="K9" s="1"/>
      <c r="L9" s="1">
        <v>2080</v>
      </c>
      <c r="M9" s="1"/>
      <c r="N9" s="1"/>
      <c r="O9" s="1"/>
      <c r="P9" s="1"/>
      <c r="Q9" s="1"/>
      <c r="R9" s="1"/>
      <c r="S9" s="1"/>
      <c r="T9" s="1">
        <v>2080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>
        <v>2080</v>
      </c>
      <c r="AI9" s="1"/>
      <c r="AJ9" s="1"/>
      <c r="AK9" s="1"/>
      <c r="AL9" s="1"/>
      <c r="AM9" s="1"/>
      <c r="AN9" s="1"/>
    </row>
    <row r="10" s="11" customFormat="1" spans="1:40">
      <c r="A10" s="11">
        <v>8</v>
      </c>
      <c r="B10" s="11" t="s">
        <v>21</v>
      </c>
      <c r="D10" s="11" t="s">
        <v>9</v>
      </c>
      <c r="E10" s="18" t="s">
        <v>22</v>
      </c>
      <c r="F10" s="12">
        <f t="shared" si="2"/>
        <v>32000</v>
      </c>
      <c r="G10" s="12">
        <f t="shared" si="0"/>
        <v>28080</v>
      </c>
      <c r="H10" s="26">
        <v>5000</v>
      </c>
      <c r="I10" s="1"/>
      <c r="J10" s="1"/>
      <c r="K10" s="1"/>
      <c r="L10" s="1">
        <v>5200</v>
      </c>
      <c r="M10" s="1"/>
      <c r="N10" s="1"/>
      <c r="O10" s="1"/>
      <c r="P10" s="1"/>
      <c r="Q10" s="1"/>
      <c r="R10" s="1"/>
      <c r="S10" s="1"/>
      <c r="T10" s="1"/>
      <c r="U10" s="1"/>
      <c r="V10" s="1">
        <v>2080</v>
      </c>
      <c r="W10" s="1"/>
      <c r="X10" s="1">
        <v>2080</v>
      </c>
      <c r="Y10" s="1"/>
      <c r="Z10" s="1">
        <v>2080</v>
      </c>
      <c r="AA10" s="1"/>
      <c r="AB10" s="1"/>
      <c r="AC10" s="1">
        <v>2080</v>
      </c>
      <c r="AD10" s="1">
        <v>2080</v>
      </c>
      <c r="AE10" s="1"/>
      <c r="AF10" s="1">
        <v>2080</v>
      </c>
      <c r="AG10" s="1"/>
      <c r="AH10" s="1">
        <v>2080</v>
      </c>
      <c r="AI10" s="1"/>
      <c r="AJ10" s="1"/>
      <c r="AK10" s="1">
        <v>3120</v>
      </c>
      <c r="AL10" s="1">
        <v>5200</v>
      </c>
      <c r="AM10" s="1"/>
      <c r="AN10" s="1"/>
    </row>
    <row r="11" s="11" customFormat="1" spans="1:40">
      <c r="A11" s="11">
        <v>9</v>
      </c>
      <c r="D11" s="11" t="s">
        <v>23</v>
      </c>
      <c r="E11" s="18" t="s">
        <v>24</v>
      </c>
      <c r="F11" s="12">
        <f t="shared" si="2"/>
        <v>6000</v>
      </c>
      <c r="G11" s="12">
        <f t="shared" si="0"/>
        <v>4160</v>
      </c>
      <c r="H11" s="26">
        <v>2000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>
        <v>2080</v>
      </c>
      <c r="X11" s="1"/>
      <c r="Y11" s="1"/>
      <c r="Z11" s="1"/>
      <c r="AA11" s="1"/>
      <c r="AB11" s="1"/>
      <c r="AC11" s="1">
        <v>2080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="11" customFormat="1" spans="1:40">
      <c r="A12" s="11">
        <v>10</v>
      </c>
      <c r="D12" s="11" t="s">
        <v>23</v>
      </c>
      <c r="E12" s="18" t="s">
        <v>25</v>
      </c>
      <c r="F12" s="12">
        <f t="shared" si="2"/>
        <v>7000</v>
      </c>
      <c r="G12" s="12">
        <f t="shared" si="0"/>
        <v>7280</v>
      </c>
      <c r="H12" s="26">
        <v>0</v>
      </c>
      <c r="I12" s="1">
        <v>1040</v>
      </c>
      <c r="J12" s="1"/>
      <c r="K12" s="1"/>
      <c r="L12" s="1"/>
      <c r="M12" s="1">
        <v>2080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>
        <v>2080</v>
      </c>
      <c r="Y12" s="1"/>
      <c r="Z12" s="1"/>
      <c r="AA12" s="1"/>
      <c r="AB12" s="1"/>
      <c r="AC12" s="1"/>
      <c r="AD12" s="1"/>
      <c r="AE12" s="1"/>
      <c r="AF12" s="1"/>
      <c r="AG12" s="1">
        <v>2080</v>
      </c>
      <c r="AH12" s="1"/>
      <c r="AI12" s="1"/>
      <c r="AJ12" s="1"/>
      <c r="AK12" s="1"/>
      <c r="AL12" s="1"/>
      <c r="AM12" s="1"/>
      <c r="AN12" s="1"/>
    </row>
    <row r="13" s="11" customFormat="1" spans="1:40">
      <c r="A13" s="11">
        <v>11</v>
      </c>
      <c r="D13" s="11" t="s">
        <v>23</v>
      </c>
      <c r="E13" s="18" t="s">
        <v>26</v>
      </c>
      <c r="F13" s="12">
        <f t="shared" si="2"/>
        <v>29000</v>
      </c>
      <c r="G13" s="12">
        <f t="shared" si="0"/>
        <v>30160</v>
      </c>
      <c r="H13" s="26">
        <v>0</v>
      </c>
      <c r="I13" s="1"/>
      <c r="J13" s="1">
        <v>3120</v>
      </c>
      <c r="K13" s="1">
        <v>5200</v>
      </c>
      <c r="L13" s="1"/>
      <c r="M13" s="1"/>
      <c r="N13" s="1"/>
      <c r="O13" s="1"/>
      <c r="P13" s="1"/>
      <c r="Q13" s="1"/>
      <c r="R13" s="1"/>
      <c r="S13" s="1"/>
      <c r="T13" s="1"/>
      <c r="U13" s="1">
        <v>2080</v>
      </c>
      <c r="V13" s="1"/>
      <c r="W13" s="1"/>
      <c r="X13" s="1"/>
      <c r="Y13" s="1">
        <v>2080</v>
      </c>
      <c r="Z13" s="1"/>
      <c r="AA13" s="1">
        <v>2080</v>
      </c>
      <c r="AB13" s="1"/>
      <c r="AC13" s="1">
        <v>2080</v>
      </c>
      <c r="AD13" s="1"/>
      <c r="AE13" s="1"/>
      <c r="AF13" s="1">
        <v>2080</v>
      </c>
      <c r="AG13" s="1"/>
      <c r="AH13" s="1">
        <v>2080</v>
      </c>
      <c r="AI13" s="1"/>
      <c r="AJ13" s="1"/>
      <c r="AK13" s="1">
        <v>4160</v>
      </c>
      <c r="AL13" s="1">
        <v>5200</v>
      </c>
      <c r="AM13" s="1"/>
      <c r="AN13" s="1"/>
    </row>
    <row r="14" s="11" customFormat="1" spans="1:40">
      <c r="A14" s="11">
        <v>12</v>
      </c>
      <c r="D14" s="11" t="s">
        <v>23</v>
      </c>
      <c r="E14" s="18" t="s">
        <v>27</v>
      </c>
      <c r="F14" s="12">
        <f t="shared" si="2"/>
        <v>35500</v>
      </c>
      <c r="G14" s="12">
        <f t="shared" si="0"/>
        <v>31200</v>
      </c>
      <c r="H14" s="26">
        <v>5500</v>
      </c>
      <c r="I14" s="1"/>
      <c r="J14" s="1">
        <v>3120</v>
      </c>
      <c r="K14" s="1">
        <v>5200</v>
      </c>
      <c r="L14" s="1"/>
      <c r="M14" s="1"/>
      <c r="N14" s="1"/>
      <c r="O14" s="1">
        <v>2080</v>
      </c>
      <c r="P14" s="1"/>
      <c r="Q14" s="1">
        <v>2080</v>
      </c>
      <c r="R14" s="1"/>
      <c r="S14" s="1">
        <v>2080</v>
      </c>
      <c r="T14" s="1"/>
      <c r="U14" s="1">
        <v>2080</v>
      </c>
      <c r="V14" s="1"/>
      <c r="W14" s="1">
        <v>2080</v>
      </c>
      <c r="X14" s="1"/>
      <c r="Y14" s="1"/>
      <c r="Z14" s="1">
        <v>2080</v>
      </c>
      <c r="AA14" s="1"/>
      <c r="AB14" s="1"/>
      <c r="AC14" s="1">
        <v>2080</v>
      </c>
      <c r="AD14" s="1"/>
      <c r="AE14" s="1"/>
      <c r="AF14" s="1">
        <v>2080</v>
      </c>
      <c r="AG14" s="1"/>
      <c r="AH14" s="1">
        <v>2080</v>
      </c>
      <c r="AI14" s="1">
        <v>2080</v>
      </c>
      <c r="AJ14" s="1"/>
      <c r="AK14" s="1">
        <v>2080</v>
      </c>
      <c r="AL14" s="1"/>
      <c r="AM14" s="1"/>
      <c r="AN14" s="1"/>
    </row>
    <row r="15" s="11" customFormat="1" spans="1:40">
      <c r="A15" s="11">
        <v>13</v>
      </c>
      <c r="B15" s="11" t="s">
        <v>28</v>
      </c>
      <c r="D15" s="11" t="s">
        <v>23</v>
      </c>
      <c r="E15" s="18" t="s">
        <v>29</v>
      </c>
      <c r="F15" s="12">
        <f t="shared" si="2"/>
        <v>12000</v>
      </c>
      <c r="G15" s="12">
        <f t="shared" si="0"/>
        <v>10400</v>
      </c>
      <c r="H15" s="26">
        <v>2000</v>
      </c>
      <c r="I15" s="1"/>
      <c r="J15" s="1"/>
      <c r="K15" s="1">
        <v>2080</v>
      </c>
      <c r="L15" s="1"/>
      <c r="M15" s="1"/>
      <c r="N15" s="1"/>
      <c r="O15" s="1"/>
      <c r="P15" s="1"/>
      <c r="Q15" s="1"/>
      <c r="R15" s="1"/>
      <c r="S15" s="1">
        <v>2080</v>
      </c>
      <c r="T15" s="1"/>
      <c r="U15" s="1"/>
      <c r="V15" s="1"/>
      <c r="W15" s="1"/>
      <c r="X15" s="1"/>
      <c r="Y15" s="1">
        <v>2080</v>
      </c>
      <c r="Z15" s="1"/>
      <c r="AA15" s="1"/>
      <c r="AB15" s="1"/>
      <c r="AC15" s="1"/>
      <c r="AD15" s="1">
        <v>2080</v>
      </c>
      <c r="AE15" s="1"/>
      <c r="AF15" s="1"/>
      <c r="AG15" s="1"/>
      <c r="AH15" s="1"/>
      <c r="AI15" s="1"/>
      <c r="AJ15" s="1"/>
      <c r="AK15" s="1"/>
      <c r="AL15" s="1">
        <v>2080</v>
      </c>
      <c r="AM15" s="1"/>
      <c r="AN15" s="1"/>
    </row>
    <row r="16" s="11" customFormat="1" spans="1:40">
      <c r="A16" s="11">
        <v>14</v>
      </c>
      <c r="D16" s="11" t="s">
        <v>23</v>
      </c>
      <c r="E16" s="18" t="s">
        <v>30</v>
      </c>
      <c r="F16" s="12">
        <f t="shared" si="2"/>
        <v>7000</v>
      </c>
      <c r="G16" s="12">
        <f t="shared" si="0"/>
        <v>5200</v>
      </c>
      <c r="H16" s="26">
        <v>2000</v>
      </c>
      <c r="I16" s="1"/>
      <c r="J16" s="1"/>
      <c r="K16" s="1"/>
      <c r="L16" s="1"/>
      <c r="M16" s="1"/>
      <c r="N16" s="1"/>
      <c r="O16" s="1">
        <v>1040</v>
      </c>
      <c r="P16" s="1"/>
      <c r="Q16" s="1"/>
      <c r="R16" s="1"/>
      <c r="S16" s="1"/>
      <c r="T16" s="1"/>
      <c r="U16" s="1"/>
      <c r="V16" s="1">
        <v>1040</v>
      </c>
      <c r="W16" s="1"/>
      <c r="X16" s="1"/>
      <c r="Y16" s="1">
        <v>1040</v>
      </c>
      <c r="Z16" s="1">
        <v>1040</v>
      </c>
      <c r="AA16" s="1"/>
      <c r="AB16" s="1"/>
      <c r="AC16" s="1"/>
      <c r="AD16" s="1"/>
      <c r="AE16" s="1"/>
      <c r="AF16" s="1"/>
      <c r="AG16" s="1"/>
      <c r="AH16" s="1"/>
      <c r="AI16" s="1"/>
      <c r="AJ16" s="1">
        <v>1040</v>
      </c>
      <c r="AK16" s="1"/>
      <c r="AL16" s="1"/>
      <c r="AM16" s="1"/>
      <c r="AN16" s="1"/>
    </row>
    <row r="17" s="11" customFormat="1" spans="1:40">
      <c r="A17" s="11">
        <v>15</v>
      </c>
      <c r="B17" s="11" t="s">
        <v>31</v>
      </c>
      <c r="D17" s="11" t="s">
        <v>23</v>
      </c>
      <c r="E17" s="18" t="s">
        <v>32</v>
      </c>
      <c r="F17" s="12">
        <f t="shared" si="2"/>
        <v>5000</v>
      </c>
      <c r="G17" s="12">
        <f t="shared" si="0"/>
        <v>2080</v>
      </c>
      <c r="H17" s="26">
        <v>3000</v>
      </c>
      <c r="I17" s="1"/>
      <c r="J17" s="1"/>
      <c r="K17" s="1"/>
      <c r="L17" s="1"/>
      <c r="M17" s="1"/>
      <c r="N17" s="1"/>
      <c r="O17" s="1"/>
      <c r="P17" s="1"/>
      <c r="Q17" s="1">
        <v>2080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="11" customFormat="1" spans="1:40">
      <c r="A18" s="11">
        <v>16</v>
      </c>
      <c r="B18" s="27" t="s">
        <v>33</v>
      </c>
      <c r="C18" s="11">
        <v>683909556</v>
      </c>
      <c r="D18" s="11" t="s">
        <v>23</v>
      </c>
      <c r="E18" s="28" t="s">
        <v>34</v>
      </c>
      <c r="F18" s="12">
        <f t="shared" si="2"/>
        <v>2000</v>
      </c>
      <c r="G18" s="12">
        <f t="shared" si="0"/>
        <v>0</v>
      </c>
      <c r="H18" s="26">
        <v>2000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="11" customFormat="1" spans="1:40">
      <c r="A19" s="11">
        <v>17</v>
      </c>
      <c r="D19" s="11" t="s">
        <v>23</v>
      </c>
      <c r="E19" s="18" t="s">
        <v>35</v>
      </c>
      <c r="F19" s="12">
        <f t="shared" ref="F19:F82" si="3">G19/1.04+H19</f>
        <v>9000</v>
      </c>
      <c r="G19" s="12">
        <f t="shared" si="0"/>
        <v>9360</v>
      </c>
      <c r="H19" s="26">
        <v>0</v>
      </c>
      <c r="I19" s="1"/>
      <c r="J19" s="1"/>
      <c r="K19" s="1"/>
      <c r="L19" s="1"/>
      <c r="M19" s="1"/>
      <c r="N19" s="1">
        <v>2080</v>
      </c>
      <c r="O19" s="1"/>
      <c r="P19" s="1"/>
      <c r="Q19" s="1"/>
      <c r="R19" s="1"/>
      <c r="S19" s="1"/>
      <c r="T19" s="1">
        <v>2080</v>
      </c>
      <c r="U19" s="1"/>
      <c r="V19" s="1"/>
      <c r="W19" s="1"/>
      <c r="X19" s="1">
        <v>2080</v>
      </c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>
        <v>3120</v>
      </c>
      <c r="AJ19" s="1"/>
      <c r="AK19" s="1"/>
      <c r="AL19" s="1"/>
      <c r="AM19" s="1"/>
      <c r="AN19" s="1"/>
    </row>
    <row r="20" s="11" customFormat="1" spans="1:40">
      <c r="A20" s="11">
        <v>18</v>
      </c>
      <c r="D20" s="11" t="s">
        <v>36</v>
      </c>
      <c r="E20" s="18" t="s">
        <v>37</v>
      </c>
      <c r="F20" s="12">
        <f t="shared" si="3"/>
        <v>5000</v>
      </c>
      <c r="G20" s="12">
        <f t="shared" si="0"/>
        <v>5200</v>
      </c>
      <c r="H20" s="26">
        <v>0</v>
      </c>
      <c r="I20" s="1">
        <v>5200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="11" customFormat="1" spans="1:40">
      <c r="A21" s="11">
        <v>19</v>
      </c>
      <c r="D21" s="11" t="s">
        <v>36</v>
      </c>
      <c r="E21" s="18" t="s">
        <v>38</v>
      </c>
      <c r="F21" s="12">
        <f t="shared" si="3"/>
        <v>6000</v>
      </c>
      <c r="G21" s="12">
        <f t="shared" si="0"/>
        <v>6240</v>
      </c>
      <c r="H21" s="26">
        <v>0</v>
      </c>
      <c r="I21" s="1"/>
      <c r="J21" s="1"/>
      <c r="K21" s="1"/>
      <c r="L21" s="1">
        <v>2080</v>
      </c>
      <c r="M21" s="1"/>
      <c r="N21" s="1"/>
      <c r="O21" s="1"/>
      <c r="P21" s="1"/>
      <c r="Q21" s="1">
        <v>2080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>
        <v>2080</v>
      </c>
      <c r="AJ21" s="1"/>
      <c r="AK21" s="1"/>
      <c r="AL21" s="1"/>
      <c r="AM21" s="1"/>
      <c r="AN21" s="1"/>
    </row>
    <row r="22" s="11" customFormat="1" spans="1:40">
      <c r="A22" s="11">
        <v>20</v>
      </c>
      <c r="D22" s="11" t="s">
        <v>36</v>
      </c>
      <c r="E22" s="18" t="s">
        <v>39</v>
      </c>
      <c r="F22" s="12">
        <f t="shared" si="3"/>
        <v>2000</v>
      </c>
      <c r="G22" s="12">
        <f t="shared" si="0"/>
        <v>2080</v>
      </c>
      <c r="H22" s="26">
        <v>0</v>
      </c>
      <c r="I22" s="1"/>
      <c r="J22" s="1">
        <v>2080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="11" customFormat="1" spans="1:40">
      <c r="A23" s="11">
        <v>21</v>
      </c>
      <c r="D23" s="11" t="s">
        <v>36</v>
      </c>
      <c r="E23" s="18" t="s">
        <v>40</v>
      </c>
      <c r="F23" s="12">
        <f t="shared" si="3"/>
        <v>18000</v>
      </c>
      <c r="G23" s="12">
        <f t="shared" si="0"/>
        <v>18720</v>
      </c>
      <c r="H23" s="26">
        <v>0</v>
      </c>
      <c r="I23" s="1"/>
      <c r="J23" s="1"/>
      <c r="K23" s="1"/>
      <c r="L23" s="1"/>
      <c r="M23" s="1"/>
      <c r="N23" s="1"/>
      <c r="O23" s="1"/>
      <c r="P23" s="1"/>
      <c r="Q23" s="1">
        <v>2080</v>
      </c>
      <c r="R23" s="1"/>
      <c r="S23" s="1"/>
      <c r="T23" s="1"/>
      <c r="U23" s="1"/>
      <c r="V23" s="1">
        <v>2080</v>
      </c>
      <c r="W23" s="1">
        <v>2080</v>
      </c>
      <c r="X23" s="1"/>
      <c r="Y23" s="1"/>
      <c r="Z23" s="1">
        <v>2080</v>
      </c>
      <c r="AA23" s="1">
        <v>2080</v>
      </c>
      <c r="AB23" s="1"/>
      <c r="AC23" s="1">
        <v>2080</v>
      </c>
      <c r="AD23" s="1">
        <v>2080</v>
      </c>
      <c r="AE23" s="1"/>
      <c r="AF23" s="1"/>
      <c r="AG23" s="1"/>
      <c r="AH23" s="1">
        <v>2080</v>
      </c>
      <c r="AI23" s="1"/>
      <c r="AJ23" s="1">
        <v>2080</v>
      </c>
      <c r="AK23" s="1"/>
      <c r="AL23" s="1"/>
      <c r="AM23" s="1"/>
      <c r="AN23" s="1"/>
    </row>
    <row r="24" s="11" customFormat="1" spans="1:40">
      <c r="A24" s="11">
        <v>22</v>
      </c>
      <c r="D24" s="11" t="s">
        <v>36</v>
      </c>
      <c r="E24" s="18" t="s">
        <v>41</v>
      </c>
      <c r="F24" s="12">
        <f t="shared" si="3"/>
        <v>3000</v>
      </c>
      <c r="G24" s="12">
        <f t="shared" si="0"/>
        <v>3120</v>
      </c>
      <c r="H24" s="26">
        <v>0</v>
      </c>
      <c r="I24" s="1"/>
      <c r="J24" s="1"/>
      <c r="K24" s="1">
        <v>1040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>
        <v>2080</v>
      </c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="11" customFormat="1" spans="1:40">
      <c r="A25" s="11">
        <v>23</v>
      </c>
      <c r="D25" s="11" t="s">
        <v>36</v>
      </c>
      <c r="E25" s="18" t="s">
        <v>42</v>
      </c>
      <c r="F25" s="12">
        <f t="shared" si="3"/>
        <v>9000</v>
      </c>
      <c r="G25" s="12">
        <f t="shared" si="0"/>
        <v>9360</v>
      </c>
      <c r="H25" s="26">
        <v>0</v>
      </c>
      <c r="I25" s="1"/>
      <c r="J25" s="1">
        <v>2080</v>
      </c>
      <c r="K25" s="1"/>
      <c r="L25" s="1">
        <v>3120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>
        <v>2080</v>
      </c>
      <c r="AH25" s="1"/>
      <c r="AI25" s="1"/>
      <c r="AJ25" s="1"/>
      <c r="AK25" s="1"/>
      <c r="AL25" s="1"/>
      <c r="AM25" s="1">
        <v>2080</v>
      </c>
      <c r="AN25" s="1"/>
    </row>
    <row r="26" s="11" customFormat="1" spans="1:40">
      <c r="A26" s="11">
        <v>24</v>
      </c>
      <c r="D26" s="11" t="s">
        <v>36</v>
      </c>
      <c r="E26" s="18" t="s">
        <v>43</v>
      </c>
      <c r="F26" s="12">
        <f t="shared" si="3"/>
        <v>29000</v>
      </c>
      <c r="G26" s="12">
        <f t="shared" si="0"/>
        <v>30160</v>
      </c>
      <c r="H26" s="26">
        <v>0</v>
      </c>
      <c r="I26" s="1"/>
      <c r="J26" s="1">
        <v>3120</v>
      </c>
      <c r="K26" s="1"/>
      <c r="L26" s="1">
        <v>5200</v>
      </c>
      <c r="M26" s="1"/>
      <c r="N26" s="1"/>
      <c r="O26" s="1"/>
      <c r="P26" s="1"/>
      <c r="Q26" s="1"/>
      <c r="R26" s="1"/>
      <c r="S26" s="1">
        <v>2080</v>
      </c>
      <c r="T26" s="1"/>
      <c r="U26" s="1"/>
      <c r="V26" s="1">
        <v>5200</v>
      </c>
      <c r="W26" s="1"/>
      <c r="X26" s="1"/>
      <c r="Y26" s="1"/>
      <c r="Z26" s="1">
        <v>2080</v>
      </c>
      <c r="AA26" s="1">
        <v>2080</v>
      </c>
      <c r="AB26" s="1">
        <v>2080</v>
      </c>
      <c r="AC26" s="1"/>
      <c r="AD26" s="1">
        <v>2080</v>
      </c>
      <c r="AE26" s="1"/>
      <c r="AF26" s="1">
        <v>2080</v>
      </c>
      <c r="AG26" s="1"/>
      <c r="AH26" s="1"/>
      <c r="AI26" s="1">
        <v>2080</v>
      </c>
      <c r="AJ26" s="1"/>
      <c r="AK26" s="1"/>
      <c r="AL26" s="1">
        <v>2080</v>
      </c>
      <c r="AM26" s="1"/>
      <c r="AN26" s="1"/>
    </row>
    <row r="27" s="11" customFormat="1" spans="1:40">
      <c r="A27" s="11">
        <v>25</v>
      </c>
      <c r="D27" s="11" t="s">
        <v>36</v>
      </c>
      <c r="E27" s="18" t="s">
        <v>44</v>
      </c>
      <c r="F27" s="12">
        <f t="shared" si="3"/>
        <v>6000</v>
      </c>
      <c r="G27" s="12">
        <f t="shared" si="0"/>
        <v>3120</v>
      </c>
      <c r="H27" s="26">
        <v>3000</v>
      </c>
      <c r="I27" s="1"/>
      <c r="K27" s="1">
        <v>3120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="11" customFormat="1" spans="1:40">
      <c r="A28" s="11">
        <v>26</v>
      </c>
      <c r="D28" s="11" t="s">
        <v>36</v>
      </c>
      <c r="E28" s="18" t="s">
        <v>45</v>
      </c>
      <c r="F28" s="12">
        <f t="shared" si="3"/>
        <v>20000</v>
      </c>
      <c r="G28" s="12">
        <f t="shared" si="0"/>
        <v>19760</v>
      </c>
      <c r="H28" s="26">
        <v>1000</v>
      </c>
      <c r="I28" s="1"/>
      <c r="J28" s="1">
        <v>1040</v>
      </c>
      <c r="K28" s="1"/>
      <c r="L28" s="1">
        <v>2080</v>
      </c>
      <c r="M28" s="1"/>
      <c r="N28" s="1"/>
      <c r="O28" s="1">
        <v>2080</v>
      </c>
      <c r="P28" s="1"/>
      <c r="Q28" s="1">
        <v>2080</v>
      </c>
      <c r="R28" s="1"/>
      <c r="S28" s="1"/>
      <c r="T28" s="1"/>
      <c r="U28" s="1">
        <v>2080</v>
      </c>
      <c r="W28" s="1"/>
      <c r="X28" s="1"/>
      <c r="Y28" s="1">
        <v>2080</v>
      </c>
      <c r="Z28" s="1">
        <v>2080</v>
      </c>
      <c r="AA28" s="1"/>
      <c r="AB28" s="1"/>
      <c r="AC28" s="1"/>
      <c r="AD28" s="1">
        <v>2080</v>
      </c>
      <c r="AE28" s="1"/>
      <c r="AF28" s="1"/>
      <c r="AG28" s="1"/>
      <c r="AH28" s="1">
        <v>2080</v>
      </c>
      <c r="AI28" s="1"/>
      <c r="AJ28" s="1"/>
      <c r="AK28" s="1"/>
      <c r="AL28" s="1"/>
      <c r="AM28" s="1">
        <v>2080</v>
      </c>
      <c r="AN28" s="1"/>
    </row>
    <row r="29" s="11" customFormat="1" spans="1:40">
      <c r="A29" s="11">
        <v>27</v>
      </c>
      <c r="D29" s="11" t="s">
        <v>36</v>
      </c>
      <c r="E29" s="18" t="s">
        <v>46</v>
      </c>
      <c r="F29" s="12">
        <f t="shared" si="3"/>
        <v>8000</v>
      </c>
      <c r="G29" s="12">
        <f t="shared" si="0"/>
        <v>8320</v>
      </c>
      <c r="H29" s="26">
        <v>0</v>
      </c>
      <c r="I29" s="1">
        <v>2080</v>
      </c>
      <c r="J29" s="1"/>
      <c r="K29" s="1"/>
      <c r="L29" s="1"/>
      <c r="M29" s="1">
        <v>2080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>
        <v>2080</v>
      </c>
      <c r="Z29" s="1"/>
      <c r="AA29" s="1"/>
      <c r="AB29" s="1"/>
      <c r="AC29" s="1"/>
      <c r="AD29" s="1"/>
      <c r="AE29" s="1"/>
      <c r="AF29" s="1">
        <v>2080</v>
      </c>
      <c r="AG29" s="1"/>
      <c r="AH29" s="1"/>
      <c r="AI29" s="1"/>
      <c r="AJ29" s="1"/>
      <c r="AK29" s="1"/>
      <c r="AL29" s="1"/>
      <c r="AM29" s="1"/>
      <c r="AN29" s="1"/>
    </row>
    <row r="30" s="11" customFormat="1" spans="1:40">
      <c r="A30" s="11">
        <v>28</v>
      </c>
      <c r="D30" s="11" t="s">
        <v>36</v>
      </c>
      <c r="E30" s="18" t="s">
        <v>47</v>
      </c>
      <c r="F30" s="12">
        <f t="shared" si="3"/>
        <v>11000</v>
      </c>
      <c r="G30" s="12">
        <f t="shared" si="0"/>
        <v>11440</v>
      </c>
      <c r="H30" s="26">
        <v>0</v>
      </c>
      <c r="I30" s="1"/>
      <c r="J30" s="1">
        <v>1040</v>
      </c>
      <c r="K30" s="1"/>
      <c r="L30" s="1"/>
      <c r="M30" s="1"/>
      <c r="N30" s="1"/>
      <c r="O30" s="1"/>
      <c r="P30" s="1"/>
      <c r="Q30" s="1"/>
      <c r="R30" s="1">
        <v>2080</v>
      </c>
      <c r="S30" s="1"/>
      <c r="T30" s="1"/>
      <c r="U30" s="1"/>
      <c r="V30" s="1">
        <v>2080</v>
      </c>
      <c r="W30" s="1"/>
      <c r="X30" s="1">
        <v>2080</v>
      </c>
      <c r="Y30" s="1"/>
      <c r="Z30" s="1"/>
      <c r="AA30" s="1"/>
      <c r="AB30" s="1"/>
      <c r="AC30" s="1"/>
      <c r="AD30" s="1"/>
      <c r="AE30" s="1"/>
      <c r="AF30" s="1"/>
      <c r="AG30" s="1">
        <v>2080</v>
      </c>
      <c r="AH30" s="1"/>
      <c r="AI30" s="1"/>
      <c r="AJ30" s="1"/>
      <c r="AK30" s="1"/>
      <c r="AL30" s="1"/>
      <c r="AM30" s="1">
        <v>2080</v>
      </c>
      <c r="AN30" s="1"/>
    </row>
    <row r="31" s="11" customFormat="1" spans="1:40">
      <c r="A31" s="11">
        <v>29</v>
      </c>
      <c r="D31" s="11" t="s">
        <v>36</v>
      </c>
      <c r="E31" s="18" t="s">
        <v>48</v>
      </c>
      <c r="F31" s="12">
        <f t="shared" si="3"/>
        <v>8000</v>
      </c>
      <c r="G31" s="12">
        <f t="shared" si="0"/>
        <v>8320</v>
      </c>
      <c r="H31" s="26">
        <v>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>
        <v>2080</v>
      </c>
      <c r="U31" s="1"/>
      <c r="V31" s="1"/>
      <c r="W31" s="1"/>
      <c r="X31" s="1">
        <v>2080</v>
      </c>
      <c r="Y31" s="1"/>
      <c r="Z31" s="1"/>
      <c r="AA31" s="1"/>
      <c r="AB31" s="1">
        <v>2080</v>
      </c>
      <c r="AC31" s="1"/>
      <c r="AD31" s="1"/>
      <c r="AE31" s="1"/>
      <c r="AF31" s="1"/>
      <c r="AG31" s="1"/>
      <c r="AH31" s="1"/>
      <c r="AI31" s="1"/>
      <c r="AJ31" s="1"/>
      <c r="AK31" s="1"/>
      <c r="AL31" s="1">
        <v>2080</v>
      </c>
      <c r="AM31" s="1"/>
      <c r="AN31" s="1"/>
    </row>
    <row r="32" s="11" customFormat="1" spans="1:40">
      <c r="A32" s="11">
        <v>30</v>
      </c>
      <c r="D32" s="11" t="s">
        <v>36</v>
      </c>
      <c r="E32" s="18" t="s">
        <v>49</v>
      </c>
      <c r="F32" s="12">
        <f t="shared" si="3"/>
        <v>50500</v>
      </c>
      <c r="G32" s="12">
        <f t="shared" si="0"/>
        <v>45760</v>
      </c>
      <c r="H32" s="26">
        <v>6500</v>
      </c>
      <c r="I32" s="1"/>
      <c r="J32" s="1">
        <v>3120</v>
      </c>
      <c r="K32" s="1">
        <v>5200</v>
      </c>
      <c r="L32" s="1"/>
      <c r="M32" s="1"/>
      <c r="N32" s="1"/>
      <c r="O32" s="1">
        <v>2080</v>
      </c>
      <c r="P32" s="1"/>
      <c r="Q32" s="1">
        <v>2080</v>
      </c>
      <c r="R32" s="1"/>
      <c r="S32" s="1">
        <v>2080</v>
      </c>
      <c r="T32" s="1">
        <v>2080</v>
      </c>
      <c r="U32" s="1">
        <v>2080</v>
      </c>
      <c r="V32" s="1"/>
      <c r="W32" s="1">
        <v>2080</v>
      </c>
      <c r="X32" s="1">
        <v>2080</v>
      </c>
      <c r="Y32" s="1">
        <v>2080</v>
      </c>
      <c r="Z32" s="1">
        <v>5200</v>
      </c>
      <c r="AA32" s="1"/>
      <c r="AB32" s="1"/>
      <c r="AC32" s="1"/>
      <c r="AD32" s="1"/>
      <c r="AE32" s="1">
        <v>5200</v>
      </c>
      <c r="AF32" s="1"/>
      <c r="AG32" s="1"/>
      <c r="AH32" s="1"/>
      <c r="AI32" s="1">
        <v>5200</v>
      </c>
      <c r="AJ32" s="1"/>
      <c r="AK32" s="1"/>
      <c r="AL32" s="1">
        <v>5200</v>
      </c>
      <c r="AM32" s="1"/>
      <c r="AN32" s="1"/>
    </row>
    <row r="33" s="11" customFormat="1" spans="1:40">
      <c r="A33" s="11">
        <v>31</v>
      </c>
      <c r="D33" s="11" t="s">
        <v>36</v>
      </c>
      <c r="E33" s="18" t="s">
        <v>50</v>
      </c>
      <c r="F33" s="12">
        <f t="shared" si="3"/>
        <v>10000</v>
      </c>
      <c r="G33" s="12">
        <f t="shared" si="0"/>
        <v>10400</v>
      </c>
      <c r="H33" s="26">
        <v>0</v>
      </c>
      <c r="I33" s="1"/>
      <c r="J33" s="1"/>
      <c r="K33" s="1">
        <v>2080</v>
      </c>
      <c r="L33" s="1"/>
      <c r="M33" s="1"/>
      <c r="N33" s="1"/>
      <c r="O33" s="1"/>
      <c r="P33" s="1"/>
      <c r="Q33" s="1"/>
      <c r="R33" s="1"/>
      <c r="S33" s="1">
        <v>2080</v>
      </c>
      <c r="T33" s="1"/>
      <c r="U33" s="1"/>
      <c r="V33" s="1">
        <v>2080</v>
      </c>
      <c r="W33" s="1"/>
      <c r="X33" s="1"/>
      <c r="Y33" s="1"/>
      <c r="Z33" s="1"/>
      <c r="AA33" s="1"/>
      <c r="AB33" s="1"/>
      <c r="AC33" s="1"/>
      <c r="AD33" s="1">
        <v>2080</v>
      </c>
      <c r="AE33" s="1"/>
      <c r="AF33" s="1"/>
      <c r="AG33" s="1"/>
      <c r="AH33" s="1"/>
      <c r="AI33" s="1"/>
      <c r="AJ33" s="1"/>
      <c r="AK33" s="1"/>
      <c r="AL33" s="1"/>
      <c r="AM33" s="1">
        <v>2080</v>
      </c>
      <c r="AN33" s="1"/>
    </row>
    <row r="34" s="11" customFormat="1" spans="1:40">
      <c r="A34" s="11">
        <v>32</v>
      </c>
      <c r="D34" s="11" t="s">
        <v>51</v>
      </c>
      <c r="E34" s="18" t="s">
        <v>52</v>
      </c>
      <c r="F34" s="12">
        <f t="shared" si="3"/>
        <v>7000</v>
      </c>
      <c r="G34" s="12">
        <f t="shared" si="0"/>
        <v>7280</v>
      </c>
      <c r="H34" s="26">
        <v>0</v>
      </c>
      <c r="I34" s="1">
        <v>1040</v>
      </c>
      <c r="J34" s="1"/>
      <c r="K34" s="1"/>
      <c r="L34" s="1">
        <v>2080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>
        <v>2080</v>
      </c>
      <c r="AB34" s="1"/>
      <c r="AC34" s="1"/>
      <c r="AD34" s="1"/>
      <c r="AE34" s="1"/>
      <c r="AF34" s="1"/>
      <c r="AG34" s="1">
        <v>2080</v>
      </c>
      <c r="AH34" s="1"/>
      <c r="AI34" s="1"/>
      <c r="AJ34" s="1"/>
      <c r="AK34" s="1"/>
      <c r="AL34" s="1"/>
      <c r="AM34" s="1"/>
      <c r="AN34" s="1"/>
    </row>
    <row r="35" s="11" customFormat="1" spans="1:40">
      <c r="A35" s="11">
        <v>33</v>
      </c>
      <c r="D35" s="11" t="s">
        <v>51</v>
      </c>
      <c r="E35" s="18" t="s">
        <v>53</v>
      </c>
      <c r="F35" s="12">
        <f t="shared" si="3"/>
        <v>8000</v>
      </c>
      <c r="G35" s="12">
        <f t="shared" si="0"/>
        <v>8320</v>
      </c>
      <c r="H35" s="26">
        <v>0</v>
      </c>
      <c r="I35" s="1"/>
      <c r="J35" s="1"/>
      <c r="K35" s="1">
        <v>2080</v>
      </c>
      <c r="L35" s="1"/>
      <c r="M35" s="1"/>
      <c r="N35" s="1"/>
      <c r="O35" s="1"/>
      <c r="P35" s="1"/>
      <c r="Q35" s="1"/>
      <c r="R35" s="1">
        <v>2080</v>
      </c>
      <c r="S35" s="1"/>
      <c r="T35" s="1"/>
      <c r="U35" s="1"/>
      <c r="V35" s="1"/>
      <c r="W35" s="1"/>
      <c r="X35" s="1"/>
      <c r="Y35" s="1"/>
      <c r="Z35" s="1"/>
      <c r="AA35" s="1"/>
      <c r="AB35" s="1">
        <v>2080</v>
      </c>
      <c r="AC35" s="1"/>
      <c r="AD35" s="1"/>
      <c r="AE35" s="1"/>
      <c r="AF35" s="1"/>
      <c r="AG35" s="1"/>
      <c r="AH35" s="1"/>
      <c r="AI35" s="1"/>
      <c r="AJ35" s="1">
        <v>2080</v>
      </c>
      <c r="AK35" s="1"/>
      <c r="AL35" s="1"/>
      <c r="AM35" s="1"/>
      <c r="AN35" s="1"/>
    </row>
    <row r="36" s="11" customFormat="1" spans="1:40">
      <c r="A36" s="11">
        <v>34</v>
      </c>
      <c r="D36" s="11" t="s">
        <v>51</v>
      </c>
      <c r="E36" s="18" t="s">
        <v>54</v>
      </c>
      <c r="F36" s="12">
        <f t="shared" si="3"/>
        <v>2000</v>
      </c>
      <c r="G36" s="12">
        <f t="shared" si="0"/>
        <v>2080</v>
      </c>
      <c r="H36" s="26">
        <v>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>
        <v>2080</v>
      </c>
      <c r="AG36" s="1"/>
      <c r="AH36" s="1"/>
      <c r="AI36" s="1"/>
      <c r="AJ36" s="1"/>
      <c r="AK36" s="1"/>
      <c r="AL36" s="1"/>
      <c r="AM36" s="1"/>
      <c r="AN36" s="1"/>
    </row>
    <row r="37" s="11" customFormat="1" spans="1:40">
      <c r="A37" s="11">
        <v>35</v>
      </c>
      <c r="D37" s="11" t="s">
        <v>51</v>
      </c>
      <c r="E37" s="18" t="s">
        <v>55</v>
      </c>
      <c r="F37" s="12">
        <f t="shared" si="3"/>
        <v>25000</v>
      </c>
      <c r="G37" s="12">
        <f t="shared" si="0"/>
        <v>26000</v>
      </c>
      <c r="H37" s="26">
        <v>0</v>
      </c>
      <c r="I37" s="1"/>
      <c r="K37" s="1">
        <v>5200</v>
      </c>
      <c r="L37" s="1"/>
      <c r="M37" s="1"/>
      <c r="N37" s="1">
        <v>2080</v>
      </c>
      <c r="O37" s="1"/>
      <c r="P37" s="1"/>
      <c r="Q37" s="1"/>
      <c r="R37" s="1">
        <v>2080</v>
      </c>
      <c r="S37" s="1">
        <v>2080</v>
      </c>
      <c r="T37" s="1">
        <v>2080</v>
      </c>
      <c r="U37" s="1">
        <v>2080</v>
      </c>
      <c r="V37" s="1"/>
      <c r="W37" s="1"/>
      <c r="X37" s="1">
        <v>2080</v>
      </c>
      <c r="Y37" s="1">
        <v>2080</v>
      </c>
      <c r="Z37" s="1"/>
      <c r="AA37" s="1"/>
      <c r="AB37" s="1"/>
      <c r="AC37" s="1"/>
      <c r="AD37" s="1"/>
      <c r="AE37" s="1"/>
      <c r="AF37" s="1"/>
      <c r="AG37" s="1"/>
      <c r="AH37" s="1">
        <v>2080</v>
      </c>
      <c r="AI37" s="1"/>
      <c r="AJ37" s="1">
        <v>2080</v>
      </c>
      <c r="AK37" s="1">
        <v>2080</v>
      </c>
      <c r="AL37" s="1"/>
      <c r="AM37" s="1"/>
      <c r="AN37" s="1"/>
    </row>
    <row r="38" s="11" customFormat="1" spans="1:40">
      <c r="A38" s="11">
        <v>36</v>
      </c>
      <c r="D38" s="11" t="s">
        <v>51</v>
      </c>
      <c r="E38" s="18" t="s">
        <v>56</v>
      </c>
      <c r="F38" s="12">
        <f t="shared" si="3"/>
        <v>1000</v>
      </c>
      <c r="G38" s="12">
        <f t="shared" si="0"/>
        <v>1040</v>
      </c>
      <c r="H38" s="26">
        <v>0</v>
      </c>
      <c r="I38" s="1">
        <v>1040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="11" customFormat="1" spans="1:40">
      <c r="A39" s="11">
        <v>37</v>
      </c>
      <c r="D39" s="11" t="s">
        <v>51</v>
      </c>
      <c r="E39" s="18" t="s">
        <v>57</v>
      </c>
      <c r="F39" s="12">
        <f t="shared" si="3"/>
        <v>12000</v>
      </c>
      <c r="G39" s="12">
        <f t="shared" si="0"/>
        <v>12480</v>
      </c>
      <c r="H39" s="26">
        <v>0</v>
      </c>
      <c r="I39" s="1"/>
      <c r="J39" s="1">
        <v>2080</v>
      </c>
      <c r="K39" s="1"/>
      <c r="L39" s="1">
        <v>2080</v>
      </c>
      <c r="M39" s="1"/>
      <c r="N39" s="1"/>
      <c r="O39" s="1"/>
      <c r="P39" s="1"/>
      <c r="Q39" s="1"/>
      <c r="R39" s="1">
        <v>2080</v>
      </c>
      <c r="S39" s="1"/>
      <c r="T39" s="1"/>
      <c r="U39" s="1"/>
      <c r="V39" s="1"/>
      <c r="W39" s="1"/>
      <c r="X39" s="1">
        <v>2080</v>
      </c>
      <c r="Y39" s="1"/>
      <c r="Z39" s="1"/>
      <c r="AA39" s="1"/>
      <c r="AB39" s="1"/>
      <c r="AC39" s="1"/>
      <c r="AD39" s="1"/>
      <c r="AE39" s="1"/>
      <c r="AF39" s="1"/>
      <c r="AG39" s="1">
        <v>2080</v>
      </c>
      <c r="AH39" s="1"/>
      <c r="AI39" s="1"/>
      <c r="AJ39" s="1">
        <v>2080</v>
      </c>
      <c r="AK39" s="1"/>
      <c r="AL39" s="1"/>
      <c r="AM39" s="1"/>
      <c r="AN39" s="1"/>
    </row>
    <row r="40" s="11" customFormat="1" spans="1:40">
      <c r="A40" s="11">
        <v>38</v>
      </c>
      <c r="C40" s="11">
        <v>684087396</v>
      </c>
      <c r="D40" s="11" t="s">
        <v>51</v>
      </c>
      <c r="E40" s="18" t="s">
        <v>58</v>
      </c>
      <c r="F40" s="12">
        <f t="shared" si="3"/>
        <v>8000</v>
      </c>
      <c r="G40" s="12">
        <f t="shared" si="0"/>
        <v>8320</v>
      </c>
      <c r="H40" s="26">
        <v>0</v>
      </c>
      <c r="I40" s="1">
        <v>2080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>
        <v>2080</v>
      </c>
      <c r="W40" s="1"/>
      <c r="X40" s="1"/>
      <c r="Y40" s="1"/>
      <c r="Z40" s="1"/>
      <c r="AA40" s="1"/>
      <c r="AB40" s="1"/>
      <c r="AC40" s="1"/>
      <c r="AD40" s="1"/>
      <c r="AE40" s="1"/>
      <c r="AF40" s="1">
        <v>2080</v>
      </c>
      <c r="AG40" s="1"/>
      <c r="AH40" s="1"/>
      <c r="AI40" s="1"/>
      <c r="AJ40" s="1"/>
      <c r="AK40" s="1"/>
      <c r="AL40" s="1">
        <v>2080</v>
      </c>
      <c r="AM40" s="1"/>
      <c r="AN40" s="1"/>
    </row>
    <row r="41" s="11" customFormat="1" spans="1:40">
      <c r="A41" s="11">
        <v>39</v>
      </c>
      <c r="D41" s="11" t="s">
        <v>51</v>
      </c>
      <c r="E41" s="18" t="s">
        <v>59</v>
      </c>
      <c r="F41" s="12">
        <f t="shared" si="3"/>
        <v>6000</v>
      </c>
      <c r="G41" s="12">
        <f t="shared" si="0"/>
        <v>6240</v>
      </c>
      <c r="H41" s="26">
        <v>0</v>
      </c>
      <c r="I41" s="1">
        <v>2080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>
        <v>2080</v>
      </c>
      <c r="W41" s="1"/>
      <c r="X41" s="1"/>
      <c r="Y41" s="1">
        <v>2080</v>
      </c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="11" customFormat="1" spans="1:40">
      <c r="A42" s="11">
        <v>40</v>
      </c>
      <c r="D42" s="11" t="s">
        <v>51</v>
      </c>
      <c r="E42" s="18" t="s">
        <v>60</v>
      </c>
      <c r="F42" s="12">
        <f t="shared" si="3"/>
        <v>6000</v>
      </c>
      <c r="G42" s="12">
        <f t="shared" si="0"/>
        <v>4160</v>
      </c>
      <c r="H42" s="26">
        <v>2000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>
        <v>2080</v>
      </c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>
        <v>2080</v>
      </c>
      <c r="AN42" s="1"/>
    </row>
    <row r="43" s="11" customFormat="1" spans="1:40">
      <c r="A43" s="11">
        <v>41</v>
      </c>
      <c r="D43" s="11" t="s">
        <v>51</v>
      </c>
      <c r="E43" s="18" t="s">
        <v>61</v>
      </c>
      <c r="F43" s="12">
        <f t="shared" si="3"/>
        <v>39000</v>
      </c>
      <c r="G43" s="12">
        <f t="shared" si="0"/>
        <v>36400</v>
      </c>
      <c r="H43" s="26">
        <v>4000</v>
      </c>
      <c r="I43" s="1"/>
      <c r="J43" s="1">
        <v>2080</v>
      </c>
      <c r="K43" s="1">
        <v>3120</v>
      </c>
      <c r="L43" s="1"/>
      <c r="M43" s="1"/>
      <c r="N43" s="1"/>
      <c r="O43" s="1">
        <v>2080</v>
      </c>
      <c r="P43" s="1">
        <v>2080</v>
      </c>
      <c r="Q43" s="1">
        <v>2080</v>
      </c>
      <c r="R43" s="1"/>
      <c r="S43" s="1">
        <v>2080</v>
      </c>
      <c r="T43" s="1"/>
      <c r="U43" s="1">
        <v>2080</v>
      </c>
      <c r="V43" s="1"/>
      <c r="W43" s="1">
        <v>2080</v>
      </c>
      <c r="X43" s="1">
        <v>2080</v>
      </c>
      <c r="Y43" s="1">
        <v>2080</v>
      </c>
      <c r="Z43" s="1">
        <v>2080</v>
      </c>
      <c r="AA43" s="1"/>
      <c r="AB43" s="1">
        <v>2080</v>
      </c>
      <c r="AC43" s="1"/>
      <c r="AD43" s="1">
        <v>2080</v>
      </c>
      <c r="AE43" s="1">
        <v>2080</v>
      </c>
      <c r="AF43" s="1">
        <v>2080</v>
      </c>
      <c r="AG43" s="1"/>
      <c r="AH43" s="1">
        <v>2080</v>
      </c>
      <c r="AI43" s="1"/>
      <c r="AJ43" s="1"/>
      <c r="AK43" s="1"/>
      <c r="AL43" s="1">
        <v>2080</v>
      </c>
      <c r="AM43" s="1"/>
      <c r="AN43" s="1"/>
    </row>
    <row r="44" s="11" customFormat="1" spans="1:40">
      <c r="A44" s="11">
        <v>42</v>
      </c>
      <c r="D44" s="11" t="s">
        <v>51</v>
      </c>
      <c r="E44" s="18" t="s">
        <v>62</v>
      </c>
      <c r="F44" s="12">
        <f t="shared" si="3"/>
        <v>6000</v>
      </c>
      <c r="G44" s="12">
        <f t="shared" si="0"/>
        <v>6240</v>
      </c>
      <c r="H44" s="26">
        <v>0</v>
      </c>
      <c r="I44" s="1"/>
      <c r="J44" s="1"/>
      <c r="K44" s="1"/>
      <c r="L44" s="1"/>
      <c r="M44" s="1"/>
      <c r="N44" s="1">
        <v>2080</v>
      </c>
      <c r="O44" s="1"/>
      <c r="P44" s="1"/>
      <c r="Q44" s="1"/>
      <c r="R44" s="1"/>
      <c r="S44" s="1"/>
      <c r="T44" s="1"/>
      <c r="U44" s="1"/>
      <c r="V44" s="1">
        <v>2080</v>
      </c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>
        <v>2080</v>
      </c>
      <c r="AN44" s="1"/>
    </row>
    <row r="45" s="11" customFormat="1" spans="1:40">
      <c r="A45" s="11">
        <v>43</v>
      </c>
      <c r="D45" s="11" t="s">
        <v>51</v>
      </c>
      <c r="E45" s="18" t="s">
        <v>63</v>
      </c>
      <c r="F45" s="12">
        <f t="shared" si="3"/>
        <v>21000</v>
      </c>
      <c r="G45" s="12">
        <f t="shared" si="0"/>
        <v>21840</v>
      </c>
      <c r="H45" s="26">
        <v>0</v>
      </c>
      <c r="I45" s="1"/>
      <c r="J45" s="1"/>
      <c r="K45" s="1"/>
      <c r="L45" s="1">
        <v>2080</v>
      </c>
      <c r="M45" s="1"/>
      <c r="N45" s="1">
        <v>2080</v>
      </c>
      <c r="O45" s="1"/>
      <c r="P45" s="1"/>
      <c r="Q45" s="1"/>
      <c r="R45" s="1">
        <v>2080</v>
      </c>
      <c r="S45" s="1"/>
      <c r="T45" s="1"/>
      <c r="U45" s="1">
        <v>2080</v>
      </c>
      <c r="V45" s="1"/>
      <c r="W45" s="1"/>
      <c r="X45" s="1">
        <v>2080</v>
      </c>
      <c r="Y45" s="1"/>
      <c r="Z45" s="1">
        <v>2080</v>
      </c>
      <c r="AA45" s="1">
        <v>2080</v>
      </c>
      <c r="AB45" s="1">
        <v>2080</v>
      </c>
      <c r="AC45" s="1"/>
      <c r="AD45" s="1"/>
      <c r="AE45" s="1"/>
      <c r="AF45" s="1">
        <v>5200</v>
      </c>
      <c r="AG45" s="1"/>
      <c r="AH45" s="1"/>
      <c r="AI45" s="1"/>
      <c r="AJ45" s="1"/>
      <c r="AK45" s="1"/>
      <c r="AL45" s="1"/>
      <c r="AM45" s="1"/>
      <c r="AN45" s="1"/>
    </row>
    <row r="46" s="11" customFormat="1" spans="1:40">
      <c r="A46" s="11">
        <v>44</v>
      </c>
      <c r="D46" s="11" t="s">
        <v>64</v>
      </c>
      <c r="E46" s="18" t="s">
        <v>65</v>
      </c>
      <c r="F46" s="12">
        <f t="shared" si="3"/>
        <v>20000</v>
      </c>
      <c r="G46" s="12">
        <f t="shared" si="0"/>
        <v>17680</v>
      </c>
      <c r="H46" s="26">
        <v>3000</v>
      </c>
      <c r="I46" s="1"/>
      <c r="J46" s="1">
        <v>2080</v>
      </c>
      <c r="K46" s="1"/>
      <c r="L46" s="1">
        <v>2080</v>
      </c>
      <c r="M46" s="1"/>
      <c r="N46" s="1"/>
      <c r="O46" s="1"/>
      <c r="P46" s="1">
        <v>2080</v>
      </c>
      <c r="Q46" s="1"/>
      <c r="R46" s="1">
        <v>2080</v>
      </c>
      <c r="S46" s="1"/>
      <c r="T46" s="1"/>
      <c r="U46" s="1"/>
      <c r="V46" s="1"/>
      <c r="W46" s="1"/>
      <c r="X46" s="1"/>
      <c r="Y46" s="1">
        <v>2080</v>
      </c>
      <c r="Z46" s="1"/>
      <c r="AA46" s="1"/>
      <c r="AB46" s="1"/>
      <c r="AC46" s="1"/>
      <c r="AD46" s="1">
        <v>2080</v>
      </c>
      <c r="AE46" s="1"/>
      <c r="AF46" s="1"/>
      <c r="AG46" s="1">
        <v>2080</v>
      </c>
      <c r="AH46" s="1"/>
      <c r="AI46" s="1"/>
      <c r="AJ46" s="1"/>
      <c r="AK46" s="1"/>
      <c r="AL46" s="1">
        <v>3120</v>
      </c>
      <c r="AM46" s="1"/>
      <c r="AN46" s="1"/>
    </row>
    <row r="47" s="11" customFormat="1" spans="1:40">
      <c r="A47" s="11">
        <v>45</v>
      </c>
      <c r="D47" s="11" t="s">
        <v>64</v>
      </c>
      <c r="E47" s="18" t="s">
        <v>66</v>
      </c>
      <c r="F47" s="12">
        <f t="shared" si="3"/>
        <v>24000</v>
      </c>
      <c r="G47" s="12">
        <f t="shared" si="0"/>
        <v>21840</v>
      </c>
      <c r="H47" s="26">
        <v>3000</v>
      </c>
      <c r="I47" s="1"/>
      <c r="J47" s="1"/>
      <c r="K47" s="1"/>
      <c r="L47" s="1">
        <v>2080</v>
      </c>
      <c r="M47" s="1"/>
      <c r="N47" s="1">
        <v>3120</v>
      </c>
      <c r="O47" s="1"/>
      <c r="P47" s="1"/>
      <c r="Q47" s="1"/>
      <c r="R47" s="1"/>
      <c r="S47" s="1">
        <v>2080</v>
      </c>
      <c r="T47" s="1">
        <v>2080</v>
      </c>
      <c r="U47" s="1"/>
      <c r="V47" s="1">
        <v>2080</v>
      </c>
      <c r="W47" s="1"/>
      <c r="X47" s="1"/>
      <c r="Y47" s="1"/>
      <c r="Z47" s="1">
        <v>2080</v>
      </c>
      <c r="AA47" s="1"/>
      <c r="AB47" s="1"/>
      <c r="AC47" s="1"/>
      <c r="AD47" s="1">
        <v>2080</v>
      </c>
      <c r="AE47" s="1"/>
      <c r="AF47" s="1">
        <v>2080</v>
      </c>
      <c r="AG47" s="1">
        <v>2080</v>
      </c>
      <c r="AH47" s="1"/>
      <c r="AI47" s="1"/>
      <c r="AJ47" s="1"/>
      <c r="AK47" s="1">
        <v>2080</v>
      </c>
      <c r="AL47" s="1"/>
      <c r="AM47" s="1"/>
      <c r="AN47" s="1"/>
    </row>
    <row r="48" s="11" customFormat="1" spans="1:40">
      <c r="A48" s="11">
        <v>46</v>
      </c>
      <c r="D48" s="11" t="s">
        <v>64</v>
      </c>
      <c r="E48" s="18" t="s">
        <v>67</v>
      </c>
      <c r="F48" s="12">
        <f t="shared" si="3"/>
        <v>6000</v>
      </c>
      <c r="G48" s="12">
        <f t="shared" si="0"/>
        <v>4160</v>
      </c>
      <c r="H48" s="26">
        <v>2000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>
        <v>2080</v>
      </c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>
        <v>2080</v>
      </c>
      <c r="AI48" s="1"/>
      <c r="AJ48" s="1"/>
      <c r="AK48" s="1"/>
      <c r="AL48" s="1"/>
      <c r="AM48" s="1"/>
      <c r="AN48" s="1"/>
    </row>
    <row r="49" s="11" customFormat="1" spans="1:40">
      <c r="A49" s="11">
        <v>47</v>
      </c>
      <c r="D49" s="11" t="s">
        <v>64</v>
      </c>
      <c r="E49" s="18" t="s">
        <v>68</v>
      </c>
      <c r="F49" s="12">
        <f t="shared" si="3"/>
        <v>48000</v>
      </c>
      <c r="G49" s="12">
        <f t="shared" si="0"/>
        <v>44720</v>
      </c>
      <c r="H49" s="26">
        <v>5000</v>
      </c>
      <c r="I49" s="1"/>
      <c r="J49" s="1">
        <v>2080</v>
      </c>
      <c r="K49" s="1">
        <v>3120</v>
      </c>
      <c r="L49" s="1"/>
      <c r="M49" s="1">
        <v>2080</v>
      </c>
      <c r="N49" s="11">
        <v>2080</v>
      </c>
      <c r="O49" s="1"/>
      <c r="P49" s="1">
        <v>2080</v>
      </c>
      <c r="Q49" s="1">
        <v>2080</v>
      </c>
      <c r="R49" s="1">
        <v>2080</v>
      </c>
      <c r="S49" s="1"/>
      <c r="T49" s="1">
        <v>2080</v>
      </c>
      <c r="U49" s="1">
        <v>2080</v>
      </c>
      <c r="V49" s="1"/>
      <c r="W49" s="1">
        <v>2080</v>
      </c>
      <c r="X49" s="1">
        <v>2080</v>
      </c>
      <c r="Y49" s="1">
        <v>2080</v>
      </c>
      <c r="Z49" s="1">
        <v>2080</v>
      </c>
      <c r="AA49" s="1">
        <v>2080</v>
      </c>
      <c r="AB49" s="1"/>
      <c r="AC49" s="1">
        <v>2080</v>
      </c>
      <c r="AD49" s="1">
        <v>2080</v>
      </c>
      <c r="AE49" s="1">
        <v>2080</v>
      </c>
      <c r="AF49" s="1">
        <v>2080</v>
      </c>
      <c r="AG49" s="1"/>
      <c r="AH49" s="1">
        <v>2080</v>
      </c>
      <c r="AI49" s="1"/>
      <c r="AJ49" s="1">
        <v>2080</v>
      </c>
      <c r="AK49" s="1"/>
      <c r="AL49" s="1">
        <v>2080</v>
      </c>
      <c r="AM49" s="1"/>
      <c r="AN49" s="1"/>
    </row>
    <row r="50" s="11" customFormat="1" spans="1:40">
      <c r="A50" s="11">
        <v>48</v>
      </c>
      <c r="D50" s="11" t="s">
        <v>64</v>
      </c>
      <c r="E50" s="18" t="s">
        <v>69</v>
      </c>
      <c r="F50" s="12">
        <f t="shared" si="3"/>
        <v>5000</v>
      </c>
      <c r="G50" s="12">
        <f t="shared" si="0"/>
        <v>2080</v>
      </c>
      <c r="H50" s="26">
        <v>3000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>
        <v>2080</v>
      </c>
      <c r="AF50" s="1"/>
      <c r="AG50" s="1"/>
      <c r="AH50" s="1"/>
      <c r="AI50" s="1"/>
      <c r="AJ50" s="1"/>
      <c r="AK50" s="1"/>
      <c r="AL50" s="1"/>
      <c r="AM50" s="1"/>
      <c r="AN50" s="1"/>
    </row>
    <row r="51" s="11" customFormat="1" spans="1:40">
      <c r="A51" s="11">
        <v>49</v>
      </c>
      <c r="D51" s="11" t="s">
        <v>64</v>
      </c>
      <c r="E51" s="18" t="s">
        <v>70</v>
      </c>
      <c r="F51" s="12">
        <f t="shared" si="3"/>
        <v>6000</v>
      </c>
      <c r="G51" s="12">
        <f t="shared" si="0"/>
        <v>6240</v>
      </c>
      <c r="H51" s="26">
        <v>0</v>
      </c>
      <c r="I51" s="1">
        <v>2080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>
        <v>2080</v>
      </c>
      <c r="AF51" s="1"/>
      <c r="AG51" s="1"/>
      <c r="AH51" s="1"/>
      <c r="AI51" s="1"/>
      <c r="AJ51" s="1"/>
      <c r="AK51" s="1"/>
      <c r="AL51" s="1">
        <v>2080</v>
      </c>
      <c r="AM51" s="1"/>
      <c r="AN51" s="1"/>
    </row>
    <row r="52" s="11" customFormat="1" spans="1:40">
      <c r="A52" s="11">
        <v>50</v>
      </c>
      <c r="D52" s="11" t="s">
        <v>64</v>
      </c>
      <c r="E52" s="18" t="s">
        <v>71</v>
      </c>
      <c r="F52" s="12">
        <f t="shared" si="3"/>
        <v>0</v>
      </c>
      <c r="G52" s="12">
        <f t="shared" si="0"/>
        <v>0</v>
      </c>
      <c r="H52" s="26">
        <v>0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s="11" customFormat="1" spans="1:40">
      <c r="A53" s="11">
        <v>51</v>
      </c>
      <c r="D53" s="11" t="s">
        <v>64</v>
      </c>
      <c r="E53" s="18" t="s">
        <v>72</v>
      </c>
      <c r="F53" s="12">
        <f t="shared" si="3"/>
        <v>18000</v>
      </c>
      <c r="G53" s="12">
        <f t="shared" si="0"/>
        <v>18720</v>
      </c>
      <c r="H53" s="26">
        <v>0</v>
      </c>
      <c r="I53" s="1">
        <v>1040</v>
      </c>
      <c r="J53" s="1"/>
      <c r="K53" s="1">
        <v>1040</v>
      </c>
      <c r="L53" s="1"/>
      <c r="M53" s="1">
        <v>2080</v>
      </c>
      <c r="N53" s="1"/>
      <c r="O53" s="1"/>
      <c r="P53" s="1">
        <v>2080</v>
      </c>
      <c r="Q53" s="1"/>
      <c r="R53" s="1"/>
      <c r="S53" s="1"/>
      <c r="T53" s="1">
        <v>2080</v>
      </c>
      <c r="U53" s="1"/>
      <c r="V53" s="1"/>
      <c r="W53" s="1">
        <v>2080</v>
      </c>
      <c r="X53" s="1"/>
      <c r="Y53" s="1"/>
      <c r="Z53" s="1"/>
      <c r="AA53" s="1">
        <v>2080</v>
      </c>
      <c r="AB53" s="1"/>
      <c r="AC53" s="1">
        <v>2080</v>
      </c>
      <c r="AD53" s="1"/>
      <c r="AE53" s="1"/>
      <c r="AF53" s="1"/>
      <c r="AG53" s="1">
        <v>2080</v>
      </c>
      <c r="AH53" s="1"/>
      <c r="AI53" s="1"/>
      <c r="AJ53" s="1"/>
      <c r="AK53" s="1">
        <v>2080</v>
      </c>
      <c r="AL53" s="1"/>
      <c r="AM53" s="1"/>
      <c r="AN53" s="1"/>
    </row>
    <row r="54" s="11" customFormat="1" spans="1:40">
      <c r="A54" s="11">
        <v>52</v>
      </c>
      <c r="D54" s="11" t="s">
        <v>64</v>
      </c>
      <c r="E54" s="18" t="s">
        <v>73</v>
      </c>
      <c r="F54" s="12">
        <f t="shared" si="3"/>
        <v>31000</v>
      </c>
      <c r="G54" s="12">
        <f t="shared" si="0"/>
        <v>32240</v>
      </c>
      <c r="H54" s="26">
        <v>0</v>
      </c>
      <c r="I54" s="1">
        <v>2080</v>
      </c>
      <c r="J54" s="1">
        <v>1040</v>
      </c>
      <c r="K54" s="1">
        <v>2080</v>
      </c>
      <c r="L54" s="1"/>
      <c r="M54" s="1">
        <v>2080</v>
      </c>
      <c r="N54" s="1"/>
      <c r="O54" s="1">
        <v>2080</v>
      </c>
      <c r="P54" s="1">
        <v>2080</v>
      </c>
      <c r="Q54" s="1"/>
      <c r="R54" s="1">
        <v>2080</v>
      </c>
      <c r="S54" s="1"/>
      <c r="T54" s="1">
        <v>2080</v>
      </c>
      <c r="U54" s="1"/>
      <c r="V54" s="1"/>
      <c r="W54" s="1"/>
      <c r="X54" s="1"/>
      <c r="Y54" s="1">
        <v>2080</v>
      </c>
      <c r="Z54" s="1">
        <v>2080</v>
      </c>
      <c r="AA54" s="1">
        <v>2080</v>
      </c>
      <c r="AB54" s="1"/>
      <c r="AC54" s="1">
        <v>2080</v>
      </c>
      <c r="AD54" s="1">
        <v>2080</v>
      </c>
      <c r="AE54" s="1">
        <v>2080</v>
      </c>
      <c r="AF54" s="1"/>
      <c r="AG54" s="1">
        <v>2080</v>
      </c>
      <c r="AH54" s="1"/>
      <c r="AI54" s="1"/>
      <c r="AJ54" s="1"/>
      <c r="AK54" s="1"/>
      <c r="AL54" s="1"/>
      <c r="AM54" s="1">
        <v>2080</v>
      </c>
      <c r="AN54" s="1"/>
    </row>
    <row r="55" s="11" customFormat="1" spans="1:40">
      <c r="A55" s="11">
        <v>53</v>
      </c>
      <c r="B55" s="27"/>
      <c r="D55" s="11" t="s">
        <v>64</v>
      </c>
      <c r="E55" s="28" t="s">
        <v>74</v>
      </c>
      <c r="F55" s="12">
        <f t="shared" si="3"/>
        <v>6000</v>
      </c>
      <c r="G55" s="12">
        <f t="shared" si="0"/>
        <v>6240</v>
      </c>
      <c r="H55" s="26">
        <v>0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>
        <v>2080</v>
      </c>
      <c r="W55" s="1"/>
      <c r="X55" s="1"/>
      <c r="Y55" s="1"/>
      <c r="Z55" s="1"/>
      <c r="AA55" s="1"/>
      <c r="AB55" s="1"/>
      <c r="AC55" s="1">
        <v>2080</v>
      </c>
      <c r="AD55" s="1"/>
      <c r="AE55" s="1"/>
      <c r="AF55" s="1"/>
      <c r="AG55" s="1"/>
      <c r="AH55" s="1"/>
      <c r="AI55" s="1"/>
      <c r="AJ55" s="1">
        <v>2080</v>
      </c>
      <c r="AK55" s="1"/>
      <c r="AL55" s="1"/>
      <c r="AM55" s="1"/>
      <c r="AN55" s="1"/>
    </row>
    <row r="56" s="11" customFormat="1" spans="1:40">
      <c r="A56" s="11">
        <v>54</v>
      </c>
      <c r="B56" s="27"/>
      <c r="D56" s="11" t="s">
        <v>64</v>
      </c>
      <c r="E56" s="28" t="s">
        <v>75</v>
      </c>
      <c r="F56" s="12">
        <f t="shared" si="3"/>
        <v>2000</v>
      </c>
      <c r="G56" s="12">
        <f t="shared" si="0"/>
        <v>0</v>
      </c>
      <c r="H56" s="26">
        <v>2000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s="11" customFormat="1" spans="1:40">
      <c r="A57" s="11">
        <v>55</v>
      </c>
      <c r="B57" s="27"/>
      <c r="D57" s="11" t="s">
        <v>64</v>
      </c>
      <c r="E57" s="28" t="s">
        <v>76</v>
      </c>
      <c r="F57" s="12">
        <f t="shared" si="3"/>
        <v>0</v>
      </c>
      <c r="G57" s="12">
        <f t="shared" si="0"/>
        <v>0</v>
      </c>
      <c r="H57" s="26">
        <v>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="11" customFormat="1" spans="1:40">
      <c r="A58" s="11">
        <v>56</v>
      </c>
      <c r="D58" s="11" t="s">
        <v>77</v>
      </c>
      <c r="E58" s="18" t="s">
        <v>78</v>
      </c>
      <c r="F58" s="12">
        <f t="shared" si="3"/>
        <v>14000</v>
      </c>
      <c r="G58" s="12">
        <f t="shared" si="0"/>
        <v>12480</v>
      </c>
      <c r="H58" s="26">
        <v>2000</v>
      </c>
      <c r="I58" s="1"/>
      <c r="J58" s="1"/>
      <c r="K58" s="1">
        <v>2080</v>
      </c>
      <c r="L58" s="1"/>
      <c r="M58" s="1"/>
      <c r="N58" s="1"/>
      <c r="O58" s="1"/>
      <c r="P58" s="1">
        <v>2080</v>
      </c>
      <c r="Q58" s="1"/>
      <c r="R58" s="1"/>
      <c r="S58" s="1"/>
      <c r="T58" s="1"/>
      <c r="U58" s="1"/>
      <c r="V58" s="1"/>
      <c r="W58" s="1">
        <v>2080</v>
      </c>
      <c r="X58" s="1"/>
      <c r="Y58" s="1">
        <v>2080</v>
      </c>
      <c r="Z58" s="1"/>
      <c r="AA58" s="1"/>
      <c r="AB58" s="1"/>
      <c r="AC58" s="1"/>
      <c r="AD58" s="1">
        <v>2080</v>
      </c>
      <c r="AE58" s="1"/>
      <c r="AF58" s="1"/>
      <c r="AG58" s="1">
        <v>2080</v>
      </c>
      <c r="AH58" s="1"/>
      <c r="AI58" s="1"/>
      <c r="AJ58" s="1"/>
      <c r="AK58" s="1"/>
      <c r="AL58" s="1"/>
      <c r="AM58" s="1"/>
      <c r="AN58" s="1"/>
    </row>
    <row r="59" s="11" customFormat="1" spans="1:40">
      <c r="A59" s="11">
        <v>57</v>
      </c>
      <c r="D59" s="11" t="s">
        <v>77</v>
      </c>
      <c r="E59" s="18" t="s">
        <v>79</v>
      </c>
      <c r="F59" s="12">
        <f t="shared" si="3"/>
        <v>49000</v>
      </c>
      <c r="G59" s="12">
        <f t="shared" si="0"/>
        <v>40560</v>
      </c>
      <c r="H59" s="26">
        <v>10000</v>
      </c>
      <c r="I59" s="1"/>
      <c r="J59" s="1"/>
      <c r="K59" s="1">
        <v>5200</v>
      </c>
      <c r="L59" s="1"/>
      <c r="M59" s="1"/>
      <c r="N59" s="1">
        <v>2080</v>
      </c>
      <c r="O59" s="1"/>
      <c r="P59" s="1">
        <v>2080</v>
      </c>
      <c r="Q59" s="1">
        <v>2080</v>
      </c>
      <c r="R59" s="1">
        <v>2080</v>
      </c>
      <c r="S59" s="1">
        <v>2080</v>
      </c>
      <c r="T59" s="1"/>
      <c r="U59" s="1"/>
      <c r="V59" s="1"/>
      <c r="W59" s="1">
        <v>2080</v>
      </c>
      <c r="Y59" s="1">
        <v>2080</v>
      </c>
      <c r="Z59" s="1">
        <v>5200</v>
      </c>
      <c r="AA59" s="1"/>
      <c r="AB59" s="1"/>
      <c r="AC59" s="1">
        <v>5200</v>
      </c>
      <c r="AD59" s="1"/>
      <c r="AE59" s="1"/>
      <c r="AF59" s="1">
        <v>5200</v>
      </c>
      <c r="AG59" s="1"/>
      <c r="AH59" s="1"/>
      <c r="AI59" s="1"/>
      <c r="AJ59" s="1"/>
      <c r="AK59" s="1">
        <v>5200</v>
      </c>
      <c r="AL59" s="1"/>
      <c r="AM59" s="1"/>
      <c r="AN59" s="1"/>
    </row>
    <row r="60" s="11" customFormat="1" spans="1:40">
      <c r="A60" s="11">
        <v>58</v>
      </c>
      <c r="D60" s="11" t="s">
        <v>77</v>
      </c>
      <c r="E60" s="18" t="s">
        <v>80</v>
      </c>
      <c r="F60" s="12">
        <f t="shared" si="3"/>
        <v>16000</v>
      </c>
      <c r="G60" s="12">
        <f t="shared" si="0"/>
        <v>11440</v>
      </c>
      <c r="H60" s="26">
        <v>5000</v>
      </c>
      <c r="I60" s="1"/>
      <c r="J60" s="1"/>
      <c r="K60" s="1"/>
      <c r="L60" s="1"/>
      <c r="M60" s="1">
        <v>2080</v>
      </c>
      <c r="N60" s="1"/>
      <c r="O60" s="1"/>
      <c r="P60" s="1"/>
      <c r="Q60" s="1"/>
      <c r="R60" s="1"/>
      <c r="S60" s="1"/>
      <c r="T60" s="1"/>
      <c r="U60" s="1"/>
      <c r="V60" s="1"/>
      <c r="W60" s="1">
        <v>2080</v>
      </c>
      <c r="Y60" s="1">
        <v>2080</v>
      </c>
      <c r="Z60" s="1"/>
      <c r="AA60" s="1"/>
      <c r="AB60" s="1">
        <v>5200</v>
      </c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="11" customFormat="1" spans="1:40">
      <c r="A61" s="11">
        <v>59</v>
      </c>
      <c r="D61" s="11" t="s">
        <v>77</v>
      </c>
      <c r="E61" s="18" t="s">
        <v>81</v>
      </c>
      <c r="F61" s="12">
        <f t="shared" si="3"/>
        <v>7000</v>
      </c>
      <c r="G61" s="12">
        <f t="shared" si="0"/>
        <v>6240</v>
      </c>
      <c r="H61" s="26">
        <v>1000</v>
      </c>
      <c r="I61" s="1"/>
      <c r="J61" s="1"/>
      <c r="K61" s="1"/>
      <c r="L61" s="1">
        <v>2080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>
        <v>2080</v>
      </c>
      <c r="AD61" s="1"/>
      <c r="AE61" s="1"/>
      <c r="AF61" s="1"/>
      <c r="AG61" s="1"/>
      <c r="AH61" s="1"/>
      <c r="AI61" s="1">
        <v>2080</v>
      </c>
      <c r="AJ61" s="1"/>
      <c r="AK61" s="1"/>
      <c r="AL61" s="1"/>
      <c r="AM61" s="1"/>
      <c r="AN61" s="1"/>
    </row>
    <row r="62" s="11" customFormat="1" spans="1:40">
      <c r="A62" s="11">
        <v>60</v>
      </c>
      <c r="B62" s="27"/>
      <c r="D62" s="11" t="s">
        <v>82</v>
      </c>
      <c r="E62" s="28" t="s">
        <v>83</v>
      </c>
      <c r="F62" s="12">
        <f t="shared" si="3"/>
        <v>39000</v>
      </c>
      <c r="G62" s="12">
        <f t="shared" si="0"/>
        <v>40560</v>
      </c>
      <c r="H62" s="26">
        <v>0</v>
      </c>
      <c r="I62" s="1"/>
      <c r="J62" s="1"/>
      <c r="K62" s="1">
        <v>5200</v>
      </c>
      <c r="L62" s="1"/>
      <c r="M62" s="1"/>
      <c r="N62" s="1"/>
      <c r="O62" s="1"/>
      <c r="P62" s="1">
        <v>4160</v>
      </c>
      <c r="Q62" s="1"/>
      <c r="R62" s="1">
        <v>2080</v>
      </c>
      <c r="S62" s="1"/>
      <c r="T62" s="1">
        <v>2080</v>
      </c>
      <c r="U62" s="1"/>
      <c r="V62" s="1"/>
      <c r="W62" s="1">
        <v>2080</v>
      </c>
      <c r="X62" s="1">
        <v>2080</v>
      </c>
      <c r="Y62" s="1">
        <v>2080</v>
      </c>
      <c r="Z62" s="1">
        <v>5200</v>
      </c>
      <c r="AA62" s="1"/>
      <c r="AB62" s="1"/>
      <c r="AC62" s="1">
        <v>5200</v>
      </c>
      <c r="AD62" s="1"/>
      <c r="AE62" s="1"/>
      <c r="AF62" s="1"/>
      <c r="AG62" s="1">
        <v>5200</v>
      </c>
      <c r="AH62" s="1"/>
      <c r="AI62" s="1"/>
      <c r="AJ62" s="1"/>
      <c r="AK62" s="1">
        <v>5200</v>
      </c>
      <c r="AL62" s="1"/>
      <c r="AM62" s="1"/>
      <c r="AN62" s="1"/>
    </row>
    <row r="63" s="11" customFormat="1" spans="1:40">
      <c r="A63" s="11">
        <v>61</v>
      </c>
      <c r="B63" s="27"/>
      <c r="D63" s="11" t="s">
        <v>82</v>
      </c>
      <c r="E63" s="28" t="s">
        <v>84</v>
      </c>
      <c r="F63" s="12">
        <f t="shared" si="3"/>
        <v>1100</v>
      </c>
      <c r="G63" s="12">
        <f t="shared" si="0"/>
        <v>0</v>
      </c>
      <c r="H63" s="26">
        <v>1100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="11" customFormat="1" spans="1:40">
      <c r="A64" s="11">
        <v>62</v>
      </c>
      <c r="B64" s="11" t="s">
        <v>85</v>
      </c>
      <c r="C64" s="11" t="s">
        <v>86</v>
      </c>
      <c r="D64" s="11" t="s">
        <v>82</v>
      </c>
      <c r="E64" s="18" t="s">
        <v>87</v>
      </c>
      <c r="F64" s="12">
        <f t="shared" si="3"/>
        <v>17000</v>
      </c>
      <c r="G64" s="12">
        <f t="shared" si="0"/>
        <v>17680</v>
      </c>
      <c r="H64" s="26">
        <v>0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>
        <v>2080</v>
      </c>
      <c r="T64" s="1"/>
      <c r="U64" s="1"/>
      <c r="V64" s="1">
        <v>5200</v>
      </c>
      <c r="W64" s="1"/>
      <c r="X64" s="1"/>
      <c r="Y64" s="1"/>
      <c r="Z64" s="1"/>
      <c r="AA64" s="1"/>
      <c r="AB64" s="1"/>
      <c r="AC64" s="1"/>
      <c r="AD64" s="1"/>
      <c r="AE64" s="1">
        <v>5200</v>
      </c>
      <c r="AF64" s="1"/>
      <c r="AG64" s="1"/>
      <c r="AH64" s="1"/>
      <c r="AI64" s="1"/>
      <c r="AJ64" s="1"/>
      <c r="AK64" s="1">
        <v>5200</v>
      </c>
      <c r="AL64" s="1"/>
      <c r="AM64" s="1"/>
      <c r="AN64" s="1"/>
    </row>
    <row r="65" s="11" customFormat="1" spans="1:40">
      <c r="A65" s="11">
        <v>63</v>
      </c>
      <c r="C65" s="11">
        <v>685671039</v>
      </c>
      <c r="D65" s="11" t="s">
        <v>88</v>
      </c>
      <c r="E65" s="11" t="s">
        <v>89</v>
      </c>
      <c r="F65" s="12">
        <f t="shared" si="3"/>
        <v>12000</v>
      </c>
      <c r="G65" s="12">
        <f t="shared" si="0"/>
        <v>10400</v>
      </c>
      <c r="H65" s="21">
        <v>2000</v>
      </c>
      <c r="I65" s="1"/>
      <c r="J65" s="1"/>
      <c r="K65" s="1"/>
      <c r="L65" s="1">
        <v>2080</v>
      </c>
      <c r="M65" s="1"/>
      <c r="N65" s="1"/>
      <c r="O65" s="1"/>
      <c r="P65" s="1">
        <v>2080</v>
      </c>
      <c r="Q65" s="1"/>
      <c r="R65" s="1"/>
      <c r="S65" s="1"/>
      <c r="T65" s="1"/>
      <c r="U65" s="1"/>
      <c r="V65" s="1"/>
      <c r="W65" s="1"/>
      <c r="X65" s="1">
        <v>2080</v>
      </c>
      <c r="Y65" s="1"/>
      <c r="Z65" s="1"/>
      <c r="AA65" s="1"/>
      <c r="AB65" s="1"/>
      <c r="AC65" s="1">
        <v>2080</v>
      </c>
      <c r="AD65" s="1"/>
      <c r="AE65" s="1"/>
      <c r="AF65" s="1"/>
      <c r="AG65" s="1">
        <v>2080</v>
      </c>
      <c r="AH65" s="1"/>
      <c r="AI65" s="1"/>
      <c r="AJ65" s="1"/>
      <c r="AK65" s="1"/>
      <c r="AL65" s="1"/>
      <c r="AM65" s="1"/>
      <c r="AN65" s="1"/>
    </row>
    <row r="66" s="11" customFormat="1" spans="1:40">
      <c r="A66" s="11">
        <v>64</v>
      </c>
      <c r="B66" s="27"/>
      <c r="D66" s="11" t="s">
        <v>88</v>
      </c>
      <c r="E66" s="28" t="s">
        <v>90</v>
      </c>
      <c r="F66" s="12">
        <f t="shared" si="3"/>
        <v>9000</v>
      </c>
      <c r="G66" s="12">
        <f t="shared" ref="G66:G96" si="4">SUM(I66:AM66)</f>
        <v>1040</v>
      </c>
      <c r="H66" s="26">
        <v>8000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>
        <v>1040</v>
      </c>
      <c r="AL66" s="1"/>
      <c r="AM66" s="1"/>
      <c r="AN66" s="1"/>
    </row>
    <row r="67" s="11" customFormat="1" spans="1:40">
      <c r="A67" s="11">
        <v>65</v>
      </c>
      <c r="B67" s="27"/>
      <c r="D67" s="11" t="s">
        <v>91</v>
      </c>
      <c r="E67" s="28" t="s">
        <v>92</v>
      </c>
      <c r="F67" s="12">
        <f t="shared" si="3"/>
        <v>8000</v>
      </c>
      <c r="G67" s="12">
        <f t="shared" si="4"/>
        <v>8320</v>
      </c>
      <c r="H67" s="26">
        <v>0</v>
      </c>
      <c r="I67" s="1"/>
      <c r="J67" s="1">
        <v>2080</v>
      </c>
      <c r="K67" s="1"/>
      <c r="L67" s="1"/>
      <c r="M67" s="1"/>
      <c r="N67" s="1"/>
      <c r="O67" s="1">
        <v>2080</v>
      </c>
      <c r="P67" s="1"/>
      <c r="Q67" s="1"/>
      <c r="R67" s="1">
        <v>2080</v>
      </c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>
        <v>2080</v>
      </c>
      <c r="AG67" s="1"/>
      <c r="AH67" s="1"/>
      <c r="AI67" s="1"/>
      <c r="AJ67" s="1"/>
      <c r="AK67" s="1"/>
      <c r="AL67" s="1"/>
      <c r="AM67" s="1"/>
      <c r="AN67" s="1"/>
    </row>
    <row r="68" s="11" customFormat="1" spans="1:40">
      <c r="A68" s="11">
        <v>66</v>
      </c>
      <c r="D68" s="11" t="s">
        <v>93</v>
      </c>
      <c r="E68" s="18" t="s">
        <v>94</v>
      </c>
      <c r="F68" s="12">
        <f t="shared" si="3"/>
        <v>14000</v>
      </c>
      <c r="G68" s="12">
        <f t="shared" si="4"/>
        <v>14560</v>
      </c>
      <c r="H68" s="26">
        <v>0</v>
      </c>
      <c r="I68" s="1"/>
      <c r="J68" s="1"/>
      <c r="K68" s="1"/>
      <c r="L68" s="1">
        <v>2080</v>
      </c>
      <c r="M68" s="1"/>
      <c r="N68" s="1"/>
      <c r="O68" s="1"/>
      <c r="P68" s="1"/>
      <c r="Q68" s="1"/>
      <c r="R68" s="1"/>
      <c r="S68" s="1">
        <v>2080</v>
      </c>
      <c r="T68" s="1"/>
      <c r="U68" s="1"/>
      <c r="V68" s="1"/>
      <c r="W68" s="1">
        <v>2080</v>
      </c>
      <c r="X68" s="1"/>
      <c r="Y68" s="1">
        <v>2080</v>
      </c>
      <c r="Z68" s="1"/>
      <c r="AA68" s="1"/>
      <c r="AB68" s="1"/>
      <c r="AC68" s="1">
        <v>2080</v>
      </c>
      <c r="AD68" s="1"/>
      <c r="AE68" s="1"/>
      <c r="AF68" s="1"/>
      <c r="AG68" s="1">
        <v>2080</v>
      </c>
      <c r="AH68" s="1"/>
      <c r="AI68" s="1"/>
      <c r="AJ68" s="1"/>
      <c r="AK68" s="1"/>
      <c r="AL68" s="1">
        <v>2080</v>
      </c>
      <c r="AM68" s="1"/>
      <c r="AN68" s="1"/>
    </row>
    <row r="69" s="11" customFormat="1" spans="1:40">
      <c r="A69" s="11">
        <v>67</v>
      </c>
      <c r="D69" s="11" t="s">
        <v>93</v>
      </c>
      <c r="E69" s="18" t="s">
        <v>95</v>
      </c>
      <c r="F69" s="12">
        <f t="shared" si="3"/>
        <v>6000</v>
      </c>
      <c r="G69" s="12">
        <f t="shared" si="4"/>
        <v>6240</v>
      </c>
      <c r="H69" s="26">
        <v>0</v>
      </c>
      <c r="I69" s="1"/>
      <c r="J69" s="1"/>
      <c r="K69" s="1"/>
      <c r="L69" s="1"/>
      <c r="M69" s="1"/>
      <c r="N69" s="1"/>
      <c r="O69" s="1"/>
      <c r="P69" s="1"/>
      <c r="Q69" s="1">
        <v>2080</v>
      </c>
      <c r="R69" s="1"/>
      <c r="S69" s="1"/>
      <c r="T69" s="1"/>
      <c r="U69" s="1"/>
      <c r="V69" s="1"/>
      <c r="W69" s="1"/>
      <c r="X69" s="1"/>
      <c r="Y69" s="1">
        <v>2080</v>
      </c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>
        <v>2080</v>
      </c>
      <c r="AL69" s="1"/>
      <c r="AM69" s="1"/>
      <c r="AN69" s="1"/>
    </row>
    <row r="70" s="11" customFormat="1" spans="1:40">
      <c r="A70" s="11">
        <v>68</v>
      </c>
      <c r="D70" s="11" t="s">
        <v>93</v>
      </c>
      <c r="E70" s="18" t="s">
        <v>96</v>
      </c>
      <c r="F70" s="12">
        <f t="shared" si="3"/>
        <v>2000</v>
      </c>
      <c r="G70" s="12">
        <f t="shared" si="4"/>
        <v>2080</v>
      </c>
      <c r="H70" s="26">
        <v>0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>
        <v>2080</v>
      </c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="11" customFormat="1" spans="1:40">
      <c r="A71" s="11">
        <v>69</v>
      </c>
      <c r="D71" s="11" t="s">
        <v>93</v>
      </c>
      <c r="E71" s="18" t="s">
        <v>97</v>
      </c>
      <c r="F71" s="12">
        <f t="shared" si="3"/>
        <v>5000</v>
      </c>
      <c r="G71" s="12">
        <f t="shared" si="4"/>
        <v>4160</v>
      </c>
      <c r="H71" s="26">
        <v>1000</v>
      </c>
      <c r="I71" s="1"/>
      <c r="J71" s="1"/>
      <c r="K71" s="1"/>
      <c r="L71" s="1"/>
      <c r="M71" s="1"/>
      <c r="N71" s="1"/>
      <c r="O71" s="1"/>
      <c r="P71" s="1"/>
      <c r="Q71" s="1"/>
      <c r="R71" s="1">
        <v>2080</v>
      </c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>
        <v>2080</v>
      </c>
      <c r="AK71" s="1"/>
      <c r="AL71" s="1"/>
      <c r="AM71" s="1"/>
      <c r="AN71" s="1"/>
    </row>
    <row r="72" s="11" customFormat="1" spans="1:40">
      <c r="A72" s="11">
        <v>70</v>
      </c>
      <c r="D72" s="11" t="s">
        <v>93</v>
      </c>
      <c r="E72" s="18" t="s">
        <v>98</v>
      </c>
      <c r="F72" s="12">
        <f t="shared" si="3"/>
        <v>71000</v>
      </c>
      <c r="G72" s="12">
        <f t="shared" si="4"/>
        <v>63440</v>
      </c>
      <c r="H72" s="26">
        <v>10000</v>
      </c>
      <c r="I72" s="1">
        <v>5200</v>
      </c>
      <c r="J72" s="1"/>
      <c r="K72" s="1">
        <v>5200</v>
      </c>
      <c r="L72" s="1"/>
      <c r="M72" s="1"/>
      <c r="N72" s="1">
        <v>2080</v>
      </c>
      <c r="O72" s="1">
        <v>2080</v>
      </c>
      <c r="P72" s="1">
        <v>2080</v>
      </c>
      <c r="Q72" s="1">
        <v>5200</v>
      </c>
      <c r="R72" s="1">
        <v>5200</v>
      </c>
      <c r="S72" s="1"/>
      <c r="T72" s="1">
        <v>5200</v>
      </c>
      <c r="U72" s="1"/>
      <c r="V72" s="1"/>
      <c r="W72" s="1">
        <v>5200</v>
      </c>
      <c r="X72" s="1"/>
      <c r="Y72" s="1">
        <v>5200</v>
      </c>
      <c r="Z72" s="1"/>
      <c r="AA72" s="1"/>
      <c r="AB72" s="1"/>
      <c r="AC72" s="1">
        <v>5200</v>
      </c>
      <c r="AD72" s="1"/>
      <c r="AE72" s="1"/>
      <c r="AF72" s="1">
        <v>5200</v>
      </c>
      <c r="AG72" s="1"/>
      <c r="AH72" s="1"/>
      <c r="AI72" s="1"/>
      <c r="AJ72" s="1">
        <v>5200</v>
      </c>
      <c r="AK72" s="1"/>
      <c r="AL72" s="1">
        <v>5200</v>
      </c>
      <c r="AM72" s="1"/>
      <c r="AN72" s="1"/>
    </row>
    <row r="73" s="11" customFormat="1" spans="1:40">
      <c r="A73" s="11">
        <v>71</v>
      </c>
      <c r="D73" s="11" t="s">
        <v>93</v>
      </c>
      <c r="E73" s="18" t="s">
        <v>99</v>
      </c>
      <c r="F73" s="12">
        <f t="shared" si="3"/>
        <v>29000</v>
      </c>
      <c r="G73" s="12">
        <f t="shared" si="4"/>
        <v>30160</v>
      </c>
      <c r="H73" s="26">
        <v>0</v>
      </c>
      <c r="I73" s="1">
        <v>3120</v>
      </c>
      <c r="J73" s="1"/>
      <c r="K73" s="1"/>
      <c r="L73" s="1"/>
      <c r="M73" s="1">
        <v>2080</v>
      </c>
      <c r="O73" s="1">
        <v>2080</v>
      </c>
      <c r="P73" s="1"/>
      <c r="Q73" s="1">
        <v>2080</v>
      </c>
      <c r="R73" s="1">
        <v>2080</v>
      </c>
      <c r="S73" s="1"/>
      <c r="T73" s="1">
        <v>2080</v>
      </c>
      <c r="U73" s="1">
        <v>2080</v>
      </c>
      <c r="V73" s="1"/>
      <c r="W73" s="1">
        <v>2080</v>
      </c>
      <c r="X73" s="1"/>
      <c r="Y73" s="1">
        <v>2080</v>
      </c>
      <c r="Z73" s="1"/>
      <c r="AA73" s="1">
        <v>2080</v>
      </c>
      <c r="AB73" s="1"/>
      <c r="AC73" s="1"/>
      <c r="AD73" s="1">
        <v>2080</v>
      </c>
      <c r="AE73" s="1"/>
      <c r="AF73" s="1">
        <v>2080</v>
      </c>
      <c r="AG73" s="1"/>
      <c r="AH73" s="1">
        <v>2080</v>
      </c>
      <c r="AI73" s="1"/>
      <c r="AJ73" s="1"/>
      <c r="AK73" s="1"/>
      <c r="AL73" s="1">
        <v>2080</v>
      </c>
      <c r="AM73" s="1"/>
      <c r="AN73" s="1"/>
    </row>
    <row r="74" s="11" customFormat="1" spans="1:40">
      <c r="A74" s="11">
        <v>72</v>
      </c>
      <c r="B74" s="27"/>
      <c r="D74" s="11" t="s">
        <v>93</v>
      </c>
      <c r="E74" s="28" t="s">
        <v>100</v>
      </c>
      <c r="F74" s="12">
        <f t="shared" si="3"/>
        <v>14000</v>
      </c>
      <c r="G74" s="12">
        <f t="shared" si="4"/>
        <v>14560</v>
      </c>
      <c r="H74" s="26">
        <v>0</v>
      </c>
      <c r="I74" s="1"/>
      <c r="K74" s="1">
        <v>2080</v>
      </c>
      <c r="L74" s="1"/>
      <c r="M74" s="1"/>
      <c r="N74" s="1"/>
      <c r="O74" s="1"/>
      <c r="P74" s="1">
        <v>2080</v>
      </c>
      <c r="Q74" s="1"/>
      <c r="R74" s="1"/>
      <c r="S74" s="1">
        <v>2080</v>
      </c>
      <c r="T74" s="1"/>
      <c r="U74" s="1"/>
      <c r="V74" s="1"/>
      <c r="W74" s="1"/>
      <c r="X74" s="1"/>
      <c r="Y74" s="1"/>
      <c r="Z74" s="1">
        <v>2080</v>
      </c>
      <c r="AA74" s="1"/>
      <c r="AB74" s="1"/>
      <c r="AC74" s="1">
        <v>2080</v>
      </c>
      <c r="AD74" s="1"/>
      <c r="AE74" s="1"/>
      <c r="AF74" s="1">
        <v>2080</v>
      </c>
      <c r="AG74" s="1"/>
      <c r="AH74" s="1"/>
      <c r="AI74" s="1"/>
      <c r="AJ74" s="1"/>
      <c r="AK74" s="1"/>
      <c r="AL74" s="1">
        <v>2080</v>
      </c>
      <c r="AM74" s="1"/>
      <c r="AN74" s="1"/>
    </row>
    <row r="75" s="11" customFormat="1" spans="1:40">
      <c r="A75" s="11">
        <v>73</v>
      </c>
      <c r="C75" s="11">
        <v>683909558</v>
      </c>
      <c r="D75" s="11" t="s">
        <v>93</v>
      </c>
      <c r="E75" s="18" t="s">
        <v>101</v>
      </c>
      <c r="F75" s="12">
        <f t="shared" si="3"/>
        <v>0</v>
      </c>
      <c r="G75" s="12">
        <f t="shared" si="4"/>
        <v>0</v>
      </c>
      <c r="H75" s="26">
        <v>0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="11" customFormat="1" spans="1:40">
      <c r="A76" s="11">
        <v>74</v>
      </c>
      <c r="B76" s="27"/>
      <c r="D76" s="11" t="s">
        <v>93</v>
      </c>
      <c r="E76" s="28" t="s">
        <v>102</v>
      </c>
      <c r="F76" s="12">
        <f t="shared" si="3"/>
        <v>1000</v>
      </c>
      <c r="G76" s="12">
        <f t="shared" si="4"/>
        <v>0</v>
      </c>
      <c r="H76" s="26">
        <v>1000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="11" customFormat="1" spans="1:40">
      <c r="A77" s="11">
        <v>75</v>
      </c>
      <c r="D77" s="11" t="s">
        <v>103</v>
      </c>
      <c r="E77" s="18" t="s">
        <v>104</v>
      </c>
      <c r="F77" s="12">
        <f t="shared" si="3"/>
        <v>14300</v>
      </c>
      <c r="G77" s="12">
        <f t="shared" si="4"/>
        <v>12480</v>
      </c>
      <c r="H77" s="26">
        <v>2300</v>
      </c>
      <c r="I77" s="1">
        <v>1040</v>
      </c>
      <c r="K77" s="1">
        <v>1040</v>
      </c>
      <c r="L77" s="1">
        <v>2080</v>
      </c>
      <c r="M77" s="1"/>
      <c r="N77" s="1"/>
      <c r="O77" s="1"/>
      <c r="P77" s="1"/>
      <c r="Q77" s="1">
        <v>2080</v>
      </c>
      <c r="R77" s="1"/>
      <c r="S77" s="1"/>
      <c r="T77" s="1"/>
      <c r="U77" s="1"/>
      <c r="V77" s="1"/>
      <c r="W77" s="1"/>
      <c r="X77" s="1"/>
      <c r="Y77" s="1"/>
      <c r="Z77" s="1">
        <v>2080</v>
      </c>
      <c r="AA77" s="1"/>
      <c r="AB77" s="1"/>
      <c r="AC77" s="1"/>
      <c r="AD77" s="1"/>
      <c r="AE77" s="1"/>
      <c r="AF77" s="1"/>
      <c r="AG77" s="1">
        <v>2080</v>
      </c>
      <c r="AH77" s="1"/>
      <c r="AI77" s="1"/>
      <c r="AJ77" s="1"/>
      <c r="AK77" s="1"/>
      <c r="AL77" s="1">
        <v>2080</v>
      </c>
      <c r="AM77" s="1"/>
      <c r="AN77" s="1"/>
    </row>
    <row r="78" s="11" customFormat="1" spans="1:40">
      <c r="A78" s="11">
        <v>76</v>
      </c>
      <c r="D78" s="11" t="s">
        <v>103</v>
      </c>
      <c r="E78" s="18" t="s">
        <v>105</v>
      </c>
      <c r="F78" s="12">
        <f t="shared" si="3"/>
        <v>43000</v>
      </c>
      <c r="G78" s="12">
        <f t="shared" si="4"/>
        <v>41600</v>
      </c>
      <c r="H78" s="26">
        <v>3000</v>
      </c>
      <c r="I78" s="1">
        <v>3120</v>
      </c>
      <c r="J78" s="1"/>
      <c r="K78" s="1">
        <v>3120</v>
      </c>
      <c r="L78" s="1"/>
      <c r="M78" s="1"/>
      <c r="N78" s="1"/>
      <c r="O78" s="1">
        <v>2080</v>
      </c>
      <c r="P78" s="1"/>
      <c r="Q78" s="1">
        <v>2080</v>
      </c>
      <c r="R78" s="1">
        <v>2080</v>
      </c>
      <c r="S78" s="1"/>
      <c r="T78" s="1">
        <v>2080</v>
      </c>
      <c r="U78" s="1">
        <v>2080</v>
      </c>
      <c r="V78" s="1"/>
      <c r="W78" s="1">
        <v>2080</v>
      </c>
      <c r="X78" s="1"/>
      <c r="Y78" s="1">
        <v>2080</v>
      </c>
      <c r="Z78" s="1">
        <v>2080</v>
      </c>
      <c r="AA78" s="1"/>
      <c r="AB78" s="1"/>
      <c r="AC78" s="1"/>
      <c r="AD78" s="1">
        <v>2080</v>
      </c>
      <c r="AE78" s="1"/>
      <c r="AF78" s="1">
        <v>4160</v>
      </c>
      <c r="AG78" s="1">
        <v>2080</v>
      </c>
      <c r="AH78" s="1"/>
      <c r="AI78" s="1">
        <v>5200</v>
      </c>
      <c r="AJ78" s="1"/>
      <c r="AK78" s="1"/>
      <c r="AL78" s="1"/>
      <c r="AM78" s="1">
        <v>5200</v>
      </c>
      <c r="AN78" s="1"/>
    </row>
    <row r="79" s="11" customFormat="1" spans="1:40">
      <c r="A79" s="11">
        <v>77</v>
      </c>
      <c r="D79" s="11" t="s">
        <v>103</v>
      </c>
      <c r="E79" s="18" t="s">
        <v>106</v>
      </c>
      <c r="F79" s="12">
        <f t="shared" si="3"/>
        <v>10000</v>
      </c>
      <c r="G79" s="12">
        <f t="shared" si="4"/>
        <v>10400</v>
      </c>
      <c r="H79" s="26">
        <v>0</v>
      </c>
      <c r="I79" s="1"/>
      <c r="J79" s="1"/>
      <c r="K79" s="1">
        <v>2080</v>
      </c>
      <c r="L79" s="1"/>
      <c r="M79" s="1"/>
      <c r="N79" s="1"/>
      <c r="O79" s="1"/>
      <c r="P79" s="1">
        <v>2080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>
        <v>2080</v>
      </c>
      <c r="AC79" s="1">
        <v>2080</v>
      </c>
      <c r="AD79" s="1">
        <v>2080</v>
      </c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="11" customFormat="1" spans="1:40">
      <c r="A80" s="11">
        <v>78</v>
      </c>
      <c r="B80" s="27"/>
      <c r="E80" s="28" t="s">
        <v>107</v>
      </c>
      <c r="F80" s="12">
        <f t="shared" si="3"/>
        <v>67000</v>
      </c>
      <c r="G80" s="12">
        <f t="shared" si="4"/>
        <v>0</v>
      </c>
      <c r="H80" s="26">
        <v>67000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="11" customFormat="1" spans="1:40">
      <c r="A81" s="11">
        <v>79</v>
      </c>
      <c r="B81" s="27"/>
      <c r="D81" s="11" t="s">
        <v>108</v>
      </c>
      <c r="E81" s="28" t="s">
        <v>109</v>
      </c>
      <c r="F81" s="12">
        <f t="shared" si="3"/>
        <v>12000</v>
      </c>
      <c r="G81" s="12">
        <f t="shared" si="4"/>
        <v>10400</v>
      </c>
      <c r="H81" s="26">
        <v>2000</v>
      </c>
      <c r="I81" s="1"/>
      <c r="J81" s="1"/>
      <c r="K81" s="1"/>
      <c r="L81" s="1"/>
      <c r="M81" s="1"/>
      <c r="N81" s="1"/>
      <c r="O81" s="1"/>
      <c r="P81" s="1">
        <v>2080</v>
      </c>
      <c r="Q81" s="1"/>
      <c r="R81" s="1"/>
      <c r="S81" s="1">
        <v>2080</v>
      </c>
      <c r="T81" s="1">
        <v>2080</v>
      </c>
      <c r="U81" s="1"/>
      <c r="V81" s="1"/>
      <c r="W81" s="1"/>
      <c r="X81" s="1"/>
      <c r="Y81" s="1"/>
      <c r="Z81" s="1"/>
      <c r="AA81" s="1"/>
      <c r="AB81" s="1">
        <v>2080</v>
      </c>
      <c r="AC81" s="1"/>
      <c r="AD81" s="1"/>
      <c r="AE81" s="1"/>
      <c r="AF81" s="1"/>
      <c r="AG81" s="1"/>
      <c r="AH81" s="1"/>
      <c r="AI81" s="1"/>
      <c r="AJ81" s="1"/>
      <c r="AK81" s="1">
        <v>2080</v>
      </c>
      <c r="AL81" s="1"/>
      <c r="AM81" s="1"/>
      <c r="AN81" s="1"/>
    </row>
    <row r="82" s="11" customFormat="1" spans="1:40">
      <c r="A82" s="11">
        <v>80</v>
      </c>
      <c r="B82" s="27"/>
      <c r="E82" s="28" t="s">
        <v>110</v>
      </c>
      <c r="F82" s="12">
        <f t="shared" si="3"/>
        <v>0</v>
      </c>
      <c r="G82" s="12">
        <f t="shared" si="4"/>
        <v>0</v>
      </c>
      <c r="H82" s="26">
        <v>0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="11" customFormat="1" spans="1:40">
      <c r="A83" s="11">
        <v>81</v>
      </c>
      <c r="B83" s="27"/>
      <c r="D83" s="11" t="s">
        <v>111</v>
      </c>
      <c r="E83" s="28" t="s">
        <v>112</v>
      </c>
      <c r="F83" s="12">
        <f t="shared" ref="F83:F96" si="5">G83/1.04+H83</f>
        <v>5000</v>
      </c>
      <c r="G83" s="12">
        <f t="shared" si="4"/>
        <v>5200</v>
      </c>
      <c r="H83" s="26">
        <v>0</v>
      </c>
      <c r="I83" s="1"/>
      <c r="J83" s="1">
        <v>1040</v>
      </c>
      <c r="K83" s="1"/>
      <c r="L83" s="1"/>
      <c r="M83" s="1"/>
      <c r="N83" s="1"/>
      <c r="O83" s="1"/>
      <c r="P83" s="1"/>
      <c r="Q83" s="1"/>
      <c r="R83" s="1">
        <v>2080</v>
      </c>
      <c r="S83" s="1"/>
      <c r="T83" s="1"/>
      <c r="U83" s="1"/>
      <c r="V83" s="1"/>
      <c r="W83" s="1"/>
      <c r="X83" s="1"/>
      <c r="Y83" s="1"/>
      <c r="Z83" s="1"/>
      <c r="AA83" s="1">
        <v>2080</v>
      </c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="11" customFormat="1" spans="1:40">
      <c r="A84" s="11">
        <v>82</v>
      </c>
      <c r="B84" s="27"/>
      <c r="E84" s="28" t="s">
        <v>113</v>
      </c>
      <c r="F84" s="12">
        <f t="shared" si="5"/>
        <v>0</v>
      </c>
      <c r="G84" s="12">
        <f t="shared" si="4"/>
        <v>0</v>
      </c>
      <c r="H84" s="26">
        <v>0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s="11" customFormat="1" spans="1:40">
      <c r="A85" s="11">
        <v>83</v>
      </c>
      <c r="B85" s="27"/>
      <c r="D85" s="11" t="s">
        <v>114</v>
      </c>
      <c r="E85" s="28" t="s">
        <v>115</v>
      </c>
      <c r="F85" s="12">
        <f t="shared" si="5"/>
        <v>37000</v>
      </c>
      <c r="G85" s="12">
        <f t="shared" si="4"/>
        <v>33280</v>
      </c>
      <c r="H85" s="26">
        <v>5000</v>
      </c>
      <c r="I85" s="1"/>
      <c r="J85" s="1"/>
      <c r="K85" s="1">
        <v>5200</v>
      </c>
      <c r="L85" s="1"/>
      <c r="M85" s="1"/>
      <c r="N85" s="1"/>
      <c r="O85" s="1"/>
      <c r="P85" s="1"/>
      <c r="Q85" s="1">
        <v>2080</v>
      </c>
      <c r="R85" s="11">
        <v>2080</v>
      </c>
      <c r="S85" s="1"/>
      <c r="T85" s="1">
        <v>2080</v>
      </c>
      <c r="U85" s="1"/>
      <c r="V85" s="1">
        <v>2080</v>
      </c>
      <c r="W85" s="1">
        <v>2080</v>
      </c>
      <c r="X85" s="1"/>
      <c r="Y85" s="1">
        <v>2080</v>
      </c>
      <c r="Z85" s="1">
        <v>5200</v>
      </c>
      <c r="AA85" s="1"/>
      <c r="AB85" s="1"/>
      <c r="AC85" s="1"/>
      <c r="AD85" s="1"/>
      <c r="AE85" s="1">
        <v>5200</v>
      </c>
      <c r="AF85" s="1"/>
      <c r="AG85" s="1"/>
      <c r="AH85" s="1"/>
      <c r="AI85" s="1"/>
      <c r="AJ85" s="1"/>
      <c r="AK85" s="1">
        <v>5200</v>
      </c>
      <c r="AL85" s="1"/>
      <c r="AM85" s="1"/>
      <c r="AN85" s="1"/>
    </row>
    <row r="86" s="11" customFormat="1" spans="1:40">
      <c r="A86" s="11">
        <v>84</v>
      </c>
      <c r="D86" s="11" t="s">
        <v>114</v>
      </c>
      <c r="E86" s="18" t="s">
        <v>116</v>
      </c>
      <c r="F86" s="12">
        <f t="shared" si="5"/>
        <v>10000</v>
      </c>
      <c r="G86" s="12">
        <f t="shared" si="4"/>
        <v>10400</v>
      </c>
      <c r="H86" s="26">
        <v>0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>
        <v>5200</v>
      </c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>
        <v>5200</v>
      </c>
      <c r="AM86" s="1"/>
      <c r="AN86" s="1"/>
    </row>
    <row r="87" s="11" customFormat="1" spans="1:40">
      <c r="A87" s="11">
        <v>85</v>
      </c>
      <c r="B87" s="27"/>
      <c r="C87" s="11">
        <v>683879115</v>
      </c>
      <c r="D87" s="11" t="s">
        <v>114</v>
      </c>
      <c r="E87" s="28" t="s">
        <v>117</v>
      </c>
      <c r="F87" s="12">
        <f t="shared" si="5"/>
        <v>0</v>
      </c>
      <c r="G87" s="12">
        <f t="shared" si="4"/>
        <v>0</v>
      </c>
      <c r="H87" s="26">
        <v>0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="11" customFormat="1" spans="1:40">
      <c r="A88" s="11">
        <v>86</v>
      </c>
      <c r="B88" s="27"/>
      <c r="D88" s="11" t="s">
        <v>118</v>
      </c>
      <c r="E88" s="28" t="s">
        <v>119</v>
      </c>
      <c r="F88" s="12">
        <f t="shared" si="5"/>
        <v>8000</v>
      </c>
      <c r="G88" s="12">
        <f t="shared" si="4"/>
        <v>8320</v>
      </c>
      <c r="H88" s="26">
        <v>0</v>
      </c>
      <c r="I88" s="1"/>
      <c r="J88" s="1"/>
      <c r="K88" s="1"/>
      <c r="L88" s="1"/>
      <c r="M88" s="1"/>
      <c r="N88" s="1">
        <v>2080</v>
      </c>
      <c r="O88" s="1"/>
      <c r="P88" s="1"/>
      <c r="Q88" s="1"/>
      <c r="R88" s="1"/>
      <c r="S88" s="1"/>
      <c r="T88" s="1"/>
      <c r="U88" s="1"/>
      <c r="V88" s="1"/>
      <c r="W88" s="1">
        <v>2080</v>
      </c>
      <c r="X88" s="1"/>
      <c r="Y88" s="1"/>
      <c r="Z88" s="1"/>
      <c r="AA88" s="1"/>
      <c r="AB88" s="1"/>
      <c r="AC88" s="1"/>
      <c r="AD88" s="1">
        <v>2080</v>
      </c>
      <c r="AE88" s="1"/>
      <c r="AF88" s="1"/>
      <c r="AG88" s="1"/>
      <c r="AH88" s="1">
        <v>2080</v>
      </c>
      <c r="AI88" s="1"/>
      <c r="AJ88" s="1"/>
      <c r="AK88" s="1"/>
      <c r="AL88" s="1"/>
      <c r="AM88" s="1"/>
      <c r="AN88" s="1"/>
    </row>
    <row r="89" s="11" customFormat="1" spans="1:40">
      <c r="A89" s="11">
        <v>87</v>
      </c>
      <c r="B89" s="27"/>
      <c r="E89" s="28" t="s">
        <v>120</v>
      </c>
      <c r="F89" s="12">
        <f t="shared" si="5"/>
        <v>0</v>
      </c>
      <c r="G89" s="12">
        <f t="shared" si="4"/>
        <v>0</v>
      </c>
      <c r="H89" s="26">
        <v>0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="11" customFormat="1" spans="1:40">
      <c r="A90" s="11">
        <v>88</v>
      </c>
      <c r="B90" s="27"/>
      <c r="E90" s="28" t="s">
        <v>121</v>
      </c>
      <c r="F90" s="12">
        <f t="shared" si="5"/>
        <v>9000</v>
      </c>
      <c r="G90" s="12">
        <f t="shared" si="4"/>
        <v>9360</v>
      </c>
      <c r="H90" s="26">
        <v>0</v>
      </c>
      <c r="I90" s="1">
        <v>1040</v>
      </c>
      <c r="J90" s="1"/>
      <c r="K90" s="1"/>
      <c r="L90" s="1"/>
      <c r="M90" s="1"/>
      <c r="N90" s="1"/>
      <c r="O90" s="1">
        <v>1040</v>
      </c>
      <c r="P90" s="1"/>
      <c r="Q90" s="1"/>
      <c r="R90" s="1"/>
      <c r="S90" s="1"/>
      <c r="T90" s="1"/>
      <c r="U90" s="1"/>
      <c r="V90" s="1">
        <v>1040</v>
      </c>
      <c r="W90" s="1"/>
      <c r="X90" s="1"/>
      <c r="Y90" s="1">
        <v>1040</v>
      </c>
      <c r="Z90" s="1"/>
      <c r="AA90" s="1"/>
      <c r="AB90" s="1"/>
      <c r="AC90" s="1">
        <v>1040</v>
      </c>
      <c r="AD90" s="1">
        <v>1040</v>
      </c>
      <c r="AE90" s="1"/>
      <c r="AF90" s="1">
        <v>1040</v>
      </c>
      <c r="AG90" s="1"/>
      <c r="AH90" s="1">
        <v>1040</v>
      </c>
      <c r="AI90" s="1"/>
      <c r="AJ90" s="1">
        <v>1040</v>
      </c>
      <c r="AK90" s="1"/>
      <c r="AL90" s="1"/>
      <c r="AM90" s="1"/>
      <c r="AN90" s="1"/>
    </row>
    <row r="91" s="11" customFormat="1" spans="1:40">
      <c r="A91" s="11">
        <v>89</v>
      </c>
      <c r="B91" s="27"/>
      <c r="E91" s="28" t="s">
        <v>122</v>
      </c>
      <c r="F91" s="12">
        <f t="shared" si="5"/>
        <v>0</v>
      </c>
      <c r="G91" s="12">
        <f t="shared" si="4"/>
        <v>0</v>
      </c>
      <c r="H91" s="26">
        <v>0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s="11" customFormat="1" spans="1:40">
      <c r="A92" s="11">
        <v>90</v>
      </c>
      <c r="E92" s="18" t="s">
        <v>123</v>
      </c>
      <c r="F92" s="12">
        <f t="shared" si="5"/>
        <v>5000</v>
      </c>
      <c r="G92" s="12">
        <f t="shared" si="4"/>
        <v>5200</v>
      </c>
      <c r="H92" s="26">
        <v>0</v>
      </c>
      <c r="I92" s="1">
        <v>1040</v>
      </c>
      <c r="J92" s="1"/>
      <c r="K92" s="1"/>
      <c r="L92" s="1"/>
      <c r="M92" s="1">
        <v>2080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>
        <v>2080</v>
      </c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="11" customFormat="1" spans="1:40">
      <c r="A93" s="11">
        <v>91</v>
      </c>
      <c r="E93" s="18" t="s">
        <v>124</v>
      </c>
      <c r="F93" s="12">
        <f t="shared" si="5"/>
        <v>0</v>
      </c>
      <c r="G93" s="12">
        <f t="shared" si="4"/>
        <v>0</v>
      </c>
      <c r="H93" s="26">
        <v>0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="11" customFormat="1" spans="1:40">
      <c r="A94" s="11">
        <v>92</v>
      </c>
      <c r="D94" s="11" t="s">
        <v>125</v>
      </c>
      <c r="E94" s="18" t="s">
        <v>126</v>
      </c>
      <c r="F94" s="12">
        <f t="shared" si="5"/>
        <v>6000</v>
      </c>
      <c r="G94" s="12">
        <f t="shared" si="4"/>
        <v>5200</v>
      </c>
      <c r="H94" s="26">
        <v>1000</v>
      </c>
      <c r="I94" s="1"/>
      <c r="J94" s="1"/>
      <c r="K94" s="1"/>
      <c r="L94" s="1"/>
      <c r="M94" s="1"/>
      <c r="N94" s="1"/>
      <c r="O94" s="1"/>
      <c r="P94" s="1">
        <v>2080</v>
      </c>
      <c r="Q94" s="1"/>
      <c r="R94" s="1"/>
      <c r="S94" s="1"/>
      <c r="T94" s="1"/>
      <c r="U94" s="1"/>
      <c r="V94" s="1"/>
      <c r="W94" s="1"/>
      <c r="X94" s="1"/>
      <c r="Y94" s="1">
        <v>1040</v>
      </c>
      <c r="Z94" s="1"/>
      <c r="AA94" s="1"/>
      <c r="AB94" s="1"/>
      <c r="AC94" s="1">
        <v>2080</v>
      </c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s="11" customFormat="1" spans="1:40">
      <c r="A95" s="11">
        <v>93</v>
      </c>
      <c r="E95" s="18" t="s">
        <v>127</v>
      </c>
      <c r="F95" s="12">
        <f t="shared" si="5"/>
        <v>0</v>
      </c>
      <c r="G95" s="12">
        <f t="shared" si="4"/>
        <v>0</v>
      </c>
      <c r="H95" s="26">
        <v>0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s="11" customFormat="1" spans="1:40">
      <c r="A96" s="11">
        <v>94</v>
      </c>
      <c r="E96" s="18" t="s">
        <v>128</v>
      </c>
      <c r="F96" s="12">
        <f t="shared" si="5"/>
        <v>0</v>
      </c>
      <c r="G96" s="12">
        <f t="shared" si="4"/>
        <v>0</v>
      </c>
      <c r="H96" s="26">
        <v>0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s="11" customFormat="1" spans="8:40">
      <c r="H97" s="2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s="11" customFormat="1" spans="8:40">
      <c r="H98" s="2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s="11" customFormat="1" spans="8:40">
      <c r="H99" s="2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 s="11" customFormat="1" spans="8:40">
      <c r="H100" s="2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 s="11" customFormat="1" spans="8:40">
      <c r="H101" s="2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 s="11" customFormat="1" spans="8:40">
      <c r="H102" s="2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 s="11" customFormat="1" spans="8:40">
      <c r="H103" s="2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 s="11" customFormat="1" spans="8:40">
      <c r="H104" s="2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 s="11" customFormat="1" spans="8:40">
      <c r="H105" s="2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 s="11" customFormat="1" spans="8:40">
      <c r="H106" s="2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 s="11" customFormat="1" spans="8:40">
      <c r="H107" s="2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 s="11" customFormat="1" spans="8:40">
      <c r="H108" s="2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 s="11" customFormat="1" spans="8:39">
      <c r="H109" s="2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s="11" customFormat="1" spans="8:39">
      <c r="H110" s="2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s="11" customFormat="1" spans="8:8">
      <c r="H111" s="21"/>
    </row>
    <row r="112" s="11" customFormat="1" spans="8:8">
      <c r="H112" s="21"/>
    </row>
    <row r="113" s="11" customFormat="1" spans="8:8">
      <c r="H113" s="21"/>
    </row>
    <row r="114" s="11" customFormat="1" spans="8:8">
      <c r="H114" s="21"/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12"/>
  <sheetViews>
    <sheetView topLeftCell="C1" workbookViewId="0">
      <pane xSplit="6" ySplit="2" topLeftCell="I48" activePane="bottomRight" state="frozen"/>
      <selection/>
      <selection pane="topRight"/>
      <selection pane="bottomLeft"/>
      <selection pane="bottomRight" activeCell="E49" sqref="E49"/>
    </sheetView>
  </sheetViews>
  <sheetFormatPr defaultColWidth="9.14285714285714" defaultRowHeight="15"/>
  <cols>
    <col min="1" max="1" width="6.28571428571429" style="11" customWidth="1"/>
    <col min="2" max="2" width="21.2857142857143" style="11" customWidth="1"/>
    <col min="3" max="3" width="6.28571428571429" style="11" customWidth="1"/>
    <col min="4" max="4" width="21.2857142857143" style="11" customWidth="1"/>
    <col min="5" max="5" width="11.7142857142857" style="11" customWidth="1"/>
    <col min="6" max="6" width="15" style="11" customWidth="1"/>
    <col min="7" max="7" width="51.1428571428571" style="11" customWidth="1"/>
    <col min="8" max="8" width="8.57142857142857" style="11" customWidth="1"/>
    <col min="9" max="9" width="6.14285714285714" style="11" customWidth="1"/>
    <col min="10" max="10" width="6.57142857142857" style="11" customWidth="1"/>
    <col min="11" max="17" width="6.14285714285714" style="11" customWidth="1"/>
    <col min="18" max="39" width="7.14285714285714" style="11" customWidth="1"/>
    <col min="40" max="16384" width="9.14285714285714" style="11"/>
  </cols>
  <sheetData>
    <row r="1" s="12" customFormat="1" spans="1:39">
      <c r="A1" s="13" t="s">
        <v>0</v>
      </c>
      <c r="B1" s="13" t="s">
        <v>1</v>
      </c>
      <c r="C1" s="13" t="s">
        <v>0</v>
      </c>
      <c r="D1" s="13" t="s">
        <v>1</v>
      </c>
      <c r="E1" s="13" t="s">
        <v>129</v>
      </c>
      <c r="F1" s="13" t="s">
        <v>3</v>
      </c>
      <c r="G1" s="13" t="s">
        <v>4</v>
      </c>
      <c r="H1" s="13" t="s">
        <v>130</v>
      </c>
      <c r="I1" s="19">
        <v>44317</v>
      </c>
      <c r="J1" s="19">
        <v>44318</v>
      </c>
      <c r="K1" s="19">
        <v>44319</v>
      </c>
      <c r="L1" s="19">
        <v>44320</v>
      </c>
      <c r="M1" s="19">
        <v>44321</v>
      </c>
      <c r="N1" s="19">
        <v>44322</v>
      </c>
      <c r="O1" s="19">
        <v>44323</v>
      </c>
      <c r="P1" s="19">
        <v>44324</v>
      </c>
      <c r="Q1" s="19">
        <v>44325</v>
      </c>
      <c r="R1" s="19">
        <v>44326</v>
      </c>
      <c r="S1" s="19">
        <v>44327</v>
      </c>
      <c r="T1" s="19">
        <v>44328</v>
      </c>
      <c r="U1" s="19">
        <v>44329</v>
      </c>
      <c r="V1" s="19">
        <v>44330</v>
      </c>
      <c r="W1" s="19">
        <v>44331</v>
      </c>
      <c r="X1" s="19">
        <v>44332</v>
      </c>
      <c r="Y1" s="19">
        <v>44333</v>
      </c>
      <c r="Z1" s="19">
        <v>44334</v>
      </c>
      <c r="AA1" s="19">
        <v>44335</v>
      </c>
      <c r="AB1" s="19">
        <v>44336</v>
      </c>
      <c r="AC1" s="19">
        <v>44337</v>
      </c>
      <c r="AD1" s="19">
        <v>44338</v>
      </c>
      <c r="AE1" s="19">
        <v>44339</v>
      </c>
      <c r="AF1" s="19">
        <v>44340</v>
      </c>
      <c r="AG1" s="19">
        <v>44341</v>
      </c>
      <c r="AH1" s="19">
        <v>44342</v>
      </c>
      <c r="AI1" s="19">
        <v>44343</v>
      </c>
      <c r="AJ1" s="19">
        <v>44344</v>
      </c>
      <c r="AK1" s="19">
        <v>44345</v>
      </c>
      <c r="AL1" s="19">
        <v>44346</v>
      </c>
      <c r="AM1" s="19">
        <v>44347</v>
      </c>
    </row>
    <row r="2" s="12" customFormat="1" spans="1:39">
      <c r="A2" s="14"/>
      <c r="B2" s="14"/>
      <c r="C2" s="14"/>
      <c r="D2" s="14"/>
      <c r="E2" s="14"/>
      <c r="F2" s="15">
        <f>SUM(H3:H121)</f>
        <v>1066000</v>
      </c>
      <c r="G2" s="16" t="s">
        <v>8</v>
      </c>
      <c r="H2" s="17">
        <f t="shared" ref="H2:H65" si="0">SUM(I2:AM2)</f>
        <v>1066000</v>
      </c>
      <c r="I2" s="12">
        <f>SUM(I3:I121)</f>
        <v>31000</v>
      </c>
      <c r="J2" s="12">
        <f t="shared" ref="J2:AM2" si="1">SUM(J3:J121)</f>
        <v>17000</v>
      </c>
      <c r="K2" s="12">
        <f t="shared" si="1"/>
        <v>37000</v>
      </c>
      <c r="L2" s="12">
        <f t="shared" si="1"/>
        <v>52000</v>
      </c>
      <c r="M2" s="12">
        <f t="shared" si="1"/>
        <v>49000</v>
      </c>
      <c r="N2" s="12">
        <f t="shared" si="1"/>
        <v>41000</v>
      </c>
      <c r="O2" s="12">
        <f t="shared" si="1"/>
        <v>48400</v>
      </c>
      <c r="P2" s="12">
        <f t="shared" si="1"/>
        <v>4000</v>
      </c>
      <c r="Q2" s="12">
        <f t="shared" si="1"/>
        <v>21000</v>
      </c>
      <c r="R2" s="12">
        <f t="shared" si="1"/>
        <v>22000</v>
      </c>
      <c r="S2" s="12">
        <f t="shared" si="1"/>
        <v>9000</v>
      </c>
      <c r="T2" s="12">
        <f t="shared" si="1"/>
        <v>10000</v>
      </c>
      <c r="U2" s="12">
        <f t="shared" si="1"/>
        <v>23500</v>
      </c>
      <c r="V2" s="12">
        <f t="shared" si="1"/>
        <v>87000</v>
      </c>
      <c r="W2" s="12">
        <f t="shared" si="1"/>
        <v>39000</v>
      </c>
      <c r="X2" s="12">
        <f t="shared" si="1"/>
        <v>41500</v>
      </c>
      <c r="Y2" s="12">
        <f t="shared" si="1"/>
        <v>71000</v>
      </c>
      <c r="Z2" s="12">
        <f t="shared" si="1"/>
        <v>33000</v>
      </c>
      <c r="AA2" s="12">
        <f t="shared" si="1"/>
        <v>50100</v>
      </c>
      <c r="AB2" s="12">
        <f t="shared" si="1"/>
        <v>27000</v>
      </c>
      <c r="AC2" s="12">
        <f t="shared" si="1"/>
        <v>32000</v>
      </c>
      <c r="AD2" s="12">
        <f t="shared" si="1"/>
        <v>3000</v>
      </c>
      <c r="AE2" s="12">
        <f t="shared" si="1"/>
        <v>28000</v>
      </c>
      <c r="AF2" s="12">
        <f t="shared" si="1"/>
        <v>24000</v>
      </c>
      <c r="AG2" s="12">
        <f t="shared" si="1"/>
        <v>84000</v>
      </c>
      <c r="AH2" s="12">
        <f t="shared" si="1"/>
        <v>38500</v>
      </c>
      <c r="AI2" s="12">
        <f t="shared" si="1"/>
        <v>19000</v>
      </c>
      <c r="AJ2" s="12">
        <f t="shared" si="1"/>
        <v>12000</v>
      </c>
      <c r="AK2" s="12">
        <f t="shared" si="1"/>
        <v>18000</v>
      </c>
      <c r="AL2" s="12">
        <f t="shared" si="1"/>
        <v>34000</v>
      </c>
      <c r="AM2" s="12">
        <f t="shared" si="1"/>
        <v>60000</v>
      </c>
    </row>
    <row r="3" s="11" customFormat="1" spans="1:39">
      <c r="A3" s="11">
        <v>1</v>
      </c>
      <c r="B3" s="11" t="s">
        <v>131</v>
      </c>
      <c r="C3" s="11">
        <v>1</v>
      </c>
      <c r="D3" s="11" t="s">
        <v>131</v>
      </c>
      <c r="E3" s="11">
        <v>9334066332</v>
      </c>
      <c r="F3" s="11" t="s">
        <v>9</v>
      </c>
      <c r="G3" s="18" t="s">
        <v>10</v>
      </c>
      <c r="H3" s="12">
        <f t="shared" si="0"/>
        <v>2000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0">
        <v>2000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="11" customFormat="1" spans="1:39">
      <c r="A4" s="11">
        <v>2</v>
      </c>
      <c r="B4" s="11" t="s">
        <v>132</v>
      </c>
      <c r="C4" s="11">
        <v>2</v>
      </c>
      <c r="D4" s="11" t="s">
        <v>132</v>
      </c>
      <c r="E4" s="11" t="s">
        <v>133</v>
      </c>
      <c r="F4" s="11" t="s">
        <v>9</v>
      </c>
      <c r="G4" s="18" t="s">
        <v>11</v>
      </c>
      <c r="H4" s="12">
        <f t="shared" si="0"/>
        <v>12000</v>
      </c>
      <c r="I4" s="20">
        <v>2000</v>
      </c>
      <c r="J4" s="1"/>
      <c r="K4" s="1"/>
      <c r="L4" s="1"/>
      <c r="M4" s="1"/>
      <c r="N4" s="20">
        <v>2000</v>
      </c>
      <c r="O4" s="1"/>
      <c r="P4" s="1"/>
      <c r="Q4" s="1"/>
      <c r="R4" s="1"/>
      <c r="S4" s="1"/>
      <c r="T4" s="1"/>
      <c r="U4" s="1"/>
      <c r="V4" s="20">
        <v>2000</v>
      </c>
      <c r="W4" s="1"/>
      <c r="X4" s="1"/>
      <c r="Y4" s="1"/>
      <c r="Z4" s="20">
        <v>2000</v>
      </c>
      <c r="AA4" s="1"/>
      <c r="AB4" s="1"/>
      <c r="AC4" s="1"/>
      <c r="AD4" s="20">
        <v>2000</v>
      </c>
      <c r="AE4" s="1"/>
      <c r="AF4" s="1"/>
      <c r="AG4" s="1"/>
      <c r="AH4" s="1"/>
      <c r="AI4" s="1"/>
      <c r="AJ4" s="1"/>
      <c r="AK4" s="1"/>
      <c r="AL4" s="20">
        <v>2000</v>
      </c>
      <c r="AM4" s="1"/>
    </row>
    <row r="5" s="11" customFormat="1" spans="1:39">
      <c r="A5" s="11">
        <v>3</v>
      </c>
      <c r="C5" s="11">
        <v>3</v>
      </c>
      <c r="E5" s="11">
        <v>8340365412</v>
      </c>
      <c r="F5" s="11" t="s">
        <v>9</v>
      </c>
      <c r="G5" s="18" t="s">
        <v>13</v>
      </c>
      <c r="H5" s="12">
        <f t="shared" si="0"/>
        <v>24500</v>
      </c>
      <c r="I5" s="1"/>
      <c r="J5" s="1"/>
      <c r="K5" s="20">
        <v>4000</v>
      </c>
      <c r="L5" s="1"/>
      <c r="M5" s="1"/>
      <c r="N5" s="20">
        <v>2000</v>
      </c>
      <c r="O5" s="1"/>
      <c r="P5" s="1"/>
      <c r="Q5" s="1"/>
      <c r="R5" s="1"/>
      <c r="S5" s="1"/>
      <c r="T5" s="1"/>
      <c r="U5" s="1"/>
      <c r="V5" s="20">
        <v>6000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>
        <v>8500</v>
      </c>
      <c r="AI5" s="1"/>
      <c r="AJ5" s="1"/>
      <c r="AK5" s="1"/>
      <c r="AL5" s="1"/>
      <c r="AM5" s="1">
        <v>4000</v>
      </c>
    </row>
    <row r="6" s="11" customFormat="1" spans="1:39">
      <c r="A6" s="11">
        <v>4</v>
      </c>
      <c r="B6" s="11" t="s">
        <v>134</v>
      </c>
      <c r="C6" s="11">
        <v>4</v>
      </c>
      <c r="D6" s="11" t="s">
        <v>134</v>
      </c>
      <c r="E6" s="11">
        <v>9102317719</v>
      </c>
      <c r="F6" s="11" t="s">
        <v>9</v>
      </c>
      <c r="G6" s="18" t="s">
        <v>15</v>
      </c>
      <c r="H6" s="12">
        <f t="shared" si="0"/>
        <v>28000</v>
      </c>
      <c r="I6" s="20">
        <v>2000</v>
      </c>
      <c r="J6" s="1"/>
      <c r="K6" s="20">
        <v>1000</v>
      </c>
      <c r="L6" s="20">
        <v>2000</v>
      </c>
      <c r="M6" s="1"/>
      <c r="N6" s="20">
        <v>3000</v>
      </c>
      <c r="O6" s="1"/>
      <c r="P6" s="1"/>
      <c r="Q6" s="20">
        <v>2000</v>
      </c>
      <c r="R6" s="1"/>
      <c r="S6" s="1"/>
      <c r="T6" s="1"/>
      <c r="U6" s="1"/>
      <c r="V6" s="20">
        <v>4000</v>
      </c>
      <c r="W6" s="1"/>
      <c r="X6" s="1"/>
      <c r="Y6" s="1"/>
      <c r="Z6" s="20">
        <v>4000</v>
      </c>
      <c r="AA6" s="1"/>
      <c r="AB6" s="1"/>
      <c r="AC6" s="1"/>
      <c r="AD6" s="1"/>
      <c r="AE6" s="1"/>
      <c r="AF6" s="1"/>
      <c r="AG6" s="1"/>
      <c r="AH6" s="20">
        <v>6000</v>
      </c>
      <c r="AI6" s="1"/>
      <c r="AJ6" s="1"/>
      <c r="AK6" s="1"/>
      <c r="AL6" s="1"/>
      <c r="AM6" s="20">
        <v>4000</v>
      </c>
    </row>
    <row r="7" s="11" customFormat="1" spans="1:39">
      <c r="A7" s="11">
        <v>5</v>
      </c>
      <c r="B7" s="11" t="s">
        <v>135</v>
      </c>
      <c r="C7" s="11">
        <v>5</v>
      </c>
      <c r="D7" s="11" t="s">
        <v>136</v>
      </c>
      <c r="E7" s="11">
        <v>8210924561</v>
      </c>
      <c r="F7" s="11" t="s">
        <v>9</v>
      </c>
      <c r="G7" s="18" t="s">
        <v>17</v>
      </c>
      <c r="H7" s="12">
        <f t="shared" si="0"/>
        <v>52000</v>
      </c>
      <c r="I7" s="1"/>
      <c r="J7" s="1"/>
      <c r="K7" s="1"/>
      <c r="L7" s="1"/>
      <c r="M7" s="1"/>
      <c r="N7" s="1"/>
      <c r="O7" s="20">
        <v>10000</v>
      </c>
      <c r="P7" s="1"/>
      <c r="Q7" s="1"/>
      <c r="R7" s="1"/>
      <c r="S7" s="1"/>
      <c r="T7" s="1"/>
      <c r="U7" s="20">
        <v>10000</v>
      </c>
      <c r="V7" s="1"/>
      <c r="W7" s="1"/>
      <c r="X7" s="20">
        <v>7000</v>
      </c>
      <c r="Y7" s="1"/>
      <c r="Z7" s="20">
        <v>7000</v>
      </c>
      <c r="AA7" s="1"/>
      <c r="AB7" s="1"/>
      <c r="AC7" s="1"/>
      <c r="AD7" s="1"/>
      <c r="AE7" s="1"/>
      <c r="AF7" s="1"/>
      <c r="AG7" s="20">
        <v>13000</v>
      </c>
      <c r="AH7" s="1"/>
      <c r="AI7" s="1"/>
      <c r="AJ7" s="1"/>
      <c r="AK7" s="1"/>
      <c r="AL7" s="1"/>
      <c r="AM7" s="20">
        <v>5000</v>
      </c>
    </row>
    <row r="8" s="11" customFormat="1" spans="1:39">
      <c r="A8" s="11">
        <v>6</v>
      </c>
      <c r="C8" s="11">
        <v>6</v>
      </c>
      <c r="D8" s="11" t="s">
        <v>137</v>
      </c>
      <c r="E8" s="11">
        <v>9110978139</v>
      </c>
      <c r="F8" s="11" t="s">
        <v>9</v>
      </c>
      <c r="G8" s="18" t="s">
        <v>19</v>
      </c>
      <c r="H8" s="12">
        <f t="shared" si="0"/>
        <v>16000</v>
      </c>
      <c r="I8" s="1">
        <v>2000</v>
      </c>
      <c r="J8" s="1"/>
      <c r="K8" s="20">
        <v>2000</v>
      </c>
      <c r="L8" s="1"/>
      <c r="M8" s="1"/>
      <c r="N8" s="20">
        <v>2000</v>
      </c>
      <c r="O8" s="1"/>
      <c r="P8" s="1"/>
      <c r="Q8" s="1"/>
      <c r="R8" s="1"/>
      <c r="S8" s="1"/>
      <c r="T8" s="1"/>
      <c r="U8" s="1"/>
      <c r="V8" s="1"/>
      <c r="W8" s="20">
        <v>4000</v>
      </c>
      <c r="X8" s="1"/>
      <c r="Y8" s="1"/>
      <c r="Z8" s="1"/>
      <c r="AA8" s="1"/>
      <c r="AB8" s="20">
        <v>2000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20">
        <v>4000</v>
      </c>
    </row>
    <row r="9" s="11" customFormat="1" spans="1:39">
      <c r="A9" s="11">
        <v>7</v>
      </c>
      <c r="C9" s="11">
        <v>7</v>
      </c>
      <c r="D9" s="1" t="s">
        <v>138</v>
      </c>
      <c r="E9" s="11">
        <v>8340201321</v>
      </c>
      <c r="F9" s="11" t="s">
        <v>9</v>
      </c>
      <c r="G9" s="18" t="s">
        <v>20</v>
      </c>
      <c r="H9" s="12">
        <f t="shared" si="0"/>
        <v>7000</v>
      </c>
      <c r="I9" s="1"/>
      <c r="J9" s="1"/>
      <c r="K9" s="1"/>
      <c r="L9" s="1"/>
      <c r="M9" s="1"/>
      <c r="N9" s="1"/>
      <c r="O9" s="1">
        <v>3000</v>
      </c>
      <c r="P9" s="1"/>
      <c r="Q9" s="1"/>
      <c r="R9" s="1"/>
      <c r="S9" s="1"/>
      <c r="T9" s="1"/>
      <c r="U9" s="1"/>
      <c r="V9" s="1"/>
      <c r="W9" s="1"/>
      <c r="X9" s="1">
        <v>2000</v>
      </c>
      <c r="Y9" s="1"/>
      <c r="Z9" s="1"/>
      <c r="AA9" s="1"/>
      <c r="AB9" s="1"/>
      <c r="AC9" s="1"/>
      <c r="AD9" s="1"/>
      <c r="AE9" s="1"/>
      <c r="AF9" s="1"/>
      <c r="AG9" s="1"/>
      <c r="AH9" s="1">
        <v>2000</v>
      </c>
      <c r="AI9" s="1"/>
      <c r="AJ9" s="1"/>
      <c r="AK9" s="1"/>
      <c r="AL9" s="1"/>
      <c r="AM9" s="1"/>
    </row>
    <row r="10" s="11" customFormat="1" spans="1:39">
      <c r="A10" s="11">
        <v>8</v>
      </c>
      <c r="C10" s="11">
        <v>8</v>
      </c>
      <c r="D10" s="11" t="s">
        <v>139</v>
      </c>
      <c r="E10" s="11">
        <v>7004365158</v>
      </c>
      <c r="F10" s="11" t="s">
        <v>9</v>
      </c>
      <c r="G10" s="18" t="s">
        <v>22</v>
      </c>
      <c r="H10" s="12">
        <f t="shared" si="0"/>
        <v>27000</v>
      </c>
      <c r="I10" s="1">
        <v>2500</v>
      </c>
      <c r="J10" s="1"/>
      <c r="K10" s="1"/>
      <c r="L10" s="1"/>
      <c r="M10" s="1"/>
      <c r="N10" s="1"/>
      <c r="O10" s="1">
        <v>7500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>
        <v>5000</v>
      </c>
      <c r="AI10" s="1"/>
      <c r="AJ10" s="1"/>
      <c r="AK10" s="1"/>
      <c r="AL10" s="1"/>
      <c r="AM10" s="1">
        <v>12000</v>
      </c>
    </row>
    <row r="11" s="11" customFormat="1" spans="1:39">
      <c r="A11" s="11">
        <v>9</v>
      </c>
      <c r="B11" s="11" t="s">
        <v>140</v>
      </c>
      <c r="C11" s="11">
        <v>9</v>
      </c>
      <c r="D11" s="11" t="s">
        <v>140</v>
      </c>
      <c r="E11" s="11">
        <v>9973022718</v>
      </c>
      <c r="F11" s="11" t="s">
        <v>23</v>
      </c>
      <c r="G11" s="18" t="s">
        <v>24</v>
      </c>
      <c r="H11" s="12">
        <f t="shared" si="0"/>
        <v>6000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20">
        <v>4000</v>
      </c>
      <c r="Y11" s="1"/>
      <c r="Z11" s="1"/>
      <c r="AA11" s="1"/>
      <c r="AB11" s="1"/>
      <c r="AC11" s="1"/>
      <c r="AD11" s="1"/>
      <c r="AE11" s="1"/>
      <c r="AF11" s="1"/>
      <c r="AG11" s="1"/>
      <c r="AH11" s="20">
        <v>2000</v>
      </c>
      <c r="AI11" s="1"/>
      <c r="AJ11" s="1"/>
      <c r="AK11" s="1"/>
      <c r="AL11" s="1"/>
      <c r="AM11" s="1"/>
    </row>
    <row r="12" s="11" customFormat="1" spans="1:39">
      <c r="A12" s="11">
        <v>10</v>
      </c>
      <c r="C12" s="11">
        <v>10</v>
      </c>
      <c r="E12" s="11">
        <v>7004923653</v>
      </c>
      <c r="F12" s="11" t="s">
        <v>23</v>
      </c>
      <c r="G12" s="18" t="s">
        <v>25</v>
      </c>
      <c r="H12" s="12">
        <f t="shared" si="0"/>
        <v>5000</v>
      </c>
      <c r="I12" s="1"/>
      <c r="J12" s="1"/>
      <c r="K12" s="1"/>
      <c r="L12" s="1"/>
      <c r="M12" s="1"/>
      <c r="N12" s="1"/>
      <c r="O12" s="1">
        <v>1400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>
        <v>3600</v>
      </c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s="11" customFormat="1" spans="1:39">
      <c r="A13" s="11">
        <v>11</v>
      </c>
      <c r="C13" s="11">
        <v>11</v>
      </c>
      <c r="D13" s="11" t="s">
        <v>141</v>
      </c>
      <c r="E13" s="11">
        <v>8340182577</v>
      </c>
      <c r="F13" s="11" t="s">
        <v>23</v>
      </c>
      <c r="G13" s="18" t="s">
        <v>26</v>
      </c>
      <c r="H13" s="12">
        <f t="shared" si="0"/>
        <v>24000</v>
      </c>
      <c r="I13" s="1"/>
      <c r="J13" s="1"/>
      <c r="K13" s="1"/>
      <c r="L13" s="1"/>
      <c r="M13" s="1"/>
      <c r="N13" s="20">
        <v>8000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20">
        <v>4000</v>
      </c>
      <c r="AB13" s="1"/>
      <c r="AC13" s="1"/>
      <c r="AD13" s="1"/>
      <c r="AE13" s="1"/>
      <c r="AF13" s="1"/>
      <c r="AG13" s="1"/>
      <c r="AH13" s="1">
        <v>6000</v>
      </c>
      <c r="AI13" s="1"/>
      <c r="AJ13" s="1"/>
      <c r="AK13" s="1"/>
      <c r="AL13" s="20">
        <v>6000</v>
      </c>
      <c r="AM13" s="1"/>
    </row>
    <row r="14" s="11" customFormat="1" spans="1:39">
      <c r="A14" s="11">
        <v>12</v>
      </c>
      <c r="B14" s="11" t="s">
        <v>142</v>
      </c>
      <c r="C14" s="11">
        <v>12</v>
      </c>
      <c r="D14" s="11" t="s">
        <v>143</v>
      </c>
      <c r="E14" s="11">
        <v>7004740439</v>
      </c>
      <c r="F14" s="11" t="s">
        <v>23</v>
      </c>
      <c r="G14" s="18" t="s">
        <v>27</v>
      </c>
      <c r="H14" s="12">
        <f t="shared" si="0"/>
        <v>29000</v>
      </c>
      <c r="I14" s="20">
        <v>1500</v>
      </c>
      <c r="J14" s="20">
        <v>2000</v>
      </c>
      <c r="K14" s="20">
        <v>2000</v>
      </c>
      <c r="L14" s="1"/>
      <c r="M14" s="1"/>
      <c r="N14" s="1">
        <v>3000</v>
      </c>
      <c r="O14" s="20">
        <v>3000</v>
      </c>
      <c r="P14" s="1"/>
      <c r="Q14" s="1"/>
      <c r="R14" s="20">
        <v>3000</v>
      </c>
      <c r="S14" s="20">
        <v>1000</v>
      </c>
      <c r="T14" s="1"/>
      <c r="U14" s="20">
        <v>1500</v>
      </c>
      <c r="V14" s="1"/>
      <c r="W14" s="20">
        <v>2000</v>
      </c>
      <c r="X14" s="1"/>
      <c r="Y14" s="1"/>
      <c r="Z14" s="1"/>
      <c r="AA14" s="20">
        <v>2000</v>
      </c>
      <c r="AB14" s="1"/>
      <c r="AC14" s="1"/>
      <c r="AD14" s="1"/>
      <c r="AE14" s="1"/>
      <c r="AF14" s="20">
        <v>2000</v>
      </c>
      <c r="AG14" s="1"/>
      <c r="AH14" s="20">
        <v>2000</v>
      </c>
      <c r="AI14" s="1"/>
      <c r="AJ14" s="20">
        <v>2000</v>
      </c>
      <c r="AK14" s="20">
        <v>2000</v>
      </c>
      <c r="AL14" s="1"/>
      <c r="AM14" s="1"/>
    </row>
    <row r="15" s="11" customFormat="1" spans="1:39">
      <c r="A15" s="11">
        <v>13</v>
      </c>
      <c r="B15" s="11" t="s">
        <v>28</v>
      </c>
      <c r="C15" s="11">
        <v>13</v>
      </c>
      <c r="D15" s="11" t="s">
        <v>28</v>
      </c>
      <c r="F15" s="11" t="s">
        <v>23</v>
      </c>
      <c r="G15" s="18" t="s">
        <v>29</v>
      </c>
      <c r="H15" s="12">
        <f t="shared" si="0"/>
        <v>10000</v>
      </c>
      <c r="I15" s="1"/>
      <c r="J15" s="1"/>
      <c r="K15" s="1"/>
      <c r="L15" s="1"/>
      <c r="M15" s="20">
        <v>4000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>
        <v>6000</v>
      </c>
      <c r="AI15" s="1"/>
      <c r="AJ15" s="1"/>
      <c r="AK15" s="1"/>
      <c r="AL15" s="1"/>
      <c r="AM15" s="1"/>
    </row>
    <row r="16" s="11" customFormat="1" spans="1:39">
      <c r="A16" s="11">
        <v>14</v>
      </c>
      <c r="B16" s="11" t="s">
        <v>144</v>
      </c>
      <c r="C16" s="11">
        <v>14</v>
      </c>
      <c r="D16" s="11" t="s">
        <v>144</v>
      </c>
      <c r="E16" s="11">
        <v>7321004323</v>
      </c>
      <c r="F16" s="11" t="s">
        <v>23</v>
      </c>
      <c r="G16" s="18" t="s">
        <v>30</v>
      </c>
      <c r="H16" s="12">
        <f t="shared" si="0"/>
        <v>5000</v>
      </c>
      <c r="I16" s="1"/>
      <c r="J16" s="1"/>
      <c r="K16" s="1"/>
      <c r="L16" s="1"/>
      <c r="M16" s="1"/>
      <c r="N16" s="20">
        <v>1000</v>
      </c>
      <c r="O16" s="1"/>
      <c r="P16" s="1"/>
      <c r="Q16" s="1"/>
      <c r="R16" s="1"/>
      <c r="S16" s="1"/>
      <c r="T16" s="1"/>
      <c r="U16" s="1"/>
      <c r="V16" s="1">
        <v>1000</v>
      </c>
      <c r="W16" s="1"/>
      <c r="X16" s="1"/>
      <c r="Y16" s="20">
        <v>1000</v>
      </c>
      <c r="Z16" s="1"/>
      <c r="AA16" s="1"/>
      <c r="AB16" s="20">
        <v>1000</v>
      </c>
      <c r="AC16" s="1"/>
      <c r="AD16" s="1"/>
      <c r="AE16" s="1"/>
      <c r="AF16" s="1"/>
      <c r="AG16" s="1"/>
      <c r="AH16" s="1"/>
      <c r="AI16" s="1"/>
      <c r="AJ16" s="20">
        <v>1000</v>
      </c>
      <c r="AK16" s="1"/>
      <c r="AL16" s="1"/>
      <c r="AM16" s="1"/>
    </row>
    <row r="17" s="11" customFormat="1" spans="1:39">
      <c r="A17" s="11">
        <v>15</v>
      </c>
      <c r="C17" s="11">
        <v>15</v>
      </c>
      <c r="D17" s="11" t="s">
        <v>145</v>
      </c>
      <c r="E17" s="11">
        <v>7903378748</v>
      </c>
      <c r="F17" s="11" t="s">
        <v>23</v>
      </c>
      <c r="G17" s="18" t="s">
        <v>32</v>
      </c>
      <c r="H17" s="12">
        <f t="shared" si="0"/>
        <v>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s="11" customFormat="1" spans="1:39">
      <c r="A18" s="11">
        <v>16</v>
      </c>
      <c r="C18" s="11">
        <v>16</v>
      </c>
      <c r="D18" s="11" t="s">
        <v>33</v>
      </c>
      <c r="F18" s="11" t="s">
        <v>23</v>
      </c>
      <c r="G18" s="18" t="s">
        <v>34</v>
      </c>
      <c r="H18" s="12">
        <f t="shared" si="0"/>
        <v>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="11" customFormat="1" spans="1:39">
      <c r="A19" s="11">
        <v>17</v>
      </c>
      <c r="B19" s="11" t="s">
        <v>146</v>
      </c>
      <c r="C19" s="11">
        <v>17</v>
      </c>
      <c r="D19" s="11" t="s">
        <v>146</v>
      </c>
      <c r="E19" s="11">
        <v>9608475282</v>
      </c>
      <c r="F19" s="11" t="s">
        <v>23</v>
      </c>
      <c r="G19" s="18" t="s">
        <v>35</v>
      </c>
      <c r="H19" s="12">
        <f t="shared" si="0"/>
        <v>9000</v>
      </c>
      <c r="I19" s="1"/>
      <c r="J19" s="1"/>
      <c r="K19" s="1"/>
      <c r="L19" s="1"/>
      <c r="M19" s="1"/>
      <c r="N19" s="1"/>
      <c r="O19" s="1">
        <v>1500</v>
      </c>
      <c r="P19" s="1"/>
      <c r="Q19" s="1"/>
      <c r="R19" s="1"/>
      <c r="S19" s="1"/>
      <c r="T19" s="1"/>
      <c r="U19" s="1"/>
      <c r="V19" s="1"/>
      <c r="W19" s="1"/>
      <c r="X19" s="20">
        <v>2500</v>
      </c>
      <c r="Y19" s="1"/>
      <c r="Z19" s="1"/>
      <c r="AA19" s="1">
        <v>1000</v>
      </c>
      <c r="AB19" s="1"/>
      <c r="AC19" s="1"/>
      <c r="AD19" s="1"/>
      <c r="AE19" s="1"/>
      <c r="AF19" s="1"/>
      <c r="AG19" s="1"/>
      <c r="AH19" s="1">
        <v>1000</v>
      </c>
      <c r="AI19" s="1"/>
      <c r="AJ19" s="1"/>
      <c r="AK19" s="1"/>
      <c r="AL19" s="1"/>
      <c r="AM19" s="20">
        <v>3000</v>
      </c>
    </row>
    <row r="20" s="11" customFormat="1" spans="1:39">
      <c r="A20" s="11">
        <v>18</v>
      </c>
      <c r="B20" s="11" t="s">
        <v>147</v>
      </c>
      <c r="C20" s="11">
        <v>18</v>
      </c>
      <c r="D20" s="11" t="s">
        <v>148</v>
      </c>
      <c r="E20" s="11">
        <v>9661555592</v>
      </c>
      <c r="F20" s="11" t="s">
        <v>36</v>
      </c>
      <c r="G20" s="18" t="s">
        <v>37</v>
      </c>
      <c r="H20" s="12">
        <f t="shared" si="0"/>
        <v>5000</v>
      </c>
      <c r="I20" s="1"/>
      <c r="J20" s="1"/>
      <c r="K20" s="1"/>
      <c r="L20" s="1"/>
      <c r="M20" s="20">
        <v>5000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="11" customFormat="1" spans="1:39">
      <c r="A21" s="11">
        <v>19</v>
      </c>
      <c r="B21" s="11" t="s">
        <v>149</v>
      </c>
      <c r="C21" s="11">
        <v>19</v>
      </c>
      <c r="D21" s="11" t="s">
        <v>149</v>
      </c>
      <c r="E21" s="11">
        <v>8340523512</v>
      </c>
      <c r="F21" s="11" t="s">
        <v>36</v>
      </c>
      <c r="G21" s="18" t="s">
        <v>38</v>
      </c>
      <c r="H21" s="12">
        <f t="shared" si="0"/>
        <v>4000</v>
      </c>
      <c r="I21" s="1"/>
      <c r="J21" s="1"/>
      <c r="K21" s="1"/>
      <c r="L21" s="1"/>
      <c r="M21" s="20">
        <v>2000</v>
      </c>
      <c r="N21" s="1"/>
      <c r="O21" s="1"/>
      <c r="P21" s="1"/>
      <c r="Q21" s="20">
        <v>2000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="11" customFormat="1" spans="1:39">
      <c r="A22" s="11">
        <v>20</v>
      </c>
      <c r="C22" s="11">
        <v>20</v>
      </c>
      <c r="D22" s="11" t="s">
        <v>150</v>
      </c>
      <c r="E22" s="11">
        <v>8825310472</v>
      </c>
      <c r="F22" s="11" t="s">
        <v>36</v>
      </c>
      <c r="G22" s="18" t="s">
        <v>39</v>
      </c>
      <c r="H22" s="12">
        <f t="shared" si="0"/>
        <v>1000</v>
      </c>
      <c r="I22" s="1"/>
      <c r="J22" s="1"/>
      <c r="K22" s="1"/>
      <c r="L22" s="1">
        <v>1000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s="11" customFormat="1" spans="1:39">
      <c r="A23" s="11">
        <v>21</v>
      </c>
      <c r="B23" s="11" t="s">
        <v>151</v>
      </c>
      <c r="C23" s="11">
        <v>21</v>
      </c>
      <c r="D23" s="11" t="s">
        <v>151</v>
      </c>
      <c r="E23" s="11">
        <v>7004478123</v>
      </c>
      <c r="F23" s="11" t="s">
        <v>36</v>
      </c>
      <c r="G23" s="18" t="s">
        <v>40</v>
      </c>
      <c r="H23" s="12">
        <f t="shared" si="0"/>
        <v>14000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>
        <v>8000</v>
      </c>
      <c r="AB23" s="1"/>
      <c r="AC23" s="1"/>
      <c r="AD23" s="1"/>
      <c r="AE23" s="1"/>
      <c r="AF23" s="1"/>
      <c r="AG23" s="20">
        <v>6000</v>
      </c>
      <c r="AH23" s="1"/>
      <c r="AI23" s="1"/>
      <c r="AJ23" s="1"/>
      <c r="AK23" s="1"/>
      <c r="AL23" s="1"/>
      <c r="AM23" s="1"/>
    </row>
    <row r="24" s="11" customFormat="1" spans="1:39">
      <c r="A24" s="11">
        <v>22</v>
      </c>
      <c r="C24" s="11">
        <v>22</v>
      </c>
      <c r="E24" s="11">
        <v>7667895364</v>
      </c>
      <c r="F24" s="11" t="s">
        <v>36</v>
      </c>
      <c r="G24" s="18" t="s">
        <v>41</v>
      </c>
      <c r="H24" s="12">
        <f t="shared" si="0"/>
        <v>3000</v>
      </c>
      <c r="I24" s="1"/>
      <c r="J24" s="1"/>
      <c r="K24" s="1"/>
      <c r="L24" s="1">
        <v>1000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>
        <v>2000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s="11" customFormat="1" spans="1:39">
      <c r="A25" s="11">
        <v>23</v>
      </c>
      <c r="B25" s="11" t="s">
        <v>152</v>
      </c>
      <c r="C25" s="11">
        <v>23</v>
      </c>
      <c r="D25" s="11" t="s">
        <v>152</v>
      </c>
      <c r="E25" s="11">
        <v>7006041121</v>
      </c>
      <c r="F25" s="11" t="s">
        <v>36</v>
      </c>
      <c r="G25" s="18" t="s">
        <v>42</v>
      </c>
      <c r="H25" s="12">
        <f t="shared" si="0"/>
        <v>7000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>
        <v>7000</v>
      </c>
      <c r="AJ25" s="1"/>
      <c r="AK25" s="1"/>
      <c r="AL25" s="1"/>
      <c r="AM25" s="1"/>
    </row>
    <row r="26" s="11" customFormat="1" spans="1:39">
      <c r="A26" s="11">
        <v>24</v>
      </c>
      <c r="B26" s="11" t="s">
        <v>153</v>
      </c>
      <c r="C26" s="11">
        <v>24</v>
      </c>
      <c r="D26" s="11" t="s">
        <v>153</v>
      </c>
      <c r="E26" s="11">
        <v>8709658240</v>
      </c>
      <c r="F26" s="11" t="s">
        <v>36</v>
      </c>
      <c r="G26" s="18" t="s">
        <v>43</v>
      </c>
      <c r="H26" s="12">
        <f t="shared" si="0"/>
        <v>27000</v>
      </c>
      <c r="I26" s="1"/>
      <c r="J26" s="1"/>
      <c r="K26" s="1"/>
      <c r="L26" s="1"/>
      <c r="M26" s="20">
        <v>8000</v>
      </c>
      <c r="N26" s="1"/>
      <c r="O26" s="1"/>
      <c r="P26" s="1"/>
      <c r="Q26" s="1"/>
      <c r="R26" s="1"/>
      <c r="S26" s="1"/>
      <c r="T26" s="1"/>
      <c r="U26" s="1"/>
      <c r="V26" s="20">
        <v>7000</v>
      </c>
      <c r="W26" s="1"/>
      <c r="X26" s="1"/>
      <c r="Y26" s="1"/>
      <c r="Z26" s="1"/>
      <c r="AA26" s="1"/>
      <c r="AB26" s="20">
        <v>4000</v>
      </c>
      <c r="AC26" s="1"/>
      <c r="AD26" s="1"/>
      <c r="AE26" s="20">
        <v>4000</v>
      </c>
      <c r="AF26" s="1"/>
      <c r="AG26" s="1"/>
      <c r="AH26" s="1"/>
      <c r="AI26" s="1"/>
      <c r="AJ26" s="1"/>
      <c r="AK26" s="1"/>
      <c r="AL26" s="20">
        <v>4000</v>
      </c>
      <c r="AM26" s="1"/>
    </row>
    <row r="27" s="11" customFormat="1" spans="1:39">
      <c r="A27" s="11">
        <v>25</v>
      </c>
      <c r="C27" s="11">
        <v>25</v>
      </c>
      <c r="E27" s="11">
        <v>8709612020</v>
      </c>
      <c r="F27" s="11" t="s">
        <v>36</v>
      </c>
      <c r="G27" s="18" t="s">
        <v>44</v>
      </c>
      <c r="H27" s="12">
        <f t="shared" si="0"/>
        <v>2000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>
        <v>2000</v>
      </c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s="11" customFormat="1" spans="1:39">
      <c r="A28" s="11">
        <v>26</v>
      </c>
      <c r="C28" s="11">
        <v>26</v>
      </c>
      <c r="D28" s="11" t="s">
        <v>154</v>
      </c>
      <c r="E28" s="11">
        <v>9973040600</v>
      </c>
      <c r="F28" s="11" t="s">
        <v>36</v>
      </c>
      <c r="G28" s="18" t="s">
        <v>45</v>
      </c>
      <c r="H28" s="12">
        <f t="shared" si="0"/>
        <v>18000</v>
      </c>
      <c r="I28" s="1"/>
      <c r="J28" s="1"/>
      <c r="K28" s="1"/>
      <c r="L28" s="1">
        <v>1000</v>
      </c>
      <c r="M28" s="1"/>
      <c r="N28" s="1"/>
      <c r="O28" s="20">
        <v>3000</v>
      </c>
      <c r="P28" s="1"/>
      <c r="Q28" s="1"/>
      <c r="R28" s="1"/>
      <c r="S28" s="20">
        <v>3000</v>
      </c>
      <c r="T28" s="1"/>
      <c r="U28" s="20">
        <v>3000</v>
      </c>
      <c r="V28" s="1"/>
      <c r="W28" s="1"/>
      <c r="X28" s="1"/>
      <c r="Y28" s="1"/>
      <c r="Z28" s="20">
        <v>2000</v>
      </c>
      <c r="AA28" s="1"/>
      <c r="AB28" s="1"/>
      <c r="AC28" s="1"/>
      <c r="AD28" s="1"/>
      <c r="AE28" s="1"/>
      <c r="AF28" s="20">
        <v>4000</v>
      </c>
      <c r="AG28" s="1"/>
      <c r="AH28" s="1"/>
      <c r="AI28" s="1"/>
      <c r="AJ28" s="1"/>
      <c r="AK28" s="1"/>
      <c r="AL28" s="1"/>
      <c r="AM28" s="20">
        <v>2000</v>
      </c>
    </row>
    <row r="29" s="11" customFormat="1" spans="1:39">
      <c r="A29" s="11">
        <v>27</v>
      </c>
      <c r="C29" s="11">
        <v>27</v>
      </c>
      <c r="D29" s="11" t="s">
        <v>155</v>
      </c>
      <c r="E29" s="11">
        <v>9973345687</v>
      </c>
      <c r="F29" s="11" t="s">
        <v>36</v>
      </c>
      <c r="G29" s="18" t="s">
        <v>46</v>
      </c>
      <c r="H29" s="12">
        <f t="shared" si="0"/>
        <v>8000</v>
      </c>
      <c r="I29" s="1"/>
      <c r="J29" s="1"/>
      <c r="K29" s="1"/>
      <c r="L29" s="1">
        <v>2000</v>
      </c>
      <c r="M29" s="1"/>
      <c r="N29" s="20">
        <v>2000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20">
        <v>2000</v>
      </c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20">
        <v>2000</v>
      </c>
      <c r="AL29" s="1"/>
      <c r="AM29" s="1"/>
    </row>
    <row r="30" s="11" customFormat="1" spans="1:39">
      <c r="A30" s="11">
        <v>28</v>
      </c>
      <c r="C30" s="11">
        <v>28</v>
      </c>
      <c r="E30" s="11">
        <v>9631391206</v>
      </c>
      <c r="F30" s="11" t="s">
        <v>36</v>
      </c>
      <c r="G30" s="18" t="s">
        <v>47</v>
      </c>
      <c r="H30" s="12">
        <f t="shared" si="0"/>
        <v>7000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>
        <v>7000</v>
      </c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="11" customFormat="1" spans="1:39">
      <c r="A31" s="11">
        <v>29</v>
      </c>
      <c r="B31" s="11" t="s">
        <v>156</v>
      </c>
      <c r="C31" s="11">
        <v>29</v>
      </c>
      <c r="D31" s="11" t="s">
        <v>157</v>
      </c>
      <c r="F31" s="11" t="s">
        <v>36</v>
      </c>
      <c r="G31" s="18" t="s">
        <v>48</v>
      </c>
      <c r="H31" s="12">
        <f t="shared" si="0"/>
        <v>8000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20">
        <v>2000</v>
      </c>
      <c r="U31" s="1"/>
      <c r="V31" s="1"/>
      <c r="W31" s="1"/>
      <c r="X31" s="20">
        <v>2000</v>
      </c>
      <c r="Y31" s="1"/>
      <c r="Z31" s="1"/>
      <c r="AA31" s="1"/>
      <c r="AB31" s="1"/>
      <c r="AC31" s="20">
        <v>2000</v>
      </c>
      <c r="AD31" s="1"/>
      <c r="AE31" s="1"/>
      <c r="AF31" s="1"/>
      <c r="AG31" s="1"/>
      <c r="AH31" s="1"/>
      <c r="AI31" s="1"/>
      <c r="AJ31" s="1"/>
      <c r="AK31" s="1"/>
      <c r="AL31" s="20">
        <v>2000</v>
      </c>
      <c r="AM31" s="1"/>
    </row>
    <row r="32" s="11" customFormat="1" spans="1:39">
      <c r="A32" s="11">
        <v>30</v>
      </c>
      <c r="B32" s="11" t="s">
        <v>158</v>
      </c>
      <c r="C32" s="11">
        <v>30</v>
      </c>
      <c r="D32" s="11" t="s">
        <v>159</v>
      </c>
      <c r="F32" s="11" t="s">
        <v>36</v>
      </c>
      <c r="G32" s="18" t="s">
        <v>49</v>
      </c>
      <c r="H32" s="12">
        <f t="shared" si="0"/>
        <v>40500</v>
      </c>
      <c r="I32" s="1"/>
      <c r="J32" s="1"/>
      <c r="K32" s="20">
        <v>8000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20">
        <v>15000</v>
      </c>
      <c r="W32" s="1"/>
      <c r="X32" s="1"/>
      <c r="Y32" s="1"/>
      <c r="Z32" s="1"/>
      <c r="AA32" s="20">
        <v>12500</v>
      </c>
      <c r="AB32" s="1"/>
      <c r="AC32" s="1"/>
      <c r="AD32" s="1"/>
      <c r="AE32" s="1"/>
      <c r="AF32" s="1"/>
      <c r="AG32" s="20">
        <v>5000</v>
      </c>
      <c r="AH32" s="1"/>
      <c r="AI32" s="1"/>
      <c r="AJ32" s="1"/>
      <c r="AK32" s="1"/>
      <c r="AL32" s="1"/>
      <c r="AM32" s="1"/>
    </row>
    <row r="33" s="11" customFormat="1" spans="1:39">
      <c r="A33" s="11">
        <v>31</v>
      </c>
      <c r="C33" s="11">
        <v>31</v>
      </c>
      <c r="F33" s="11" t="s">
        <v>36</v>
      </c>
      <c r="G33" s="18" t="s">
        <v>50</v>
      </c>
      <c r="H33" s="12">
        <f t="shared" si="0"/>
        <v>6000</v>
      </c>
      <c r="I33" s="1"/>
      <c r="J33" s="1"/>
      <c r="K33" s="1"/>
      <c r="L33" s="1">
        <v>1000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>
        <v>3000</v>
      </c>
      <c r="Z33" s="1"/>
      <c r="AA33" s="1"/>
      <c r="AB33" s="1"/>
      <c r="AC33" s="1"/>
      <c r="AD33" s="1"/>
      <c r="AE33" s="1"/>
      <c r="AF33" s="1"/>
      <c r="AG33" s="1"/>
      <c r="AH33" s="1"/>
      <c r="AI33" s="1">
        <v>2000</v>
      </c>
      <c r="AJ33" s="1"/>
      <c r="AK33" s="1"/>
      <c r="AL33" s="1"/>
      <c r="AM33" s="1"/>
    </row>
    <row r="34" s="11" customFormat="1" spans="1:39">
      <c r="A34" s="11">
        <v>32</v>
      </c>
      <c r="B34" s="11" t="s">
        <v>160</v>
      </c>
      <c r="C34" s="11">
        <v>32</v>
      </c>
      <c r="D34" s="11" t="s">
        <v>160</v>
      </c>
      <c r="F34" s="11" t="s">
        <v>51</v>
      </c>
      <c r="G34" s="18" t="s">
        <v>52</v>
      </c>
      <c r="H34" s="12">
        <f t="shared" si="0"/>
        <v>5000</v>
      </c>
      <c r="I34" s="1"/>
      <c r="J34" s="1"/>
      <c r="K34" s="1"/>
      <c r="L34" s="1">
        <v>1000</v>
      </c>
      <c r="M34" s="1"/>
      <c r="N34" s="1"/>
      <c r="O34" s="20">
        <v>2000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>
        <v>2000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="11" customFormat="1" spans="1:39">
      <c r="A35" s="11">
        <v>33</v>
      </c>
      <c r="C35" s="11">
        <v>33</v>
      </c>
      <c r="D35" s="11" t="s">
        <v>161</v>
      </c>
      <c r="F35" s="11" t="s">
        <v>51</v>
      </c>
      <c r="G35" s="18" t="s">
        <v>53</v>
      </c>
      <c r="H35" s="12">
        <f t="shared" si="0"/>
        <v>5000</v>
      </c>
      <c r="I35" s="1"/>
      <c r="J35" s="1"/>
      <c r="K35" s="1"/>
      <c r="L35" s="1"/>
      <c r="M35" s="20">
        <v>2000</v>
      </c>
      <c r="N35" s="1"/>
      <c r="O35" s="1"/>
      <c r="P35" s="1"/>
      <c r="Q35" s="1"/>
      <c r="R35" s="1"/>
      <c r="S35" s="1"/>
      <c r="T35" s="1"/>
      <c r="U35" s="20">
        <v>1000</v>
      </c>
      <c r="V35" s="1"/>
      <c r="W35" s="1"/>
      <c r="X35" s="1"/>
      <c r="Y35" s="1"/>
      <c r="Z35" s="1"/>
      <c r="AA35" s="1">
        <v>1000</v>
      </c>
      <c r="AB35" s="1"/>
      <c r="AC35" s="1"/>
      <c r="AD35" s="1"/>
      <c r="AE35" s="20">
        <v>1000</v>
      </c>
      <c r="AF35" s="1"/>
      <c r="AG35" s="1"/>
      <c r="AH35" s="1"/>
      <c r="AI35" s="1"/>
      <c r="AJ35" s="1"/>
      <c r="AK35" s="1"/>
      <c r="AL35" s="1"/>
      <c r="AM35" s="1"/>
    </row>
    <row r="36" s="11" customFormat="1" spans="1:39">
      <c r="A36" s="11">
        <v>34</v>
      </c>
      <c r="C36" s="11">
        <v>34</v>
      </c>
      <c r="D36" s="11" t="s">
        <v>162</v>
      </c>
      <c r="E36" s="11">
        <v>7654800030</v>
      </c>
      <c r="F36" s="11" t="s">
        <v>51</v>
      </c>
      <c r="G36" s="18" t="s">
        <v>54</v>
      </c>
      <c r="H36" s="12">
        <f t="shared" si="0"/>
        <v>2000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>
        <v>2000</v>
      </c>
      <c r="AH36" s="1"/>
      <c r="AI36" s="1"/>
      <c r="AJ36" s="1"/>
      <c r="AK36" s="1"/>
      <c r="AL36" s="1"/>
      <c r="AM36" s="1"/>
    </row>
    <row r="37" s="11" customFormat="1" spans="1:39">
      <c r="A37" s="11">
        <v>35</v>
      </c>
      <c r="C37" s="11">
        <v>35</v>
      </c>
      <c r="D37" s="11" t="s">
        <v>163</v>
      </c>
      <c r="F37" s="11" t="s">
        <v>51</v>
      </c>
      <c r="G37" s="18" t="s">
        <v>55</v>
      </c>
      <c r="H37" s="12">
        <f t="shared" si="0"/>
        <v>25000</v>
      </c>
      <c r="I37" s="1"/>
      <c r="J37" s="1"/>
      <c r="K37" s="1"/>
      <c r="L37" s="20">
        <v>5000</v>
      </c>
      <c r="M37" s="1"/>
      <c r="N37" s="1"/>
      <c r="O37" s="1"/>
      <c r="P37" s="1"/>
      <c r="Q37" s="20">
        <v>2000</v>
      </c>
      <c r="R37" s="1"/>
      <c r="S37" s="1"/>
      <c r="T37" s="1"/>
      <c r="U37" s="1"/>
      <c r="V37" s="20">
        <v>8000</v>
      </c>
      <c r="W37" s="1"/>
      <c r="X37" s="1"/>
      <c r="Y37" s="20">
        <v>4000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20">
        <v>2000</v>
      </c>
      <c r="AK37" s="1"/>
      <c r="AL37" s="20">
        <v>4000</v>
      </c>
      <c r="AM37" s="1"/>
    </row>
    <row r="38" s="11" customFormat="1" spans="1:39">
      <c r="A38" s="11">
        <v>36</v>
      </c>
      <c r="C38" s="11">
        <v>36</v>
      </c>
      <c r="F38" s="11" t="s">
        <v>51</v>
      </c>
      <c r="G38" s="18" t="s">
        <v>56</v>
      </c>
      <c r="H38" s="12">
        <f t="shared" si="0"/>
        <v>1000</v>
      </c>
      <c r="I38" s="1"/>
      <c r="J38" s="1"/>
      <c r="K38" s="1"/>
      <c r="L38" s="1">
        <v>1000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="11" customFormat="1" spans="1:39">
      <c r="A39" s="11">
        <v>37</v>
      </c>
      <c r="B39" s="11" t="s">
        <v>164</v>
      </c>
      <c r="C39" s="11">
        <v>37</v>
      </c>
      <c r="D39" s="11" t="s">
        <v>164</v>
      </c>
      <c r="F39" s="11" t="s">
        <v>51</v>
      </c>
      <c r="G39" s="18" t="s">
        <v>57</v>
      </c>
      <c r="H39" s="12">
        <f t="shared" si="0"/>
        <v>12000</v>
      </c>
      <c r="I39" s="1"/>
      <c r="J39" s="1"/>
      <c r="K39" s="1"/>
      <c r="L39" s="20">
        <v>2000</v>
      </c>
      <c r="M39" s="1"/>
      <c r="N39" s="20">
        <v>2000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20">
        <v>3000</v>
      </c>
      <c r="AB39" s="1"/>
      <c r="AC39" s="1"/>
      <c r="AD39" s="20">
        <v>1000</v>
      </c>
      <c r="AE39" s="1"/>
      <c r="AF39" s="1"/>
      <c r="AG39" s="1"/>
      <c r="AH39" s="1"/>
      <c r="AI39" s="1"/>
      <c r="AJ39" s="20">
        <v>4000</v>
      </c>
      <c r="AK39" s="1"/>
      <c r="AL39" s="1"/>
      <c r="AM39" s="1"/>
    </row>
    <row r="40" s="11" customFormat="1" spans="1:39">
      <c r="A40" s="11">
        <v>38</v>
      </c>
      <c r="B40" s="11" t="s">
        <v>165</v>
      </c>
      <c r="C40" s="11">
        <v>38</v>
      </c>
      <c r="D40" s="11" t="s">
        <v>165</v>
      </c>
      <c r="E40" s="11" t="s">
        <v>166</v>
      </c>
      <c r="F40" s="11" t="s">
        <v>51</v>
      </c>
      <c r="G40" s="18" t="s">
        <v>58</v>
      </c>
      <c r="H40" s="12">
        <f t="shared" si="0"/>
        <v>6000</v>
      </c>
      <c r="I40" s="1"/>
      <c r="J40" s="1"/>
      <c r="K40" s="20">
        <v>2000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20">
        <v>2000</v>
      </c>
      <c r="Z40" s="1"/>
      <c r="AA40" s="1"/>
      <c r="AB40" s="1"/>
      <c r="AC40" s="1"/>
      <c r="AD40" s="1"/>
      <c r="AE40" s="1"/>
      <c r="AF40" s="20">
        <v>2000</v>
      </c>
      <c r="AG40" s="1"/>
      <c r="AH40" s="1"/>
      <c r="AI40" s="1"/>
      <c r="AJ40" s="1"/>
      <c r="AK40" s="1"/>
      <c r="AL40" s="1"/>
      <c r="AM40" s="1"/>
    </row>
    <row r="41" s="11" customFormat="1" spans="1:39">
      <c r="A41" s="11">
        <v>39</v>
      </c>
      <c r="C41" s="11">
        <v>39</v>
      </c>
      <c r="D41" s="11" t="s">
        <v>167</v>
      </c>
      <c r="F41" s="11" t="s">
        <v>51</v>
      </c>
      <c r="G41" s="18" t="s">
        <v>59</v>
      </c>
      <c r="H41" s="12">
        <f t="shared" si="0"/>
        <v>6000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20">
        <v>6000</v>
      </c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s="11" customFormat="1" spans="1:39">
      <c r="A42" s="11">
        <v>40</v>
      </c>
      <c r="C42" s="11">
        <v>40</v>
      </c>
      <c r="D42" s="11" t="s">
        <v>168</v>
      </c>
      <c r="F42" s="11" t="s">
        <v>51</v>
      </c>
      <c r="G42" s="18" t="s">
        <v>60</v>
      </c>
      <c r="H42" s="12">
        <f t="shared" si="0"/>
        <v>4000</v>
      </c>
      <c r="I42" s="1"/>
      <c r="J42" s="1"/>
      <c r="K42" s="20">
        <v>2000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20">
        <v>2000</v>
      </c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s="11" customFormat="1" spans="1:39">
      <c r="A43" s="11">
        <v>41</v>
      </c>
      <c r="C43" s="11">
        <v>41</v>
      </c>
      <c r="D43" s="11" t="s">
        <v>169</v>
      </c>
      <c r="E43" s="11">
        <v>8210095108</v>
      </c>
      <c r="F43" s="11" t="s">
        <v>51</v>
      </c>
      <c r="G43" s="18" t="s">
        <v>61</v>
      </c>
      <c r="H43" s="12">
        <f t="shared" si="0"/>
        <v>35000</v>
      </c>
      <c r="I43" s="1"/>
      <c r="J43" s="1"/>
      <c r="K43" s="1"/>
      <c r="L43" s="1">
        <v>7000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20">
        <v>12000</v>
      </c>
      <c r="X43" s="1"/>
      <c r="Y43" s="1"/>
      <c r="Z43" s="1"/>
      <c r="AA43" s="1"/>
      <c r="AB43" s="20">
        <v>5000</v>
      </c>
      <c r="AC43" s="1">
        <v>2000</v>
      </c>
      <c r="AD43" s="1"/>
      <c r="AE43" s="1"/>
      <c r="AF43" s="1"/>
      <c r="AG43" s="1">
        <v>9000</v>
      </c>
      <c r="AH43" s="1"/>
      <c r="AI43" s="1"/>
      <c r="AJ43" s="1"/>
      <c r="AK43" s="1"/>
      <c r="AL43" s="1"/>
      <c r="AM43" s="1"/>
    </row>
    <row r="44" s="11" customFormat="1" spans="1:39">
      <c r="A44" s="11">
        <v>42</v>
      </c>
      <c r="C44" s="11">
        <v>42</v>
      </c>
      <c r="D44" s="11" t="s">
        <v>170</v>
      </c>
      <c r="F44" s="11" t="s">
        <v>51</v>
      </c>
      <c r="G44" s="18" t="s">
        <v>62</v>
      </c>
      <c r="H44" s="12">
        <f t="shared" si="0"/>
        <v>4000</v>
      </c>
      <c r="I44" s="1"/>
      <c r="J44" s="1"/>
      <c r="K44" s="1"/>
      <c r="L44" s="1"/>
      <c r="M44" s="1"/>
      <c r="N44" s="20">
        <v>2000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20">
        <v>2000</v>
      </c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s="11" customFormat="1" spans="1:39">
      <c r="A45" s="11">
        <v>43</v>
      </c>
      <c r="C45" s="11">
        <v>43</v>
      </c>
      <c r="D45" s="11" t="s">
        <v>171</v>
      </c>
      <c r="F45" s="11" t="s">
        <v>51</v>
      </c>
      <c r="G45" s="18" t="s">
        <v>63</v>
      </c>
      <c r="H45" s="12">
        <f t="shared" si="0"/>
        <v>21000</v>
      </c>
      <c r="I45" s="1"/>
      <c r="J45" s="1"/>
      <c r="K45" s="1"/>
      <c r="L45" s="1"/>
      <c r="M45" s="20">
        <v>2000</v>
      </c>
      <c r="N45" s="1"/>
      <c r="O45" s="1"/>
      <c r="P45" s="1"/>
      <c r="Q45" s="1"/>
      <c r="R45" s="1"/>
      <c r="S45" s="1"/>
      <c r="T45" s="1"/>
      <c r="U45" s="1"/>
      <c r="V45" s="20">
        <v>6000</v>
      </c>
      <c r="W45" s="1"/>
      <c r="X45" s="1"/>
      <c r="Y45" s="1"/>
      <c r="Z45" s="1"/>
      <c r="AA45" s="1">
        <v>4000</v>
      </c>
      <c r="AB45" s="1"/>
      <c r="AC45" s="1"/>
      <c r="AD45" s="1"/>
      <c r="AE45" s="20">
        <v>4000</v>
      </c>
      <c r="AF45" s="1"/>
      <c r="AG45" s="1"/>
      <c r="AH45" s="1"/>
      <c r="AI45" s="1"/>
      <c r="AJ45" s="1"/>
      <c r="AK45" s="20">
        <v>5000</v>
      </c>
      <c r="AL45" s="1"/>
      <c r="AM45" s="1"/>
    </row>
    <row r="46" s="11" customFormat="1" spans="1:39">
      <c r="A46" s="11">
        <v>44</v>
      </c>
      <c r="B46" s="11" t="s">
        <v>172</v>
      </c>
      <c r="C46" s="11">
        <v>44</v>
      </c>
      <c r="D46" s="11" t="s">
        <v>172</v>
      </c>
      <c r="F46" s="11" t="s">
        <v>64</v>
      </c>
      <c r="G46" s="18" t="s">
        <v>65</v>
      </c>
      <c r="H46" s="12">
        <f t="shared" si="0"/>
        <v>13000</v>
      </c>
      <c r="I46" s="1"/>
      <c r="J46" s="1"/>
      <c r="K46" s="1"/>
      <c r="L46" s="1"/>
      <c r="M46" s="20">
        <v>7000</v>
      </c>
      <c r="N46" s="1"/>
      <c r="O46" s="1"/>
      <c r="P46" s="1"/>
      <c r="Q46" s="1"/>
      <c r="R46" s="20">
        <v>2000</v>
      </c>
      <c r="S46" s="1"/>
      <c r="T46" s="1"/>
      <c r="U46" s="1"/>
      <c r="V46" s="1"/>
      <c r="W46" s="1"/>
      <c r="X46" s="1"/>
      <c r="Y46" s="1"/>
      <c r="Z46" s="20">
        <v>4000</v>
      </c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s="11" customFormat="1" spans="1:39">
      <c r="A47" s="11">
        <v>45</v>
      </c>
      <c r="C47" s="11">
        <v>45</v>
      </c>
      <c r="D47" s="11" t="s">
        <v>173</v>
      </c>
      <c r="F47" s="11" t="s">
        <v>64</v>
      </c>
      <c r="G47" s="18" t="s">
        <v>66</v>
      </c>
      <c r="H47" s="12">
        <f t="shared" si="0"/>
        <v>22000</v>
      </c>
      <c r="I47" s="20">
        <v>3000</v>
      </c>
      <c r="J47" s="1"/>
      <c r="K47" s="1"/>
      <c r="L47" s="1"/>
      <c r="M47" s="1"/>
      <c r="N47" s="1"/>
      <c r="O47" s="20">
        <v>5000</v>
      </c>
      <c r="P47" s="1"/>
      <c r="Q47" s="1"/>
      <c r="R47" s="1"/>
      <c r="S47" s="1"/>
      <c r="T47" s="1"/>
      <c r="U47" s="1"/>
      <c r="V47" s="20">
        <v>4000</v>
      </c>
      <c r="W47" s="1"/>
      <c r="X47" s="1"/>
      <c r="Y47" s="1"/>
      <c r="Z47" s="1"/>
      <c r="AA47" s="20">
        <v>2000</v>
      </c>
      <c r="AB47" s="1"/>
      <c r="AC47" s="20">
        <v>2000</v>
      </c>
      <c r="AD47" s="1"/>
      <c r="AE47" s="1"/>
      <c r="AF47" s="1"/>
      <c r="AG47" s="1"/>
      <c r="AH47" s="1"/>
      <c r="AI47" s="1"/>
      <c r="AJ47" s="1"/>
      <c r="AK47" s="1"/>
      <c r="AL47" s="20">
        <v>6000</v>
      </c>
      <c r="AM47" s="1"/>
    </row>
    <row r="48" s="11" customFormat="1" spans="1:39">
      <c r="A48" s="11">
        <v>46</v>
      </c>
      <c r="B48" s="11" t="s">
        <v>174</v>
      </c>
      <c r="C48" s="11">
        <v>46</v>
      </c>
      <c r="D48" s="11" t="s">
        <v>174</v>
      </c>
      <c r="E48" s="11">
        <v>7004729703</v>
      </c>
      <c r="F48" s="11" t="s">
        <v>64</v>
      </c>
      <c r="G48" s="18" t="s">
        <v>67</v>
      </c>
      <c r="H48" s="12">
        <f t="shared" si="0"/>
        <v>4000</v>
      </c>
      <c r="I48" s="1"/>
      <c r="J48" s="1"/>
      <c r="K48" s="1"/>
      <c r="L48" s="1">
        <v>2000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20">
        <v>2000</v>
      </c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="11" customFormat="1" spans="1:39">
      <c r="A49" s="11">
        <v>47</v>
      </c>
      <c r="B49" s="11" t="s">
        <v>175</v>
      </c>
      <c r="C49" s="11">
        <v>47</v>
      </c>
      <c r="D49" s="11" t="s">
        <v>175</v>
      </c>
      <c r="E49" s="11">
        <v>8863097933</v>
      </c>
      <c r="F49" s="11" t="s">
        <v>64</v>
      </c>
      <c r="G49" s="18" t="s">
        <v>68</v>
      </c>
      <c r="H49" s="12">
        <f t="shared" si="0"/>
        <v>38000</v>
      </c>
      <c r="I49" s="1"/>
      <c r="J49" s="1"/>
      <c r="K49" s="1"/>
      <c r="L49" s="1">
        <v>10000</v>
      </c>
      <c r="M49" s="1"/>
      <c r="N49" s="1"/>
      <c r="O49" s="1"/>
      <c r="P49" s="1"/>
      <c r="Q49" s="1"/>
      <c r="R49" s="20">
        <v>5000</v>
      </c>
      <c r="S49" s="1"/>
      <c r="T49" s="1"/>
      <c r="U49" s="1"/>
      <c r="V49" s="1"/>
      <c r="W49" s="1"/>
      <c r="X49" s="20">
        <v>10000</v>
      </c>
      <c r="Y49" s="1"/>
      <c r="Z49" s="1"/>
      <c r="AA49" s="1"/>
      <c r="AB49" s="1"/>
      <c r="AC49" s="1"/>
      <c r="AD49" s="1"/>
      <c r="AE49" s="20">
        <v>13000</v>
      </c>
      <c r="AF49" s="1"/>
      <c r="AG49" s="1"/>
      <c r="AH49" s="1"/>
      <c r="AI49" s="1"/>
      <c r="AJ49" s="1"/>
      <c r="AK49" s="1"/>
      <c r="AL49" s="1"/>
      <c r="AM49" s="1"/>
    </row>
    <row r="50" s="11" customFormat="1" spans="1:39">
      <c r="A50" s="11">
        <v>48</v>
      </c>
      <c r="B50" s="11" t="s">
        <v>176</v>
      </c>
      <c r="C50" s="11">
        <v>48</v>
      </c>
      <c r="D50" s="11" t="s">
        <v>176</v>
      </c>
      <c r="E50" s="11">
        <v>9835443096</v>
      </c>
      <c r="F50" s="11" t="s">
        <v>64</v>
      </c>
      <c r="G50" s="18" t="s">
        <v>69</v>
      </c>
      <c r="H50" s="12">
        <f t="shared" si="0"/>
        <v>0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="11" customFormat="1" spans="1:39">
      <c r="A51" s="11">
        <v>49</v>
      </c>
      <c r="B51" s="11" t="s">
        <v>177</v>
      </c>
      <c r="C51" s="11">
        <v>49</v>
      </c>
      <c r="D51" s="11" t="s">
        <v>178</v>
      </c>
      <c r="F51" s="11" t="s">
        <v>64</v>
      </c>
      <c r="G51" s="18" t="s">
        <v>70</v>
      </c>
      <c r="H51" s="12">
        <f t="shared" si="0"/>
        <v>2000</v>
      </c>
      <c r="I51" s="1"/>
      <c r="J51" s="1"/>
      <c r="K51" s="1"/>
      <c r="L51" s="1">
        <v>2000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="11" customFormat="1" spans="1:39">
      <c r="A52" s="11">
        <v>50</v>
      </c>
      <c r="C52" s="11">
        <v>50</v>
      </c>
      <c r="F52" s="11" t="s">
        <v>64</v>
      </c>
      <c r="G52" s="18" t="s">
        <v>71</v>
      </c>
      <c r="H52" s="12">
        <f t="shared" si="0"/>
        <v>0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="11" customFormat="1" spans="1:39">
      <c r="A53" s="11">
        <v>51</v>
      </c>
      <c r="B53" s="11" t="s">
        <v>179</v>
      </c>
      <c r="C53" s="11">
        <v>51</v>
      </c>
      <c r="D53" s="11" t="s">
        <v>179</v>
      </c>
      <c r="F53" s="11" t="s">
        <v>64</v>
      </c>
      <c r="G53" s="18" t="s">
        <v>72</v>
      </c>
      <c r="H53" s="12">
        <f t="shared" si="0"/>
        <v>14000</v>
      </c>
      <c r="I53" s="1"/>
      <c r="J53" s="1"/>
      <c r="K53" s="1"/>
      <c r="L53" s="20">
        <v>2000</v>
      </c>
      <c r="M53" s="1"/>
      <c r="N53" s="1"/>
      <c r="O53" s="20">
        <v>2000</v>
      </c>
      <c r="P53" s="1"/>
      <c r="Q53" s="1"/>
      <c r="R53" s="20">
        <v>2000</v>
      </c>
      <c r="S53" s="1"/>
      <c r="T53" s="1"/>
      <c r="U53" s="1"/>
      <c r="V53" s="1"/>
      <c r="W53" s="1"/>
      <c r="X53" s="1"/>
      <c r="Y53" s="1"/>
      <c r="Z53" s="1"/>
      <c r="AA53" s="20">
        <v>4000</v>
      </c>
      <c r="AB53" s="1"/>
      <c r="AC53" s="1"/>
      <c r="AD53" s="1"/>
      <c r="AE53" s="20">
        <v>4000</v>
      </c>
      <c r="AF53" s="1"/>
      <c r="AG53" s="1"/>
      <c r="AH53" s="1"/>
      <c r="AI53" s="1"/>
      <c r="AJ53" s="1"/>
      <c r="AK53" s="1"/>
      <c r="AL53" s="1"/>
      <c r="AM53" s="1"/>
    </row>
    <row r="54" s="11" customFormat="1" spans="1:39">
      <c r="A54" s="11">
        <v>52</v>
      </c>
      <c r="C54" s="11">
        <v>52</v>
      </c>
      <c r="F54" s="11" t="s">
        <v>64</v>
      </c>
      <c r="G54" s="18" t="s">
        <v>73</v>
      </c>
      <c r="H54" s="12">
        <f t="shared" si="0"/>
        <v>27000</v>
      </c>
      <c r="I54" s="1"/>
      <c r="J54" s="1"/>
      <c r="K54" s="1"/>
      <c r="L54" s="1"/>
      <c r="M54" s="20">
        <v>3000</v>
      </c>
      <c r="N54" s="1"/>
      <c r="O54" s="1"/>
      <c r="P54" s="1"/>
      <c r="Q54" s="1"/>
      <c r="R54" s="20">
        <v>8000</v>
      </c>
      <c r="S54" s="1"/>
      <c r="T54" s="1"/>
      <c r="U54" s="1"/>
      <c r="V54" s="1"/>
      <c r="W54" s="1"/>
      <c r="X54" s="1"/>
      <c r="Y54" s="1"/>
      <c r="Z54" s="20">
        <v>6000</v>
      </c>
      <c r="AA54" s="1"/>
      <c r="AB54" s="1"/>
      <c r="AC54" s="1"/>
      <c r="AD54" s="1"/>
      <c r="AE54" s="1"/>
      <c r="AF54" s="1"/>
      <c r="AG54" s="20">
        <v>10000</v>
      </c>
      <c r="AH54" s="1"/>
      <c r="AI54" s="1"/>
      <c r="AJ54" s="1"/>
      <c r="AK54" s="1"/>
      <c r="AL54" s="1"/>
      <c r="AM54" s="1"/>
    </row>
    <row r="55" s="11" customFormat="1" spans="1:39">
      <c r="A55" s="11">
        <v>53</v>
      </c>
      <c r="B55" s="11" t="s">
        <v>180</v>
      </c>
      <c r="C55" s="11">
        <v>53</v>
      </c>
      <c r="D55" s="11" t="s">
        <v>180</v>
      </c>
      <c r="F55" s="11" t="s">
        <v>64</v>
      </c>
      <c r="G55" s="18" t="s">
        <v>74</v>
      </c>
      <c r="H55" s="12">
        <f t="shared" si="0"/>
        <v>6000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20">
        <v>2000</v>
      </c>
      <c r="T55" s="1"/>
      <c r="U55" s="1"/>
      <c r="V55" s="1"/>
      <c r="W55" s="1"/>
      <c r="X55" s="1"/>
      <c r="Y55" s="1"/>
      <c r="Z55" s="1"/>
      <c r="AA55" s="1"/>
      <c r="AB55" s="1"/>
      <c r="AC55" s="20">
        <v>2000</v>
      </c>
      <c r="AD55" s="1"/>
      <c r="AE55" s="1"/>
      <c r="AF55" s="1"/>
      <c r="AG55" s="1"/>
      <c r="AH55" s="1"/>
      <c r="AI55" s="1"/>
      <c r="AJ55" s="20">
        <v>2000</v>
      </c>
      <c r="AK55" s="1"/>
      <c r="AL55" s="1"/>
      <c r="AM55" s="1"/>
    </row>
    <row r="56" s="11" customFormat="1" spans="1:39">
      <c r="A56" s="11">
        <v>54</v>
      </c>
      <c r="B56" s="11" t="s">
        <v>181</v>
      </c>
      <c r="C56" s="11">
        <v>54</v>
      </c>
      <c r="D56" s="11" t="s">
        <v>181</v>
      </c>
      <c r="F56" s="11" t="s">
        <v>64</v>
      </c>
      <c r="G56" s="18" t="s">
        <v>75</v>
      </c>
      <c r="H56" s="12">
        <f t="shared" si="0"/>
        <v>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="11" customFormat="1" spans="1:39">
      <c r="A57" s="11">
        <v>55</v>
      </c>
      <c r="C57" s="11">
        <v>55</v>
      </c>
      <c r="E57" s="11">
        <v>6202424016</v>
      </c>
      <c r="F57" s="11" t="s">
        <v>64</v>
      </c>
      <c r="G57" s="18" t="s">
        <v>76</v>
      </c>
      <c r="H57" s="12">
        <f t="shared" si="0"/>
        <v>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="11" customFormat="1" spans="1:39">
      <c r="A58" s="11">
        <v>56</v>
      </c>
      <c r="C58" s="11">
        <v>56</v>
      </c>
      <c r="D58" s="11" t="s">
        <v>182</v>
      </c>
      <c r="E58" s="11">
        <v>7004211364</v>
      </c>
      <c r="F58" s="11" t="s">
        <v>77</v>
      </c>
      <c r="G58" s="18" t="s">
        <v>78</v>
      </c>
      <c r="H58" s="12">
        <f t="shared" si="0"/>
        <v>12000</v>
      </c>
      <c r="I58" s="1"/>
      <c r="J58" s="1"/>
      <c r="K58" s="1"/>
      <c r="L58" s="1"/>
      <c r="N58" s="20">
        <v>4000</v>
      </c>
      <c r="O58" s="1"/>
      <c r="P58" s="1"/>
      <c r="Q58" s="1"/>
      <c r="R58" s="1"/>
      <c r="S58" s="1"/>
      <c r="T58" s="1"/>
      <c r="U58" s="1"/>
      <c r="V58" s="1"/>
      <c r="W58" s="20">
        <v>2000</v>
      </c>
      <c r="X58" s="20">
        <v>2000</v>
      </c>
      <c r="Y58" s="20">
        <v>2000</v>
      </c>
      <c r="Z58" s="1"/>
      <c r="AA58" s="1"/>
      <c r="AB58" s="1"/>
      <c r="AC58" s="1"/>
      <c r="AD58" s="1"/>
      <c r="AE58" s="1"/>
      <c r="AF58" s="1"/>
      <c r="AG58" s="20">
        <v>2000</v>
      </c>
      <c r="AH58" s="1"/>
      <c r="AI58" s="1"/>
      <c r="AJ58" s="1"/>
      <c r="AK58" s="1"/>
      <c r="AL58" s="1"/>
      <c r="AM58" s="1"/>
    </row>
    <row r="59" s="11" customFormat="1" spans="1:39">
      <c r="A59" s="11">
        <v>57</v>
      </c>
      <c r="B59" s="11" t="s">
        <v>183</v>
      </c>
      <c r="C59" s="11">
        <v>57</v>
      </c>
      <c r="D59" s="11" t="s">
        <v>184</v>
      </c>
      <c r="F59" s="11" t="s">
        <v>77</v>
      </c>
      <c r="G59" s="18" t="s">
        <v>79</v>
      </c>
      <c r="H59" s="12">
        <f t="shared" si="0"/>
        <v>44000</v>
      </c>
      <c r="I59" s="1"/>
      <c r="J59" s="20">
        <v>10000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20">
        <v>19000</v>
      </c>
      <c r="Z59" s="1"/>
      <c r="AA59" s="1"/>
      <c r="AB59" s="1"/>
      <c r="AC59" s="1"/>
      <c r="AD59" s="1"/>
      <c r="AE59" s="1"/>
      <c r="AF59" s="1"/>
      <c r="AG59" s="1">
        <v>15000</v>
      </c>
      <c r="AH59" s="1"/>
      <c r="AI59" s="1"/>
      <c r="AJ59" s="1"/>
      <c r="AK59" s="1"/>
      <c r="AL59" s="1"/>
      <c r="AM59" s="1"/>
    </row>
    <row r="60" s="11" customFormat="1" spans="1:39">
      <c r="A60" s="11">
        <v>58</v>
      </c>
      <c r="C60" s="11">
        <v>58</v>
      </c>
      <c r="D60" s="11" t="s">
        <v>185</v>
      </c>
      <c r="F60" s="11" t="s">
        <v>77</v>
      </c>
      <c r="G60" s="18" t="s">
        <v>80</v>
      </c>
      <c r="H60" s="12">
        <f t="shared" si="0"/>
        <v>16000</v>
      </c>
      <c r="I60" s="20">
        <v>5000</v>
      </c>
      <c r="J60" s="1"/>
      <c r="K60" s="1"/>
      <c r="L60" s="1"/>
      <c r="M60" s="20">
        <v>2000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20">
        <v>2000</v>
      </c>
      <c r="Y60" s="1">
        <v>2000</v>
      </c>
      <c r="Z60" s="1"/>
      <c r="AA60" s="1"/>
      <c r="AB60" s="20">
        <v>5000</v>
      </c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="11" customFormat="1" spans="1:39">
      <c r="A61" s="11">
        <v>59</v>
      </c>
      <c r="C61" s="11">
        <v>59</v>
      </c>
      <c r="D61" s="11" t="s">
        <v>186</v>
      </c>
      <c r="E61" s="11">
        <v>9798805204</v>
      </c>
      <c r="F61" s="11" t="s">
        <v>77</v>
      </c>
      <c r="G61" s="18" t="s">
        <v>81</v>
      </c>
      <c r="H61" s="12">
        <f t="shared" si="0"/>
        <v>7000</v>
      </c>
      <c r="I61" s="1"/>
      <c r="J61" s="20">
        <v>1000</v>
      </c>
      <c r="K61" s="1"/>
      <c r="L61" s="1"/>
      <c r="M61" s="20">
        <v>2000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>
        <v>4000</v>
      </c>
      <c r="AH61" s="1"/>
      <c r="AI61" s="1"/>
      <c r="AJ61" s="1"/>
      <c r="AK61" s="1"/>
      <c r="AL61" s="1"/>
      <c r="AM61" s="1"/>
    </row>
    <row r="62" s="11" customFormat="1" spans="1:39">
      <c r="A62" s="11">
        <v>60</v>
      </c>
      <c r="B62" s="11" t="s">
        <v>187</v>
      </c>
      <c r="C62" s="11">
        <v>60</v>
      </c>
      <c r="D62" s="11" t="s">
        <v>187</v>
      </c>
      <c r="E62" s="11">
        <v>9504958065</v>
      </c>
      <c r="F62" s="11" t="s">
        <v>82</v>
      </c>
      <c r="G62" s="18" t="s">
        <v>83</v>
      </c>
      <c r="H62" s="12">
        <f t="shared" si="0"/>
        <v>37000</v>
      </c>
      <c r="I62" s="1"/>
      <c r="J62" s="1"/>
      <c r="K62" s="1"/>
      <c r="L62" s="1"/>
      <c r="M62" s="1"/>
      <c r="N62" s="1"/>
      <c r="O62" s="20">
        <v>5000</v>
      </c>
      <c r="P62" s="1"/>
      <c r="Q62" s="1"/>
      <c r="R62" s="1"/>
      <c r="S62" s="1"/>
      <c r="T62" s="1"/>
      <c r="U62" s="1"/>
      <c r="V62" s="1"/>
      <c r="W62" s="20">
        <v>10000</v>
      </c>
      <c r="X62" s="1"/>
      <c r="Y62" s="1"/>
      <c r="Z62" s="1"/>
      <c r="AA62" s="1"/>
      <c r="AB62" s="1"/>
      <c r="AC62" s="20">
        <v>9000</v>
      </c>
      <c r="AD62" s="1"/>
      <c r="AE62" s="1"/>
      <c r="AF62" s="1"/>
      <c r="AG62" s="20">
        <v>5000</v>
      </c>
      <c r="AH62" s="1"/>
      <c r="AI62" s="1"/>
      <c r="AJ62" s="1"/>
      <c r="AK62" s="20">
        <v>8000</v>
      </c>
      <c r="AL62" s="1"/>
      <c r="AM62" s="1"/>
    </row>
    <row r="63" s="11" customFormat="1" spans="1:39">
      <c r="A63" s="11">
        <v>61</v>
      </c>
      <c r="C63" s="11">
        <v>61</v>
      </c>
      <c r="E63" s="11">
        <v>9852299192</v>
      </c>
      <c r="F63" s="11" t="s">
        <v>82</v>
      </c>
      <c r="G63" s="18" t="s">
        <v>84</v>
      </c>
      <c r="H63" s="12">
        <f t="shared" si="0"/>
        <v>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="11" customFormat="1" spans="1:39">
      <c r="A64" s="11">
        <v>62</v>
      </c>
      <c r="B64" s="11" t="s">
        <v>188</v>
      </c>
      <c r="C64" s="11">
        <v>62</v>
      </c>
      <c r="D64" s="11" t="s">
        <v>189</v>
      </c>
      <c r="E64" s="11" t="s">
        <v>190</v>
      </c>
      <c r="F64" s="11" t="s">
        <v>82</v>
      </c>
      <c r="G64" s="18" t="s">
        <v>87</v>
      </c>
      <c r="H64" s="12">
        <f t="shared" si="0"/>
        <v>17000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20">
        <v>2000</v>
      </c>
      <c r="U64" s="1"/>
      <c r="V64" s="20">
        <v>5000</v>
      </c>
      <c r="W64" s="1"/>
      <c r="X64" s="1"/>
      <c r="Y64" s="1"/>
      <c r="Z64" s="1"/>
      <c r="AA64" s="1"/>
      <c r="AB64" s="1"/>
      <c r="AC64" s="1"/>
      <c r="AD64" s="1"/>
      <c r="AE64" s="1"/>
      <c r="AF64" s="20">
        <v>5000</v>
      </c>
      <c r="AG64" s="1"/>
      <c r="AH64" s="1"/>
      <c r="AI64" s="1"/>
      <c r="AJ64" s="1"/>
      <c r="AK64" s="1"/>
      <c r="AL64" s="1"/>
      <c r="AM64" s="20">
        <v>5000</v>
      </c>
    </row>
    <row r="65" s="11" customFormat="1" spans="1:39">
      <c r="A65" s="11">
        <v>63</v>
      </c>
      <c r="B65" s="11" t="s">
        <v>191</v>
      </c>
      <c r="C65" s="11">
        <v>63</v>
      </c>
      <c r="D65" s="11" t="s">
        <v>192</v>
      </c>
      <c r="E65" s="11">
        <v>7004399486</v>
      </c>
      <c r="F65" s="11" t="s">
        <v>88</v>
      </c>
      <c r="G65" s="11" t="s">
        <v>89</v>
      </c>
      <c r="H65" s="12">
        <f t="shared" si="0"/>
        <v>12000</v>
      </c>
      <c r="I65" s="20">
        <v>2000</v>
      </c>
      <c r="J65" s="1"/>
      <c r="K65" s="1"/>
      <c r="L65" s="20">
        <v>2000</v>
      </c>
      <c r="M65" s="1"/>
      <c r="N65" s="1"/>
      <c r="O65" s="1"/>
      <c r="P65" s="1"/>
      <c r="Q65" s="20">
        <v>2000</v>
      </c>
      <c r="R65" s="1"/>
      <c r="S65" s="1"/>
      <c r="T65" s="1"/>
      <c r="U65" s="1"/>
      <c r="V65" s="1"/>
      <c r="W65" s="1"/>
      <c r="X65" s="1"/>
      <c r="Y65" s="1"/>
      <c r="Z65" s="20">
        <v>2000</v>
      </c>
      <c r="AA65" s="1"/>
      <c r="AB65" s="1"/>
      <c r="AC65" s="1"/>
      <c r="AD65" s="1"/>
      <c r="AE65" s="20">
        <v>2000</v>
      </c>
      <c r="AF65" s="1"/>
      <c r="AG65" s="1"/>
      <c r="AH65" s="1"/>
      <c r="AI65" s="1"/>
      <c r="AJ65" s="1"/>
      <c r="AK65" s="1"/>
      <c r="AL65" s="20">
        <v>2000</v>
      </c>
      <c r="AM65" s="1"/>
    </row>
    <row r="66" s="11" customFormat="1" spans="1:39">
      <c r="A66" s="11">
        <v>64</v>
      </c>
      <c r="B66" s="11" t="s">
        <v>193</v>
      </c>
      <c r="C66" s="11">
        <v>64</v>
      </c>
      <c r="D66" s="11" t="s">
        <v>194</v>
      </c>
      <c r="F66" s="11" t="s">
        <v>88</v>
      </c>
      <c r="G66" s="18" t="s">
        <v>90</v>
      </c>
      <c r="H66" s="12">
        <f t="shared" ref="H66:H96" si="2">SUM(I66:AM66)</f>
        <v>3000</v>
      </c>
      <c r="I66" s="1"/>
      <c r="J66" s="1"/>
      <c r="K66" s="20">
        <v>2000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20">
        <v>1000</v>
      </c>
      <c r="AL66" s="1"/>
      <c r="AM66" s="1"/>
    </row>
    <row r="67" s="11" customFormat="1" spans="1:39">
      <c r="A67" s="11">
        <v>65</v>
      </c>
      <c r="C67" s="11">
        <v>65</v>
      </c>
      <c r="D67" s="11" t="s">
        <v>195</v>
      </c>
      <c r="F67" s="11" t="s">
        <v>91</v>
      </c>
      <c r="G67" s="18" t="s">
        <v>92</v>
      </c>
      <c r="H67" s="12">
        <f t="shared" si="2"/>
        <v>5000</v>
      </c>
      <c r="I67" s="1"/>
      <c r="J67" s="1"/>
      <c r="K67" s="20">
        <v>2000</v>
      </c>
      <c r="L67" s="1"/>
      <c r="M67" s="1"/>
      <c r="N67" s="1"/>
      <c r="O67" s="1"/>
      <c r="P67" s="1"/>
      <c r="Q67" s="1"/>
      <c r="R67" s="20">
        <v>2000</v>
      </c>
      <c r="S67" s="20">
        <v>1000</v>
      </c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="11" customFormat="1" spans="1:39">
      <c r="A68" s="11">
        <v>66</v>
      </c>
      <c r="C68" s="11">
        <v>66</v>
      </c>
      <c r="F68" s="11" t="s">
        <v>93</v>
      </c>
      <c r="G68" s="18" t="s">
        <v>94</v>
      </c>
      <c r="H68" s="12">
        <f t="shared" si="2"/>
        <v>10000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>
        <v>10000</v>
      </c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="11" customFormat="1" spans="1:39">
      <c r="A69" s="11">
        <v>67</v>
      </c>
      <c r="C69" s="11">
        <v>67</v>
      </c>
      <c r="F69" s="11" t="s">
        <v>93</v>
      </c>
      <c r="G69" s="18" t="s">
        <v>95</v>
      </c>
      <c r="H69" s="12">
        <f t="shared" si="2"/>
        <v>6000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>
        <v>2000</v>
      </c>
      <c r="W69" s="1"/>
      <c r="X69" s="1"/>
      <c r="Y69" s="1"/>
      <c r="Z69" s="1"/>
      <c r="AA69" s="1"/>
      <c r="AB69" s="1">
        <v>2000</v>
      </c>
      <c r="AC69" s="1"/>
      <c r="AD69" s="1"/>
      <c r="AE69" s="1"/>
      <c r="AF69" s="1"/>
      <c r="AG69" s="1"/>
      <c r="AH69" s="1"/>
      <c r="AI69" s="1"/>
      <c r="AJ69" s="1"/>
      <c r="AK69" s="1"/>
      <c r="AL69" s="20">
        <v>2000</v>
      </c>
      <c r="AM69" s="1"/>
    </row>
    <row r="70" s="11" customFormat="1" spans="1:39">
      <c r="A70" s="11">
        <v>68</v>
      </c>
      <c r="C70" s="11">
        <v>68</v>
      </c>
      <c r="E70" s="11">
        <v>7903311240</v>
      </c>
      <c r="F70" s="11" t="s">
        <v>93</v>
      </c>
      <c r="G70" s="18" t="s">
        <v>96</v>
      </c>
      <c r="H70" s="12">
        <f t="shared" si="2"/>
        <v>2000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>
        <v>2000</v>
      </c>
    </row>
    <row r="71" s="11" customFormat="1" spans="1:39">
      <c r="A71" s="11">
        <v>69</v>
      </c>
      <c r="C71" s="11">
        <v>69</v>
      </c>
      <c r="F71" s="11" t="s">
        <v>93</v>
      </c>
      <c r="G71" s="18" t="s">
        <v>97</v>
      </c>
      <c r="H71" s="12">
        <f t="shared" si="2"/>
        <v>5000</v>
      </c>
      <c r="I71" s="1">
        <v>1000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>
        <v>2000</v>
      </c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>
        <v>2000</v>
      </c>
    </row>
    <row r="72" s="11" customFormat="1" spans="1:39">
      <c r="A72" s="11">
        <v>70</v>
      </c>
      <c r="C72" s="11">
        <v>70</v>
      </c>
      <c r="D72" s="11" t="s">
        <v>196</v>
      </c>
      <c r="F72" s="11" t="s">
        <v>93</v>
      </c>
      <c r="G72" s="18" t="s">
        <v>98</v>
      </c>
      <c r="H72" s="12">
        <f t="shared" si="2"/>
        <v>71000</v>
      </c>
      <c r="I72" s="1">
        <v>10000</v>
      </c>
      <c r="J72" s="1"/>
      <c r="K72" s="1"/>
      <c r="L72" s="1"/>
      <c r="M72" s="20">
        <v>10000</v>
      </c>
      <c r="N72" s="1"/>
      <c r="O72" s="20">
        <v>4000</v>
      </c>
      <c r="P72" s="1"/>
      <c r="Q72" s="20">
        <v>7000</v>
      </c>
      <c r="R72" s="1"/>
      <c r="S72" s="1"/>
      <c r="T72" s="1"/>
      <c r="U72" s="1"/>
      <c r="V72" s="20">
        <v>10000</v>
      </c>
      <c r="W72" s="20">
        <v>5000</v>
      </c>
      <c r="X72" s="1"/>
      <c r="Y72" s="1"/>
      <c r="Z72" s="1"/>
      <c r="AA72" s="1"/>
      <c r="AB72" s="1"/>
      <c r="AC72" s="20">
        <v>10000</v>
      </c>
      <c r="AD72" s="1"/>
      <c r="AE72" s="1"/>
      <c r="AF72" s="1"/>
      <c r="AG72" s="1"/>
      <c r="AH72" s="1"/>
      <c r="AI72" s="1">
        <v>5000</v>
      </c>
      <c r="AJ72" s="1"/>
      <c r="AK72" s="1"/>
      <c r="AL72" s="1"/>
      <c r="AM72" s="20">
        <v>10000</v>
      </c>
    </row>
    <row r="73" s="11" customFormat="1" spans="1:39">
      <c r="A73" s="11">
        <v>71</v>
      </c>
      <c r="C73" s="11">
        <v>71</v>
      </c>
      <c r="D73" s="11" t="s">
        <v>197</v>
      </c>
      <c r="F73" s="11" t="s">
        <v>93</v>
      </c>
      <c r="G73" s="18" t="s">
        <v>99</v>
      </c>
      <c r="H73" s="12">
        <f t="shared" si="2"/>
        <v>27000</v>
      </c>
      <c r="I73" s="1"/>
      <c r="J73" s="20">
        <v>3000</v>
      </c>
      <c r="K73" s="1"/>
      <c r="L73" s="1"/>
      <c r="M73" s="20">
        <v>2000</v>
      </c>
      <c r="N73" s="1"/>
      <c r="O73" s="1"/>
      <c r="P73" s="1"/>
      <c r="Q73" s="20">
        <v>2000</v>
      </c>
      <c r="R73" s="1"/>
      <c r="S73" s="1"/>
      <c r="T73" s="1"/>
      <c r="U73" s="1"/>
      <c r="V73" s="1">
        <v>8000</v>
      </c>
      <c r="W73" s="1"/>
      <c r="X73" s="1"/>
      <c r="Y73" s="1"/>
      <c r="Z73" s="1"/>
      <c r="AA73" s="1"/>
      <c r="AB73" s="1">
        <v>6000</v>
      </c>
      <c r="AC73" s="1"/>
      <c r="AD73" s="1"/>
      <c r="AE73" s="1"/>
      <c r="AF73" s="1"/>
      <c r="AG73" s="1"/>
      <c r="AH73" s="1"/>
      <c r="AI73" s="1"/>
      <c r="AJ73" s="1"/>
      <c r="AK73" s="1"/>
      <c r="AL73" s="20">
        <v>6000</v>
      </c>
      <c r="AM73" s="1"/>
    </row>
    <row r="74" s="11" customFormat="1" spans="1:39">
      <c r="A74" s="11">
        <v>72</v>
      </c>
      <c r="B74" s="11" t="s">
        <v>198</v>
      </c>
      <c r="C74" s="11">
        <v>72</v>
      </c>
      <c r="D74" s="11" t="s">
        <v>199</v>
      </c>
      <c r="E74" s="11">
        <v>8825370430</v>
      </c>
      <c r="F74" s="11" t="s">
        <v>93</v>
      </c>
      <c r="G74" s="18" t="s">
        <v>100</v>
      </c>
      <c r="H74" s="12">
        <f t="shared" si="2"/>
        <v>8000</v>
      </c>
      <c r="I74" s="1"/>
      <c r="J74" s="1"/>
      <c r="K74" s="20">
        <v>2000</v>
      </c>
      <c r="L74" s="1"/>
      <c r="M74" s="1"/>
      <c r="N74" s="1"/>
      <c r="O74" s="1"/>
      <c r="P74" s="1"/>
      <c r="Q74" s="20">
        <v>2000</v>
      </c>
      <c r="R74" s="1"/>
      <c r="S74" s="1"/>
      <c r="T74" s="1"/>
      <c r="U74" s="1"/>
      <c r="V74" s="1"/>
      <c r="W74" s="20">
        <v>2000</v>
      </c>
      <c r="X74" s="1"/>
      <c r="Y74" s="1"/>
      <c r="Z74" s="20">
        <v>2000</v>
      </c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="11" customFormat="1" spans="1:39">
      <c r="A75" s="11">
        <v>73</v>
      </c>
      <c r="C75" s="11">
        <v>73</v>
      </c>
      <c r="E75" s="11">
        <v>9631378928</v>
      </c>
      <c r="F75" s="11" t="s">
        <v>93</v>
      </c>
      <c r="G75" s="18" t="s">
        <v>101</v>
      </c>
      <c r="H75" s="12">
        <f t="shared" si="2"/>
        <v>0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="11" customFormat="1" spans="1:39">
      <c r="A76" s="11">
        <v>74</v>
      </c>
      <c r="C76" s="11">
        <v>74</v>
      </c>
      <c r="F76" s="11" t="s">
        <v>93</v>
      </c>
      <c r="G76" s="18" t="s">
        <v>102</v>
      </c>
      <c r="H76" s="12">
        <f t="shared" si="2"/>
        <v>0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="11" customFormat="1" spans="1:39">
      <c r="A77" s="11">
        <v>75</v>
      </c>
      <c r="B77" s="11" t="s">
        <v>200</v>
      </c>
      <c r="C77" s="11">
        <v>75</v>
      </c>
      <c r="D77" s="11" t="s">
        <v>200</v>
      </c>
      <c r="E77" s="11">
        <v>6200769032</v>
      </c>
      <c r="F77" s="11" t="s">
        <v>103</v>
      </c>
      <c r="G77" s="18" t="s">
        <v>104</v>
      </c>
      <c r="H77" s="12">
        <f t="shared" si="2"/>
        <v>6000</v>
      </c>
      <c r="I77" s="1"/>
      <c r="J77" s="1"/>
      <c r="K77" s="20">
        <v>2000</v>
      </c>
      <c r="L77" s="1"/>
      <c r="N77" s="20">
        <v>2000</v>
      </c>
      <c r="O77" s="1"/>
      <c r="P77" s="1"/>
      <c r="Q77" s="20">
        <v>2000</v>
      </c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="11" customFormat="1" spans="1:39">
      <c r="A78" s="11">
        <v>76</v>
      </c>
      <c r="B78" s="11" t="s">
        <v>201</v>
      </c>
      <c r="C78" s="11">
        <v>76</v>
      </c>
      <c r="D78" s="11" t="s">
        <v>202</v>
      </c>
      <c r="F78" s="11" t="s">
        <v>103</v>
      </c>
      <c r="G78" s="18" t="s">
        <v>105</v>
      </c>
      <c r="H78" s="12">
        <f t="shared" si="2"/>
        <v>38000</v>
      </c>
      <c r="I78" s="1"/>
      <c r="J78" s="1"/>
      <c r="K78" s="20">
        <v>6000</v>
      </c>
      <c r="L78" s="1"/>
      <c r="N78" s="20">
        <v>3000</v>
      </c>
      <c r="O78" s="1"/>
      <c r="P78" s="1"/>
      <c r="Q78" s="1"/>
      <c r="R78" s="1"/>
      <c r="S78" s="1"/>
      <c r="T78" s="1"/>
      <c r="U78" s="20">
        <v>8000</v>
      </c>
      <c r="V78" s="1"/>
      <c r="W78" s="1"/>
      <c r="X78" s="1"/>
      <c r="Y78" s="20">
        <v>4000</v>
      </c>
      <c r="Z78" s="20">
        <v>2000</v>
      </c>
      <c r="AA78" s="1"/>
      <c r="AB78" s="1"/>
      <c r="AC78" s="1"/>
      <c r="AD78" s="1"/>
      <c r="AE78" s="1"/>
      <c r="AF78" s="1"/>
      <c r="AG78" s="20">
        <v>8000</v>
      </c>
      <c r="AH78" s="1"/>
      <c r="AI78" s="1"/>
      <c r="AJ78" s="1"/>
      <c r="AK78" s="1"/>
      <c r="AL78" s="1"/>
      <c r="AM78" s="20">
        <v>7000</v>
      </c>
    </row>
    <row r="79" s="11" customFormat="1" spans="1:39">
      <c r="A79" s="11">
        <v>77</v>
      </c>
      <c r="B79" s="11" t="s">
        <v>203</v>
      </c>
      <c r="C79" s="11">
        <v>77</v>
      </c>
      <c r="D79" s="11" t="s">
        <v>204</v>
      </c>
      <c r="F79" s="11" t="s">
        <v>103</v>
      </c>
      <c r="G79" s="18" t="s">
        <v>106</v>
      </c>
      <c r="H79" s="12">
        <f t="shared" si="2"/>
        <v>9000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>
        <v>4000</v>
      </c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>
        <v>5000</v>
      </c>
      <c r="AH79" s="1"/>
      <c r="AI79" s="1"/>
      <c r="AJ79" s="1"/>
      <c r="AK79" s="1"/>
      <c r="AL79" s="1"/>
      <c r="AM79" s="1"/>
    </row>
    <row r="80" s="11" customFormat="1" spans="1:39">
      <c r="A80" s="11">
        <v>78</v>
      </c>
      <c r="C80" s="11">
        <v>78</v>
      </c>
      <c r="G80" s="18" t="s">
        <v>107</v>
      </c>
      <c r="H80" s="12">
        <f t="shared" si="2"/>
        <v>0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="11" customFormat="1" spans="1:39">
      <c r="A81" s="11">
        <v>79</v>
      </c>
      <c r="B81" s="11" t="s">
        <v>205</v>
      </c>
      <c r="C81" s="11">
        <v>79</v>
      </c>
      <c r="D81" s="11" t="s">
        <v>205</v>
      </c>
      <c r="E81" s="11" t="s">
        <v>206</v>
      </c>
      <c r="F81" s="11" t="s">
        <v>108</v>
      </c>
      <c r="G81" s="18" t="s">
        <v>109</v>
      </c>
      <c r="H81" s="12">
        <f t="shared" si="2"/>
        <v>10000</v>
      </c>
      <c r="I81" s="1"/>
      <c r="J81" s="1"/>
      <c r="K81" s="20">
        <v>2000</v>
      </c>
      <c r="L81" s="1"/>
      <c r="M81" s="1"/>
      <c r="N81" s="1"/>
      <c r="O81" s="1"/>
      <c r="P81" s="20">
        <v>2000</v>
      </c>
      <c r="Q81" s="1"/>
      <c r="R81" s="1"/>
      <c r="S81" s="20">
        <v>2000</v>
      </c>
      <c r="T81" s="1"/>
      <c r="U81" s="1"/>
      <c r="V81" s="20">
        <v>2000</v>
      </c>
      <c r="W81" s="1"/>
      <c r="X81" s="1"/>
      <c r="Y81" s="1"/>
      <c r="Z81" s="1"/>
      <c r="AA81" s="1"/>
      <c r="AB81" s="20">
        <v>2000</v>
      </c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="11" customFormat="1" spans="1:39">
      <c r="A82" s="11">
        <v>80</v>
      </c>
      <c r="C82" s="11">
        <v>80</v>
      </c>
      <c r="G82" s="18" t="s">
        <v>110</v>
      </c>
      <c r="H82" s="12">
        <f t="shared" si="2"/>
        <v>0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="11" customFormat="1" spans="1:39">
      <c r="A83" s="11">
        <v>81</v>
      </c>
      <c r="C83" s="11">
        <v>81</v>
      </c>
      <c r="F83" s="11" t="s">
        <v>111</v>
      </c>
      <c r="G83" s="18" t="s">
        <v>112</v>
      </c>
      <c r="H83" s="12">
        <f t="shared" si="2"/>
        <v>3000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20">
        <v>3000</v>
      </c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="11" customFormat="1" spans="1:39">
      <c r="A84" s="11">
        <v>82</v>
      </c>
      <c r="C84" s="11">
        <v>82</v>
      </c>
      <c r="G84" s="18" t="s">
        <v>113</v>
      </c>
      <c r="H84" s="12">
        <f t="shared" si="2"/>
        <v>0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="11" customFormat="1" spans="1:39">
      <c r="A85" s="11">
        <v>83</v>
      </c>
      <c r="B85" s="11" t="s">
        <v>207</v>
      </c>
      <c r="C85" s="11">
        <v>83</v>
      </c>
      <c r="D85" s="11" t="s">
        <v>207</v>
      </c>
      <c r="F85" s="11" t="s">
        <v>114</v>
      </c>
      <c r="G85" s="18" t="s">
        <v>115</v>
      </c>
      <c r="H85" s="12">
        <f t="shared" si="2"/>
        <v>32000</v>
      </c>
      <c r="I85" s="1"/>
      <c r="J85" s="1"/>
      <c r="K85" s="1"/>
      <c r="L85" s="20">
        <v>10000</v>
      </c>
      <c r="M85" s="1"/>
      <c r="N85" s="1"/>
      <c r="O85" s="1"/>
      <c r="P85" s="1"/>
      <c r="Q85" s="1"/>
      <c r="R85" s="1"/>
      <c r="S85" s="1"/>
      <c r="T85" s="20">
        <v>6000</v>
      </c>
      <c r="U85" s="1"/>
      <c r="V85" s="1"/>
      <c r="W85" s="1"/>
      <c r="X85" s="1"/>
      <c r="Y85" s="20">
        <v>6000</v>
      </c>
      <c r="Z85" s="1"/>
      <c r="AA85" s="1"/>
      <c r="AB85" s="1"/>
      <c r="AC85" s="1"/>
      <c r="AD85" s="1"/>
      <c r="AE85" s="1"/>
      <c r="AF85" s="20">
        <v>10000</v>
      </c>
      <c r="AG85" s="1"/>
      <c r="AH85" s="1"/>
      <c r="AI85" s="1"/>
      <c r="AJ85" s="1"/>
      <c r="AK85" s="1"/>
      <c r="AL85" s="1"/>
      <c r="AM85" s="1"/>
    </row>
    <row r="86" s="11" customFormat="1" spans="1:39">
      <c r="A86" s="11">
        <v>84</v>
      </c>
      <c r="C86" s="11">
        <v>84</v>
      </c>
      <c r="E86" s="11">
        <v>9934079439</v>
      </c>
      <c r="F86" s="11" t="s">
        <v>114</v>
      </c>
      <c r="G86" s="18" t="s">
        <v>116</v>
      </c>
      <c r="H86" s="12">
        <f t="shared" si="2"/>
        <v>5000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>
        <v>5000</v>
      </c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="11" customFormat="1" spans="1:39">
      <c r="A87" s="11">
        <v>85</v>
      </c>
      <c r="B87" s="11" t="s">
        <v>208</v>
      </c>
      <c r="C87" s="11">
        <v>85</v>
      </c>
      <c r="D87" s="11" t="s">
        <v>208</v>
      </c>
      <c r="E87" s="11">
        <v>7903552643</v>
      </c>
      <c r="F87" s="11" t="s">
        <v>114</v>
      </c>
      <c r="G87" s="18" t="s">
        <v>117</v>
      </c>
      <c r="H87" s="12">
        <f t="shared" si="2"/>
        <v>0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="11" customFormat="1" spans="1:39">
      <c r="A88" s="11">
        <v>86</v>
      </c>
      <c r="C88" s="11">
        <v>86</v>
      </c>
      <c r="D88" s="11" t="s">
        <v>209</v>
      </c>
      <c r="E88" s="11">
        <v>9911430509</v>
      </c>
      <c r="F88" s="11" t="s">
        <v>118</v>
      </c>
      <c r="G88" s="18" t="s">
        <v>119</v>
      </c>
      <c r="H88" s="12">
        <f t="shared" si="2"/>
        <v>8000</v>
      </c>
      <c r="I88" s="1"/>
      <c r="J88" s="1"/>
      <c r="K88" s="1"/>
      <c r="L88" s="1"/>
      <c r="M88" s="1"/>
      <c r="N88" s="20">
        <v>2000</v>
      </c>
      <c r="O88" s="1"/>
      <c r="P88" s="1"/>
      <c r="Q88" s="1"/>
      <c r="R88" s="1"/>
      <c r="S88" s="1"/>
      <c r="T88" s="1"/>
      <c r="U88" s="1"/>
      <c r="V88" s="1"/>
      <c r="W88" s="1"/>
      <c r="X88" s="20">
        <v>2000</v>
      </c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20">
        <v>4000</v>
      </c>
      <c r="AJ88" s="1"/>
      <c r="AK88" s="1"/>
      <c r="AL88" s="1"/>
      <c r="AM88" s="1"/>
    </row>
    <row r="89" s="11" customFormat="1" spans="1:39">
      <c r="A89" s="11">
        <v>87</v>
      </c>
      <c r="C89" s="11">
        <v>87</v>
      </c>
      <c r="G89" s="18" t="s">
        <v>120</v>
      </c>
      <c r="H89" s="12">
        <f t="shared" si="2"/>
        <v>0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="11" customFormat="1" spans="1:39">
      <c r="A90" s="11">
        <v>88</v>
      </c>
      <c r="B90" s="11" t="s">
        <v>210</v>
      </c>
      <c r="C90" s="11">
        <v>88</v>
      </c>
      <c r="D90" s="11" t="s">
        <v>210</v>
      </c>
      <c r="G90" s="18" t="s">
        <v>121</v>
      </c>
      <c r="H90" s="12">
        <f t="shared" si="2"/>
        <v>8000</v>
      </c>
      <c r="I90" s="1"/>
      <c r="J90" s="20">
        <v>1000</v>
      </c>
      <c r="K90" s="1"/>
      <c r="L90" s="1"/>
      <c r="M90" s="1"/>
      <c r="N90" s="1"/>
      <c r="O90" s="1"/>
      <c r="P90" s="20">
        <v>1000</v>
      </c>
      <c r="Q90" s="1"/>
      <c r="R90" s="1"/>
      <c r="S90" s="1"/>
      <c r="T90" s="1"/>
      <c r="U90" s="1"/>
      <c r="V90" s="20">
        <v>1000</v>
      </c>
      <c r="W90" s="1"/>
      <c r="X90" s="1"/>
      <c r="Y90" s="1"/>
      <c r="Z90" s="1"/>
      <c r="AA90" s="20">
        <v>1000</v>
      </c>
      <c r="AB90" s="1"/>
      <c r="AC90" s="20">
        <v>1000</v>
      </c>
      <c r="AD90" s="1"/>
      <c r="AE90" s="1"/>
      <c r="AF90" s="20">
        <v>1000</v>
      </c>
      <c r="AG90" s="1"/>
      <c r="AH90" s="1"/>
      <c r="AI90" s="20">
        <v>1000</v>
      </c>
      <c r="AJ90" s="20">
        <v>1000</v>
      </c>
      <c r="AK90" s="1"/>
      <c r="AL90" s="1"/>
      <c r="AM90" s="1"/>
    </row>
    <row r="91" s="11" customFormat="1" spans="1:39">
      <c r="A91" s="11">
        <v>89</v>
      </c>
      <c r="C91" s="11">
        <v>89</v>
      </c>
      <c r="G91" s="18" t="s">
        <v>122</v>
      </c>
      <c r="H91" s="12">
        <f t="shared" si="2"/>
        <v>0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="11" customFormat="1" spans="1:39">
      <c r="A92" s="11">
        <v>90</v>
      </c>
      <c r="C92" s="11">
        <v>90</v>
      </c>
      <c r="D92" s="11" t="s">
        <v>211</v>
      </c>
      <c r="E92" s="11">
        <v>9015378357</v>
      </c>
      <c r="F92" s="11" t="s">
        <v>212</v>
      </c>
      <c r="G92" s="18" t="s">
        <v>123</v>
      </c>
      <c r="H92" s="12">
        <f t="shared" si="2"/>
        <v>3000</v>
      </c>
      <c r="I92" s="1"/>
      <c r="J92" s="1"/>
      <c r="K92" s="1"/>
      <c r="L92" s="1"/>
      <c r="M92" s="1"/>
      <c r="N92" s="20">
        <v>3000</v>
      </c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="11" customFormat="1" spans="1:39">
      <c r="A93" s="11">
        <v>91</v>
      </c>
      <c r="C93" s="11">
        <v>91</v>
      </c>
      <c r="G93" s="18" t="s">
        <v>124</v>
      </c>
      <c r="H93" s="12">
        <f t="shared" si="2"/>
        <v>0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="11" customFormat="1" spans="1:39">
      <c r="A94" s="11">
        <v>92</v>
      </c>
      <c r="C94" s="11">
        <v>92</v>
      </c>
      <c r="D94" s="11" t="s">
        <v>213</v>
      </c>
      <c r="F94" s="11" t="s">
        <v>125</v>
      </c>
      <c r="G94" s="18" t="s">
        <v>126</v>
      </c>
      <c r="H94" s="12">
        <f t="shared" si="2"/>
        <v>3000</v>
      </c>
      <c r="I94" s="1"/>
      <c r="J94" s="1"/>
      <c r="K94" s="1"/>
      <c r="L94" s="1"/>
      <c r="M94" s="1"/>
      <c r="N94" s="1"/>
      <c r="O94" s="20">
        <v>1000</v>
      </c>
      <c r="P94" s="20">
        <v>1000</v>
      </c>
      <c r="Q94" s="1"/>
      <c r="R94" s="1"/>
      <c r="S94" s="1"/>
      <c r="T94" s="1"/>
      <c r="U94" s="1"/>
      <c r="V94" s="1"/>
      <c r="W94" s="1"/>
      <c r="X94" s="1"/>
      <c r="Y94" s="20">
        <v>1000</v>
      </c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="11" customFormat="1" spans="1:39">
      <c r="A95" s="11">
        <v>93</v>
      </c>
      <c r="C95" s="11">
        <v>93</v>
      </c>
      <c r="G95" s="18" t="s">
        <v>127</v>
      </c>
      <c r="H95" s="12">
        <f t="shared" si="2"/>
        <v>0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="11" customFormat="1" spans="1:39">
      <c r="A96" s="11">
        <v>94</v>
      </c>
      <c r="C96" s="11">
        <v>94</v>
      </c>
      <c r="G96" s="18" t="s">
        <v>128</v>
      </c>
      <c r="H96" s="12">
        <f t="shared" si="2"/>
        <v>0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8:39">
      <c r="H97" s="1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8:39">
      <c r="H98" s="1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8:39">
      <c r="H99" s="1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8:39">
      <c r="H100" s="1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spans="8:39">
      <c r="H101" s="1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spans="8:39">
      <c r="H102" s="1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8:39">
      <c r="H103" s="1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spans="8:39">
      <c r="H104" s="1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spans="8:39">
      <c r="H105" s="1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spans="8:39">
      <c r="H106" s="1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spans="8:39">
      <c r="H107" s="1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spans="8:39">
      <c r="H108" s="1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spans="8:39">
      <c r="H109" s="1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spans="8:39">
      <c r="H110" s="1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spans="8:39">
      <c r="H111" s="1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spans="8:8">
      <c r="H112" s="12"/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6"/>
  <sheetViews>
    <sheetView tabSelected="1" topLeftCell="A34" workbookViewId="0">
      <selection activeCell="B49" sqref="B49"/>
    </sheetView>
  </sheetViews>
  <sheetFormatPr defaultColWidth="9.14285714285714" defaultRowHeight="15" outlineLevelCol="4"/>
  <cols>
    <col min="1" max="1" width="15" style="1" customWidth="1"/>
    <col min="2" max="2" width="11.7142857142857" style="1" customWidth="1"/>
    <col min="3" max="3" width="51.1428571428571" style="1" customWidth="1"/>
    <col min="4" max="4" width="14" style="2" customWidth="1"/>
    <col min="5" max="12" width="9.14285714285714" style="1"/>
    <col min="13" max="13" width="14" style="1" customWidth="1"/>
    <col min="14" max="16384" width="9.14285714285714" style="1"/>
  </cols>
  <sheetData>
    <row r="1" spans="1:4">
      <c r="A1" s="3" t="s">
        <v>3</v>
      </c>
      <c r="B1" s="3" t="s">
        <v>129</v>
      </c>
      <c r="C1" s="3" t="s">
        <v>4</v>
      </c>
      <c r="D1" s="3" t="s">
        <v>214</v>
      </c>
    </row>
    <row r="2" spans="1:5">
      <c r="A2" s="4"/>
      <c r="B2" s="4"/>
      <c r="C2" s="5" t="s">
        <v>8</v>
      </c>
      <c r="D2" s="6">
        <f>Orders!F2-Collection!H2</f>
        <v>269900</v>
      </c>
      <c r="E2" s="7">
        <f>SUM(D3:D96)</f>
        <v>269900</v>
      </c>
    </row>
    <row r="3" spans="1:4">
      <c r="A3" s="8" t="s">
        <v>9</v>
      </c>
      <c r="B3" s="8">
        <v>9334066332</v>
      </c>
      <c r="C3" s="9" t="s">
        <v>10</v>
      </c>
      <c r="D3" s="10">
        <f>Orders!F3-Collection!H3</f>
        <v>0</v>
      </c>
    </row>
    <row r="4" spans="1:4">
      <c r="A4" s="8" t="s">
        <v>9</v>
      </c>
      <c r="B4" s="8">
        <v>9123417146</v>
      </c>
      <c r="C4" s="9" t="s">
        <v>11</v>
      </c>
      <c r="D4" s="10">
        <f>Orders!F4-Collection!H4</f>
        <v>0</v>
      </c>
    </row>
    <row r="5" spans="1:4">
      <c r="A5" s="8" t="s">
        <v>9</v>
      </c>
      <c r="B5" s="8">
        <v>8340365412</v>
      </c>
      <c r="C5" s="9" t="s">
        <v>13</v>
      </c>
      <c r="D5" s="10">
        <f>Orders!F5-Collection!H5</f>
        <v>0</v>
      </c>
    </row>
    <row r="6" spans="1:4">
      <c r="A6" s="8" t="s">
        <v>9</v>
      </c>
      <c r="B6" s="8">
        <v>9102317719</v>
      </c>
      <c r="C6" s="9" t="s">
        <v>15</v>
      </c>
      <c r="D6" s="10">
        <f>Orders!F6-Collection!H6</f>
        <v>0</v>
      </c>
    </row>
    <row r="7" spans="1:4">
      <c r="A7" s="8" t="s">
        <v>9</v>
      </c>
      <c r="B7" s="8">
        <v>8210924561</v>
      </c>
      <c r="C7" s="9" t="s">
        <v>17</v>
      </c>
      <c r="D7" s="10">
        <f>Orders!F7-Collection!H7</f>
        <v>17000</v>
      </c>
    </row>
    <row r="8" spans="1:4">
      <c r="A8" s="8" t="s">
        <v>9</v>
      </c>
      <c r="B8" s="8">
        <v>9110978139</v>
      </c>
      <c r="C8" s="9" t="s">
        <v>19</v>
      </c>
      <c r="D8" s="10">
        <f>Orders!F8-Collection!H8</f>
        <v>0</v>
      </c>
    </row>
    <row r="9" spans="1:4">
      <c r="A9" s="8" t="s">
        <v>9</v>
      </c>
      <c r="B9" s="8">
        <v>8340201321</v>
      </c>
      <c r="C9" s="9" t="s">
        <v>20</v>
      </c>
      <c r="D9" s="10">
        <f>Orders!F9-Collection!H9</f>
        <v>0</v>
      </c>
    </row>
    <row r="10" spans="1:4">
      <c r="A10" s="8" t="s">
        <v>9</v>
      </c>
      <c r="B10" s="8">
        <v>7004365158</v>
      </c>
      <c r="C10" s="9" t="s">
        <v>22</v>
      </c>
      <c r="D10" s="10">
        <f>Orders!F10-Collection!H10</f>
        <v>5000</v>
      </c>
    </row>
    <row r="11" spans="1:4">
      <c r="A11" s="8" t="s">
        <v>23</v>
      </c>
      <c r="B11" s="8">
        <v>9973022718</v>
      </c>
      <c r="C11" s="9" t="s">
        <v>24</v>
      </c>
      <c r="D11" s="10">
        <f>Orders!F11-Collection!H11</f>
        <v>0</v>
      </c>
    </row>
    <row r="12" spans="1:4">
      <c r="A12" s="8" t="s">
        <v>23</v>
      </c>
      <c r="B12" s="8">
        <v>7004923653</v>
      </c>
      <c r="C12" s="9" t="s">
        <v>25</v>
      </c>
      <c r="D12" s="10">
        <f>Orders!F12-Collection!H12</f>
        <v>2000</v>
      </c>
    </row>
    <row r="13" spans="1:4">
      <c r="A13" s="8" t="s">
        <v>23</v>
      </c>
      <c r="B13" s="8">
        <v>8340182577</v>
      </c>
      <c r="C13" s="9" t="s">
        <v>26</v>
      </c>
      <c r="D13" s="10">
        <f>Orders!F13-Collection!H13</f>
        <v>5000</v>
      </c>
    </row>
    <row r="14" spans="1:4">
      <c r="A14" s="8" t="s">
        <v>23</v>
      </c>
      <c r="B14" s="8">
        <v>7004740439</v>
      </c>
      <c r="C14" s="9" t="s">
        <v>27</v>
      </c>
      <c r="D14" s="10">
        <f>Orders!F14-Collection!H14</f>
        <v>6500</v>
      </c>
    </row>
    <row r="15" spans="1:4">
      <c r="A15" s="8" t="s">
        <v>23</v>
      </c>
      <c r="B15" s="8">
        <v>7004936104</v>
      </c>
      <c r="C15" s="9" t="s">
        <v>29</v>
      </c>
      <c r="D15" s="10">
        <f>Orders!F15-Collection!H15</f>
        <v>2000</v>
      </c>
    </row>
    <row r="16" spans="1:4">
      <c r="A16" s="8" t="s">
        <v>23</v>
      </c>
      <c r="B16" s="8">
        <v>7321004323</v>
      </c>
      <c r="C16" s="9" t="s">
        <v>30</v>
      </c>
      <c r="D16" s="10">
        <f>Orders!F16-Collection!H16</f>
        <v>2000</v>
      </c>
    </row>
    <row r="17" spans="1:4">
      <c r="A17" s="8" t="s">
        <v>23</v>
      </c>
      <c r="B17" s="11">
        <v>7903378748</v>
      </c>
      <c r="C17" s="9" t="s">
        <v>32</v>
      </c>
      <c r="D17" s="10">
        <f>Orders!F17-Collection!H17</f>
        <v>5000</v>
      </c>
    </row>
    <row r="18" spans="1:4">
      <c r="A18" s="8" t="s">
        <v>23</v>
      </c>
      <c r="B18" s="8">
        <v>7004493350</v>
      </c>
      <c r="C18" s="9" t="s">
        <v>34</v>
      </c>
      <c r="D18" s="10">
        <f>Orders!F18-Collection!H18</f>
        <v>2000</v>
      </c>
    </row>
    <row r="19" spans="1:4">
      <c r="A19" s="8" t="s">
        <v>23</v>
      </c>
      <c r="B19" s="8">
        <v>9608475282</v>
      </c>
      <c r="C19" s="9" t="s">
        <v>35</v>
      </c>
      <c r="D19" s="10">
        <f>Orders!F19-Collection!H19</f>
        <v>0</v>
      </c>
    </row>
    <row r="20" spans="1:4">
      <c r="A20" s="8" t="s">
        <v>36</v>
      </c>
      <c r="B20" s="8">
        <v>9661555592</v>
      </c>
      <c r="C20" s="9" t="s">
        <v>37</v>
      </c>
      <c r="D20" s="10">
        <f>Orders!F20-Collection!H20</f>
        <v>0</v>
      </c>
    </row>
    <row r="21" spans="1:4">
      <c r="A21" s="8" t="s">
        <v>36</v>
      </c>
      <c r="B21" s="8">
        <v>8340523512</v>
      </c>
      <c r="C21" s="9" t="s">
        <v>38</v>
      </c>
      <c r="D21" s="10">
        <f>Orders!F21-Collection!H21</f>
        <v>2000</v>
      </c>
    </row>
    <row r="22" spans="1:4">
      <c r="A22" s="8" t="s">
        <v>36</v>
      </c>
      <c r="B22" s="8">
        <v>8825310472</v>
      </c>
      <c r="C22" s="9" t="s">
        <v>39</v>
      </c>
      <c r="D22" s="10">
        <f>Orders!F22-Collection!H22</f>
        <v>1000</v>
      </c>
    </row>
    <row r="23" spans="1:4">
      <c r="A23" s="8" t="s">
        <v>36</v>
      </c>
      <c r="B23" s="8">
        <v>7004478123</v>
      </c>
      <c r="C23" s="9" t="s">
        <v>40</v>
      </c>
      <c r="D23" s="10">
        <f>Orders!F23-Collection!H23</f>
        <v>4000</v>
      </c>
    </row>
    <row r="24" spans="1:4">
      <c r="A24" s="8" t="s">
        <v>36</v>
      </c>
      <c r="B24" s="8">
        <v>7667895364</v>
      </c>
      <c r="C24" s="9" t="s">
        <v>41</v>
      </c>
      <c r="D24" s="10">
        <f>Orders!F24-Collection!H24</f>
        <v>0</v>
      </c>
    </row>
    <row r="25" spans="1:4">
      <c r="A25" s="8" t="s">
        <v>36</v>
      </c>
      <c r="B25" s="8">
        <v>7006041121</v>
      </c>
      <c r="C25" s="9" t="s">
        <v>42</v>
      </c>
      <c r="D25" s="10">
        <f>Orders!F25-Collection!H25</f>
        <v>2000</v>
      </c>
    </row>
    <row r="26" spans="1:4">
      <c r="A26" s="8" t="s">
        <v>36</v>
      </c>
      <c r="B26" s="8">
        <v>8709658240</v>
      </c>
      <c r="C26" s="9" t="s">
        <v>43</v>
      </c>
      <c r="D26" s="10">
        <f>Orders!F26-Collection!H26</f>
        <v>2000</v>
      </c>
    </row>
    <row r="27" spans="1:4">
      <c r="A27" s="8" t="s">
        <v>36</v>
      </c>
      <c r="B27" s="8">
        <v>8709612020</v>
      </c>
      <c r="C27" s="9" t="s">
        <v>44</v>
      </c>
      <c r="D27" s="10">
        <f>Orders!F27-Collection!H27</f>
        <v>4000</v>
      </c>
    </row>
    <row r="28" spans="1:4">
      <c r="A28" s="8" t="s">
        <v>36</v>
      </c>
      <c r="B28" s="8">
        <v>9973040600</v>
      </c>
      <c r="C28" s="9" t="s">
        <v>45</v>
      </c>
      <c r="D28" s="10">
        <f>Orders!F28-Collection!H28</f>
        <v>2000</v>
      </c>
    </row>
    <row r="29" spans="1:4">
      <c r="A29" s="8" t="s">
        <v>36</v>
      </c>
      <c r="B29" s="8">
        <v>9973345687</v>
      </c>
      <c r="C29" s="9" t="s">
        <v>46</v>
      </c>
      <c r="D29" s="10">
        <f>Orders!F29-Collection!H29</f>
        <v>0</v>
      </c>
    </row>
    <row r="30" spans="1:4">
      <c r="A30" s="8" t="s">
        <v>36</v>
      </c>
      <c r="B30" s="8">
        <v>9631391206</v>
      </c>
      <c r="C30" s="9" t="s">
        <v>47</v>
      </c>
      <c r="D30" s="10">
        <f>Orders!F30-Collection!H30</f>
        <v>4000</v>
      </c>
    </row>
    <row r="31" spans="1:4">
      <c r="A31" s="8" t="s">
        <v>36</v>
      </c>
      <c r="B31" s="8">
        <v>8340565882</v>
      </c>
      <c r="C31" s="9" t="s">
        <v>48</v>
      </c>
      <c r="D31" s="10">
        <f>Orders!F31-Collection!H31</f>
        <v>0</v>
      </c>
    </row>
    <row r="32" spans="1:4">
      <c r="A32" s="8" t="s">
        <v>36</v>
      </c>
      <c r="B32" s="8">
        <v>7004134938</v>
      </c>
      <c r="C32" s="9" t="s">
        <v>49</v>
      </c>
      <c r="D32" s="10">
        <f>Orders!F32-Collection!H32</f>
        <v>10000</v>
      </c>
    </row>
    <row r="33" spans="1:4">
      <c r="A33" s="8" t="s">
        <v>36</v>
      </c>
      <c r="B33" s="8">
        <v>7488143097</v>
      </c>
      <c r="C33" s="9" t="s">
        <v>50</v>
      </c>
      <c r="D33" s="10">
        <f>Orders!F33-Collection!H33</f>
        <v>4000</v>
      </c>
    </row>
    <row r="34" spans="1:4">
      <c r="A34" s="8" t="s">
        <v>51</v>
      </c>
      <c r="B34" s="8">
        <v>9110951966</v>
      </c>
      <c r="C34" s="9" t="s">
        <v>52</v>
      </c>
      <c r="D34" s="10">
        <f>Orders!F34-Collection!H34</f>
        <v>2000</v>
      </c>
    </row>
    <row r="35" spans="1:4">
      <c r="A35" s="8" t="s">
        <v>51</v>
      </c>
      <c r="B35" s="8">
        <v>7909015301</v>
      </c>
      <c r="C35" s="9" t="s">
        <v>53</v>
      </c>
      <c r="D35" s="10">
        <f>Orders!F35-Collection!H35</f>
        <v>3000</v>
      </c>
    </row>
    <row r="36" spans="1:4">
      <c r="A36" s="8" t="s">
        <v>51</v>
      </c>
      <c r="B36" s="8">
        <v>7654800030</v>
      </c>
      <c r="C36" s="9" t="s">
        <v>54</v>
      </c>
      <c r="D36" s="10">
        <f>Orders!F36-Collection!H36</f>
        <v>0</v>
      </c>
    </row>
    <row r="37" spans="1:4">
      <c r="A37" s="8" t="s">
        <v>51</v>
      </c>
      <c r="B37" s="8">
        <v>7004687743</v>
      </c>
      <c r="C37" s="9" t="s">
        <v>55</v>
      </c>
      <c r="D37" s="10">
        <f>Orders!F37-Collection!H37</f>
        <v>0</v>
      </c>
    </row>
    <row r="38" spans="1:4">
      <c r="A38" s="8" t="s">
        <v>51</v>
      </c>
      <c r="B38" s="8">
        <v>9122226207</v>
      </c>
      <c r="C38" s="9" t="s">
        <v>56</v>
      </c>
      <c r="D38" s="10">
        <f>Orders!F38-Collection!H38</f>
        <v>0</v>
      </c>
    </row>
    <row r="39" spans="1:4">
      <c r="A39" s="8" t="s">
        <v>51</v>
      </c>
      <c r="B39" s="8">
        <v>9708329918</v>
      </c>
      <c r="C39" s="9" t="s">
        <v>57</v>
      </c>
      <c r="D39" s="10">
        <f>Orders!F39-Collection!H39</f>
        <v>0</v>
      </c>
    </row>
    <row r="40" spans="1:4">
      <c r="A40" s="8" t="s">
        <v>51</v>
      </c>
      <c r="B40" s="8">
        <v>8709954402</v>
      </c>
      <c r="C40" s="9" t="s">
        <v>58</v>
      </c>
      <c r="D40" s="10">
        <f>Orders!F40-Collection!H40</f>
        <v>2000</v>
      </c>
    </row>
    <row r="41" spans="1:4">
      <c r="A41" s="8" t="s">
        <v>51</v>
      </c>
      <c r="B41" s="8">
        <v>8102542369</v>
      </c>
      <c r="C41" s="9" t="s">
        <v>59</v>
      </c>
      <c r="D41" s="10">
        <f>Orders!F41-Collection!H41</f>
        <v>0</v>
      </c>
    </row>
    <row r="42" spans="1:4">
      <c r="A42" s="8" t="s">
        <v>51</v>
      </c>
      <c r="B42" s="8">
        <v>9304671707</v>
      </c>
      <c r="C42" s="9" t="s">
        <v>60</v>
      </c>
      <c r="D42" s="10">
        <f>Orders!F42-Collection!H42</f>
        <v>2000</v>
      </c>
    </row>
    <row r="43" spans="1:4">
      <c r="A43" s="8" t="s">
        <v>51</v>
      </c>
      <c r="B43" s="8">
        <v>8210095108</v>
      </c>
      <c r="C43" s="9" t="s">
        <v>61</v>
      </c>
      <c r="D43" s="10">
        <f>Orders!F43-Collection!H43</f>
        <v>4000</v>
      </c>
    </row>
    <row r="44" spans="1:4">
      <c r="A44" s="8" t="s">
        <v>51</v>
      </c>
      <c r="B44" s="8">
        <v>9525707958</v>
      </c>
      <c r="C44" s="9" t="s">
        <v>62</v>
      </c>
      <c r="D44" s="10">
        <f>Orders!F44-Collection!H44</f>
        <v>2000</v>
      </c>
    </row>
    <row r="45" spans="1:4">
      <c r="A45" s="8" t="s">
        <v>51</v>
      </c>
      <c r="B45" s="8">
        <v>8588878618</v>
      </c>
      <c r="C45" s="9" t="s">
        <v>63</v>
      </c>
      <c r="D45" s="10">
        <f>Orders!F45-Collection!H45</f>
        <v>0</v>
      </c>
    </row>
    <row r="46" spans="1:4">
      <c r="A46" s="8" t="s">
        <v>64</v>
      </c>
      <c r="B46" s="8">
        <v>7004687745</v>
      </c>
      <c r="C46" s="9" t="s">
        <v>65</v>
      </c>
      <c r="D46" s="10">
        <f>Orders!F46-Collection!H46</f>
        <v>7000</v>
      </c>
    </row>
    <row r="47" spans="1:4">
      <c r="A47" s="8" t="s">
        <v>64</v>
      </c>
      <c r="B47" s="8">
        <v>7004454705</v>
      </c>
      <c r="C47" s="9" t="s">
        <v>66</v>
      </c>
      <c r="D47" s="10">
        <f>Orders!F47-Collection!H47</f>
        <v>2000</v>
      </c>
    </row>
    <row r="48" spans="1:4">
      <c r="A48" s="8" t="s">
        <v>64</v>
      </c>
      <c r="B48" s="8">
        <v>7004729703</v>
      </c>
      <c r="C48" s="9" t="s">
        <v>67</v>
      </c>
      <c r="D48" s="10">
        <f>Orders!F48-Collection!H48</f>
        <v>2000</v>
      </c>
    </row>
    <row r="49" spans="1:4">
      <c r="A49" s="8" t="s">
        <v>64</v>
      </c>
      <c r="B49" s="8">
        <v>7479799801</v>
      </c>
      <c r="C49" s="9" t="s">
        <v>68</v>
      </c>
      <c r="D49" s="10">
        <f>Orders!F49-Collection!H49</f>
        <v>10000</v>
      </c>
    </row>
    <row r="50" spans="1:4">
      <c r="A50" s="8" t="s">
        <v>64</v>
      </c>
      <c r="B50" s="8">
        <v>9835443096</v>
      </c>
      <c r="C50" s="9" t="s">
        <v>69</v>
      </c>
      <c r="D50" s="10">
        <f>Orders!F50-Collection!H50</f>
        <v>5000</v>
      </c>
    </row>
    <row r="51" spans="1:4">
      <c r="A51" s="8" t="s">
        <v>64</v>
      </c>
      <c r="B51" s="8">
        <v>7004191817</v>
      </c>
      <c r="C51" s="9" t="s">
        <v>70</v>
      </c>
      <c r="D51" s="10">
        <f>Orders!F51-Collection!H51</f>
        <v>4000</v>
      </c>
    </row>
    <row r="52" spans="1:4">
      <c r="A52" s="8" t="s">
        <v>64</v>
      </c>
      <c r="B52" s="8">
        <v>8210487942</v>
      </c>
      <c r="C52" s="9" t="s">
        <v>71</v>
      </c>
      <c r="D52" s="10">
        <f>Orders!F52-Collection!H52</f>
        <v>0</v>
      </c>
    </row>
    <row r="53" spans="1:4">
      <c r="A53" s="8" t="s">
        <v>64</v>
      </c>
      <c r="B53" s="8">
        <v>7004423721</v>
      </c>
      <c r="C53" s="9" t="s">
        <v>72</v>
      </c>
      <c r="D53" s="10">
        <f>Orders!F53-Collection!H53</f>
        <v>4000</v>
      </c>
    </row>
    <row r="54" spans="1:4">
      <c r="A54" s="8" t="s">
        <v>64</v>
      </c>
      <c r="B54" s="8">
        <v>6202424016</v>
      </c>
      <c r="C54" s="9" t="s">
        <v>73</v>
      </c>
      <c r="D54" s="10">
        <f>Orders!F54-Collection!H54</f>
        <v>4000</v>
      </c>
    </row>
    <row r="55" spans="1:4">
      <c r="A55" s="8" t="s">
        <v>64</v>
      </c>
      <c r="B55" s="8">
        <v>8873894618</v>
      </c>
      <c r="C55" s="9" t="s">
        <v>74</v>
      </c>
      <c r="D55" s="10">
        <f>Orders!F55-Collection!H55</f>
        <v>0</v>
      </c>
    </row>
    <row r="56" spans="1:4">
      <c r="A56" s="8" t="s">
        <v>64</v>
      </c>
      <c r="B56" s="8">
        <v>7870055507</v>
      </c>
      <c r="C56" s="9" t="s">
        <v>75</v>
      </c>
      <c r="D56" s="10">
        <f>Orders!F56-Collection!H56</f>
        <v>2000</v>
      </c>
    </row>
    <row r="57" spans="1:4">
      <c r="A57" s="8" t="s">
        <v>64</v>
      </c>
      <c r="B57" s="8">
        <v>6202424016</v>
      </c>
      <c r="C57" s="9" t="s">
        <v>76</v>
      </c>
      <c r="D57" s="10">
        <f>Orders!F57-Collection!H57</f>
        <v>0</v>
      </c>
    </row>
    <row r="58" spans="1:4">
      <c r="A58" s="8" t="s">
        <v>77</v>
      </c>
      <c r="B58" s="8">
        <v>7004211364</v>
      </c>
      <c r="C58" s="9" t="s">
        <v>78</v>
      </c>
      <c r="D58" s="10">
        <f>Orders!F58-Collection!H58</f>
        <v>2000</v>
      </c>
    </row>
    <row r="59" spans="1:4">
      <c r="A59" s="8" t="s">
        <v>77</v>
      </c>
      <c r="B59" s="8">
        <v>7979985074</v>
      </c>
      <c r="C59" s="9" t="s">
        <v>79</v>
      </c>
      <c r="D59" s="10">
        <f>Orders!F59-Collection!H59</f>
        <v>5000</v>
      </c>
    </row>
    <row r="60" spans="1:4">
      <c r="A60" s="8" t="s">
        <v>77</v>
      </c>
      <c r="B60" s="8">
        <v>9304063435</v>
      </c>
      <c r="C60" s="9" t="s">
        <v>80</v>
      </c>
      <c r="D60" s="10">
        <f>Orders!F60-Collection!H60</f>
        <v>0</v>
      </c>
    </row>
    <row r="61" spans="1:4">
      <c r="A61" s="8" t="s">
        <v>77</v>
      </c>
      <c r="B61" s="11">
        <v>9798805204</v>
      </c>
      <c r="C61" s="9" t="s">
        <v>81</v>
      </c>
      <c r="D61" s="10">
        <f>Orders!F61-Collection!H61</f>
        <v>0</v>
      </c>
    </row>
    <row r="62" spans="1:4">
      <c r="A62" s="8" t="s">
        <v>82</v>
      </c>
      <c r="B62" s="8">
        <v>9504958065</v>
      </c>
      <c r="C62" s="9" t="s">
        <v>83</v>
      </c>
      <c r="D62" s="10">
        <f>Orders!F62-Collection!H62</f>
        <v>2000</v>
      </c>
    </row>
    <row r="63" spans="1:4">
      <c r="A63" s="8" t="s">
        <v>82</v>
      </c>
      <c r="B63" s="8">
        <v>9852299192</v>
      </c>
      <c r="C63" s="9" t="s">
        <v>84</v>
      </c>
      <c r="D63" s="10">
        <f>Orders!F63-Collection!H63</f>
        <v>1100</v>
      </c>
    </row>
    <row r="64" spans="1:4">
      <c r="A64" s="8" t="s">
        <v>82</v>
      </c>
      <c r="B64" s="8">
        <v>9931812966</v>
      </c>
      <c r="C64" s="9" t="s">
        <v>87</v>
      </c>
      <c r="D64" s="10">
        <f>Orders!F64-Collection!H64</f>
        <v>0</v>
      </c>
    </row>
    <row r="65" spans="1:4">
      <c r="A65" s="8" t="s">
        <v>88</v>
      </c>
      <c r="B65" s="8">
        <v>7004399486</v>
      </c>
      <c r="C65" s="8" t="s">
        <v>89</v>
      </c>
      <c r="D65" s="10">
        <f>Orders!F65-Collection!H65</f>
        <v>0</v>
      </c>
    </row>
    <row r="66" spans="1:4">
      <c r="A66" s="8" t="s">
        <v>88</v>
      </c>
      <c r="B66" s="8">
        <v>9939935008</v>
      </c>
      <c r="C66" s="9" t="s">
        <v>90</v>
      </c>
      <c r="D66" s="10">
        <f>Orders!F66-Collection!H66</f>
        <v>6000</v>
      </c>
    </row>
    <row r="67" spans="1:4">
      <c r="A67" s="8" t="s">
        <v>91</v>
      </c>
      <c r="B67" s="8">
        <v>8271027441</v>
      </c>
      <c r="C67" s="9" t="s">
        <v>92</v>
      </c>
      <c r="D67" s="10">
        <f>Orders!F67-Collection!H67</f>
        <v>3000</v>
      </c>
    </row>
    <row r="68" spans="1:4">
      <c r="A68" s="8" t="s">
        <v>93</v>
      </c>
      <c r="B68" s="8">
        <v>8709494155</v>
      </c>
      <c r="C68" s="9" t="s">
        <v>94</v>
      </c>
      <c r="D68" s="10">
        <f>Orders!F68-Collection!H68</f>
        <v>4000</v>
      </c>
    </row>
    <row r="69" spans="1:4">
      <c r="A69" s="8" t="s">
        <v>93</v>
      </c>
      <c r="B69" s="8">
        <v>8210273217</v>
      </c>
      <c r="C69" s="9" t="s">
        <v>95</v>
      </c>
      <c r="D69" s="10">
        <f>Orders!F69-Collection!H69</f>
        <v>0</v>
      </c>
    </row>
    <row r="70" spans="1:4">
      <c r="A70" s="8" t="s">
        <v>93</v>
      </c>
      <c r="B70" s="11">
        <v>7903311240</v>
      </c>
      <c r="C70" s="9" t="s">
        <v>96</v>
      </c>
      <c r="D70" s="10">
        <f>Orders!F70-Collection!H70</f>
        <v>0</v>
      </c>
    </row>
    <row r="71" spans="1:4">
      <c r="A71" s="8" t="s">
        <v>93</v>
      </c>
      <c r="B71" s="8">
        <v>6202448688</v>
      </c>
      <c r="C71" s="9" t="s">
        <v>97</v>
      </c>
      <c r="D71" s="10">
        <f>Orders!F71-Collection!H71</f>
        <v>0</v>
      </c>
    </row>
    <row r="72" spans="1:4">
      <c r="A72" s="8" t="s">
        <v>93</v>
      </c>
      <c r="B72" s="8">
        <v>8709017189</v>
      </c>
      <c r="C72" s="9" t="s">
        <v>98</v>
      </c>
      <c r="D72" s="10">
        <f>Orders!F72-Collection!H72</f>
        <v>0</v>
      </c>
    </row>
    <row r="73" spans="1:4">
      <c r="A73" s="8" t="s">
        <v>93</v>
      </c>
      <c r="B73" s="8">
        <v>7909071642</v>
      </c>
      <c r="C73" s="9" t="s">
        <v>99</v>
      </c>
      <c r="D73" s="10">
        <f>Orders!F73-Collection!H73</f>
        <v>2000</v>
      </c>
    </row>
    <row r="74" spans="1:4">
      <c r="A74" s="8" t="s">
        <v>93</v>
      </c>
      <c r="B74" s="8">
        <v>8825370430</v>
      </c>
      <c r="C74" s="9" t="s">
        <v>100</v>
      </c>
      <c r="D74" s="10">
        <f>Orders!F74-Collection!H74</f>
        <v>6000</v>
      </c>
    </row>
    <row r="75" spans="1:4">
      <c r="A75" s="8" t="s">
        <v>93</v>
      </c>
      <c r="B75" s="8">
        <v>9631378928</v>
      </c>
      <c r="C75" s="9" t="s">
        <v>101</v>
      </c>
      <c r="D75" s="10">
        <f>Orders!F75-Collection!H75</f>
        <v>0</v>
      </c>
    </row>
    <row r="76" spans="1:4">
      <c r="A76" s="8" t="s">
        <v>93</v>
      </c>
      <c r="B76" s="8">
        <v>8271027441</v>
      </c>
      <c r="C76" s="9" t="s">
        <v>102</v>
      </c>
      <c r="D76" s="10">
        <f>Orders!F76-Collection!H76</f>
        <v>1000</v>
      </c>
    </row>
    <row r="77" spans="1:4">
      <c r="A77" s="8" t="s">
        <v>103</v>
      </c>
      <c r="B77" s="8">
        <v>6200769032</v>
      </c>
      <c r="C77" s="9" t="s">
        <v>104</v>
      </c>
      <c r="D77" s="10">
        <f>Orders!F77-Collection!H77</f>
        <v>8300</v>
      </c>
    </row>
    <row r="78" spans="1:4">
      <c r="A78" s="8" t="s">
        <v>103</v>
      </c>
      <c r="B78" s="8">
        <v>7004695819</v>
      </c>
      <c r="C78" s="9" t="s">
        <v>105</v>
      </c>
      <c r="D78" s="10">
        <f>Orders!F78-Collection!H78</f>
        <v>5000</v>
      </c>
    </row>
    <row r="79" spans="1:4">
      <c r="A79" s="8" t="s">
        <v>103</v>
      </c>
      <c r="B79" s="8">
        <v>8789354609</v>
      </c>
      <c r="C79" s="9" t="s">
        <v>106</v>
      </c>
      <c r="D79" s="10">
        <f>Orders!F79-Collection!H79</f>
        <v>1000</v>
      </c>
    </row>
    <row r="80" spans="1:4">
      <c r="A80" s="8"/>
      <c r="B80" s="8"/>
      <c r="C80" s="9" t="s">
        <v>107</v>
      </c>
      <c r="D80" s="10">
        <f>Orders!F80-Collection!H80</f>
        <v>67000</v>
      </c>
    </row>
    <row r="81" spans="1:4">
      <c r="A81" s="8" t="s">
        <v>108</v>
      </c>
      <c r="B81" s="8">
        <v>8789783884</v>
      </c>
      <c r="C81" s="9" t="s">
        <v>109</v>
      </c>
      <c r="D81" s="10">
        <f>Orders!F81-Collection!H81</f>
        <v>2000</v>
      </c>
    </row>
    <row r="82" spans="1:4">
      <c r="A82" s="8"/>
      <c r="B82" s="8"/>
      <c r="C82" s="9" t="s">
        <v>110</v>
      </c>
      <c r="D82" s="10">
        <f>Orders!F82-Collection!H82</f>
        <v>0</v>
      </c>
    </row>
    <row r="83" spans="1:4">
      <c r="A83" s="8" t="s">
        <v>111</v>
      </c>
      <c r="B83" s="8">
        <v>7079312729</v>
      </c>
      <c r="C83" s="9" t="s">
        <v>112</v>
      </c>
      <c r="D83" s="10">
        <f>Orders!F83-Collection!H83</f>
        <v>2000</v>
      </c>
    </row>
    <row r="84" spans="1:4">
      <c r="A84" s="8"/>
      <c r="B84" s="8"/>
      <c r="C84" s="9" t="s">
        <v>113</v>
      </c>
      <c r="D84" s="10">
        <f>Orders!F84-Collection!H84</f>
        <v>0</v>
      </c>
    </row>
    <row r="85" spans="1:4">
      <c r="A85" s="8" t="s">
        <v>114</v>
      </c>
      <c r="B85" s="8">
        <v>7979068575</v>
      </c>
      <c r="C85" s="9" t="s">
        <v>115</v>
      </c>
      <c r="D85" s="10">
        <f>Orders!F85-Collection!H85</f>
        <v>5000</v>
      </c>
    </row>
    <row r="86" spans="1:4">
      <c r="A86" s="8" t="s">
        <v>114</v>
      </c>
      <c r="B86" s="8">
        <v>9934079439</v>
      </c>
      <c r="C86" s="9" t="s">
        <v>116</v>
      </c>
      <c r="D86" s="10">
        <f>Orders!F86-Collection!H86</f>
        <v>5000</v>
      </c>
    </row>
    <row r="87" spans="1:4">
      <c r="A87" s="8" t="s">
        <v>114</v>
      </c>
      <c r="B87" s="8">
        <v>7903552643</v>
      </c>
      <c r="C87" s="9" t="s">
        <v>117</v>
      </c>
      <c r="D87" s="10">
        <f>Orders!F87-Collection!H87</f>
        <v>0</v>
      </c>
    </row>
    <row r="88" spans="1:4">
      <c r="A88" s="8" t="s">
        <v>118</v>
      </c>
      <c r="B88" s="8">
        <v>9911430509</v>
      </c>
      <c r="C88" s="9" t="s">
        <v>119</v>
      </c>
      <c r="D88" s="10">
        <f>Orders!F88-Collection!H88</f>
        <v>0</v>
      </c>
    </row>
    <row r="89" spans="1:4">
      <c r="A89" s="8"/>
      <c r="B89" s="8"/>
      <c r="C89" s="9" t="s">
        <v>120</v>
      </c>
      <c r="D89" s="10">
        <f>Orders!F89-Collection!H89</f>
        <v>0</v>
      </c>
    </row>
    <row r="90" spans="1:4">
      <c r="A90" s="8" t="s">
        <v>23</v>
      </c>
      <c r="B90" s="8">
        <v>9905739212</v>
      </c>
      <c r="C90" s="9" t="s">
        <v>121</v>
      </c>
      <c r="D90" s="10">
        <f>Orders!F90-Collection!H90</f>
        <v>1000</v>
      </c>
    </row>
    <row r="91" spans="1:4">
      <c r="A91" s="8"/>
      <c r="B91" s="8"/>
      <c r="C91" s="9" t="s">
        <v>122</v>
      </c>
      <c r="D91" s="10">
        <f>Orders!F91-Collection!H91</f>
        <v>0</v>
      </c>
    </row>
    <row r="92" spans="1:4">
      <c r="A92" s="8"/>
      <c r="B92" s="8">
        <v>9015378357</v>
      </c>
      <c r="C92" s="9" t="s">
        <v>123</v>
      </c>
      <c r="D92" s="10">
        <f>Orders!F92-Collection!H92</f>
        <v>2000</v>
      </c>
    </row>
    <row r="93" spans="1:4">
      <c r="A93" s="8"/>
      <c r="B93" s="8"/>
      <c r="C93" s="9" t="s">
        <v>124</v>
      </c>
      <c r="D93" s="10">
        <f>Orders!F93-Collection!H93</f>
        <v>0</v>
      </c>
    </row>
    <row r="94" spans="1:4">
      <c r="A94" s="8"/>
      <c r="B94" s="8">
        <v>7254967519</v>
      </c>
      <c r="C94" s="9" t="s">
        <v>126</v>
      </c>
      <c r="D94" s="10">
        <f>Orders!F94-Collection!H94</f>
        <v>3000</v>
      </c>
    </row>
    <row r="95" spans="1:4">
      <c r="A95" s="8"/>
      <c r="B95" s="8"/>
      <c r="C95" s="9" t="s">
        <v>127</v>
      </c>
      <c r="D95" s="10">
        <f>Orders!F95-Collection!H95</f>
        <v>0</v>
      </c>
    </row>
    <row r="96" spans="1:4">
      <c r="A96" s="8"/>
      <c r="B96" s="8"/>
      <c r="C96" s="9" t="s">
        <v>128</v>
      </c>
      <c r="D96" s="10">
        <f>Orders!F96-Collection!H96</f>
        <v>0</v>
      </c>
    </row>
  </sheetData>
  <autoFilter ref="A1:D96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Orders</vt:lpstr>
      <vt:lpstr>Collection</vt:lpstr>
      <vt:lpstr>AmtToCollect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2021-02-14T14:04:00Z</dcterms:created>
  <dcterms:modified xsi:type="dcterms:W3CDTF">2021-06-01T09:26:47Z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1033-11.2.0.10130</vt:lpwstr>
  </property>
  <property fmtid="{D5CDD505-2E9C-101B-9397-08002B2CF9AE}" pid="3" name="KSOReadingLayout">
    <vt:bool>true</vt:bool>
  </property>
</Properties>
</file>