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  <comment ref="P6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  <comment ref="N16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Received on 7 May Early Morning</t>
        </r>
      </text>
    </comment>
  </commentList>
</comments>
</file>

<file path=xl/sharedStrings.xml><?xml version="1.0" encoding="utf-8"?>
<sst xmlns="http://schemas.openxmlformats.org/spreadsheetml/2006/main" count="677" uniqueCount="213">
  <si>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</si>
  <si>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</si>
  <si>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</si>
  <si>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</si>
  <si>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</si>
  <si>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</si>
  <si>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</si>
  <si>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</si>
  <si>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</si>
  <si>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</si>
  <si>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</si>
  <si>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</si>
  <si>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</si>
  <si>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</si>
  <si>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</si>
  <si>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</si>
  <si>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</si>
  <si>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</si>
  <si>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</si>
  <si>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</si>
  <si>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</si>
  <si>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</si>
  <si>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</si>
  <si>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</si>
  <si>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</si>
  <si>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</si>
  <si>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</si>
  <si>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</si>
  <si>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</si>
  <si>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</si>
  <si>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</si>
  <si>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</si>
  <si>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</si>
  <si>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</si>
  <si>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</si>
  <si>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</si>
  <si>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</si>
  <si>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</si>
  <si>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</si>
  <si>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</si>
  <si>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</si>
  <si>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</si>
  <si>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</si>
  <si>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</si>
  <si>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</si>
  <si>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</si>
  <si>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</si>
  <si>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</si>
  <si>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</si>
  <si>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</si>
  <si>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</si>
  <si>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</si>
  <si>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</si>
  <si>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</si>
  <si>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</si>
  <si>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</si>
  <si>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</si>
  <si>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</si>
  <si>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</si>
  <si>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</si>
  <si>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</si>
  <si>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</si>
  <si>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</si>
  <si>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</si>
  <si>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</si>
  <si>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</si>
  <si>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</si>
  <si>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</si>
  <si>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</si>
  <si>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</si>
  <si>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</si>
  <si>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</si>
  <si>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</si>
  <si>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</si>
  <si>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</si>
  <si>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</si>
  <si>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</si>
  <si>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</si>
  <si>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</si>
  <si>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</si>
  <si>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</si>
  <si>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</si>
  <si>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</si>
  <si>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</si>
  <si>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</si>
  <si>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</si>
  <si>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</si>
  <si>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</si>
  <si>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</si>
  <si>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</si>
  <si>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</si>
  <si>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</si>
  <si>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</si>
  <si>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</si>
  <si>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</si>
  <si>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</si>
  <si>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</si>
  <si>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</si>
  <si>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</si>
  <si>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</si>
  <si>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</si>
  <si>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</si>
  <si>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</si>
  <si>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</si>
  <si>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</si>
  <si>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</si>
  <si>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</si>
  <si>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</si>
  <si>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</si>
  <si>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</si>
  <si>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</si>
  <si>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</si>
  <si>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</si>
  <si>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</si>
  <si>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</si>
  <si>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</si>
  <si>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</si>
  <si>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</si>
  <si>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</si>
  <si>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</si>
  <si>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</si>
  <si>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</si>
  <si>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</si>
  <si>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</si>
  <si>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</si>
  <si>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</si>
  <si>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</si>
  <si>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</si>
  <si>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</si>
  <si>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</si>
  <si>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</si>
  <si>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</si>
  <si>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</si>
  <si>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</si>
  <si>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</si>
  <si>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</si>
  <si>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</si>
  <si>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</si>
  <si>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</si>
  <si>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</si>
  <si>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</si>
  <si>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</si>
  <si>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</si>
  <si>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</si>
  <si>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</si>
  <si>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</si>
  <si>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</si>
  <si>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</si>
  <si>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</si>
  <si>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</si>
  <si>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</si>
  <si>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</si>
  <si>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</si>
  <si>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</si>
  <si>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</si>
  <si>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YASHWANT</t>
  </si>
  <si>
    <t>Nitish Kr.</t>
  </si>
  <si>
    <t>Nitish Kr./SURESH SA/</t>
  </si>
  <si>
    <t>Basant Kr.</t>
  </si>
  <si>
    <t>Basant Kr./SHREE</t>
  </si>
  <si>
    <t>Binay Lal</t>
  </si>
  <si>
    <t>Arman Ala</t>
  </si>
  <si>
    <t>VIKESH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</si>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</sst>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4" borderId="7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3" fillId="12" borderId="2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V3" activePane="bottomRight" state="frozen"/>
      <selection/>
      <selection pane="topRight"/>
      <selection pane="bottomLeft"/>
      <selection pane="bottomRight" activeCell="Z17" sqref="Z17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1" customWidth="1"/>
    <col min="9" max="16384" width="9.14285714285714" style="11"/>
  </cols>
  <sheetData>
    <row r="1" s="12" customFormat="1" spans="1:4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9">
        <v>44317</v>
      </c>
      <c r="J1" s="29">
        <v>44318</v>
      </c>
      <c r="K1" s="29">
        <v>44319</v>
      </c>
      <c r="L1" s="29">
        <v>44320</v>
      </c>
      <c r="M1" s="29">
        <v>44321</v>
      </c>
      <c r="N1" s="29">
        <v>44322</v>
      </c>
      <c r="O1" s="29">
        <v>44323</v>
      </c>
      <c r="P1" s="29">
        <v>44324</v>
      </c>
      <c r="Q1" s="29">
        <v>44325</v>
      </c>
      <c r="R1" s="29">
        <v>44326</v>
      </c>
      <c r="S1" s="29">
        <v>44327</v>
      </c>
      <c r="T1" s="29">
        <v>44328</v>
      </c>
      <c r="U1" s="29">
        <v>44329</v>
      </c>
      <c r="V1" s="29">
        <v>44330</v>
      </c>
      <c r="W1" s="29">
        <v>44331</v>
      </c>
      <c r="X1" s="29">
        <v>44332</v>
      </c>
      <c r="Y1" s="29">
        <v>44333</v>
      </c>
      <c r="Z1" s="29">
        <v>44334</v>
      </c>
      <c r="AA1" s="29">
        <v>44335</v>
      </c>
      <c r="AB1" s="29">
        <v>44336</v>
      </c>
      <c r="AC1" s="29">
        <v>44337</v>
      </c>
      <c r="AD1" s="29">
        <v>44338</v>
      </c>
      <c r="AE1" s="29">
        <v>44339</v>
      </c>
      <c r="AF1" s="29">
        <v>44340</v>
      </c>
      <c r="AG1" s="29">
        <v>44341</v>
      </c>
      <c r="AH1" s="29">
        <v>44342</v>
      </c>
      <c r="AI1" s="29">
        <v>44343</v>
      </c>
      <c r="AJ1" s="29">
        <v>44344</v>
      </c>
      <c r="AK1" s="29">
        <v>44345</v>
      </c>
      <c r="AL1" s="29">
        <v>44346</v>
      </c>
      <c r="AM1" s="29">
        <v>44347</v>
      </c>
      <c r="AN1" s="30"/>
      <c r="AO1" s="30"/>
      <c r="AP1" s="30"/>
      <c r="AQ1" s="30"/>
      <c r="AR1" s="30"/>
      <c r="AS1" s="30"/>
    </row>
    <row r="2" s="12" customFormat="1" spans="1:39">
      <c r="A2" s="14"/>
      <c r="B2" s="23">
        <f>SUM(F3:F121)</f>
        <v>891900</v>
      </c>
      <c r="D2" s="15">
        <f>SUM(G3:G121)</f>
        <v>717600</v>
      </c>
      <c r="E2" s="16" t="s">
        <v>8</v>
      </c>
      <c r="F2" s="24">
        <f>G2/1.04+H2</f>
        <v>891900</v>
      </c>
      <c r="G2" s="15">
        <f t="shared" ref="G2:G65" si="0">SUM(I2:AM2)</f>
        <v>717600</v>
      </c>
      <c r="H2" s="25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45760</v>
      </c>
      <c r="M2" s="12">
        <f t="shared" si="1"/>
        <v>18720</v>
      </c>
      <c r="N2" s="12">
        <f t="shared" si="1"/>
        <v>23920</v>
      </c>
      <c r="O2" s="12">
        <f t="shared" si="1"/>
        <v>24960</v>
      </c>
      <c r="P2" s="12">
        <f t="shared" si="1"/>
        <v>33280</v>
      </c>
      <c r="Q2" s="12">
        <f t="shared" si="1"/>
        <v>34320</v>
      </c>
      <c r="R2" s="12">
        <f t="shared" si="1"/>
        <v>42640</v>
      </c>
      <c r="S2" s="12">
        <f t="shared" si="1"/>
        <v>31200</v>
      </c>
      <c r="T2" s="12">
        <f t="shared" si="1"/>
        <v>38480</v>
      </c>
      <c r="U2" s="12">
        <f t="shared" si="1"/>
        <v>33280</v>
      </c>
      <c r="V2" s="12">
        <f t="shared" si="1"/>
        <v>37440</v>
      </c>
      <c r="W2" s="12">
        <f t="shared" si="1"/>
        <v>46800</v>
      </c>
      <c r="X2" s="12">
        <f t="shared" si="1"/>
        <v>36400</v>
      </c>
      <c r="Y2" s="12">
        <f t="shared" si="1"/>
        <v>56160</v>
      </c>
      <c r="Z2" s="12">
        <f t="shared" si="1"/>
        <v>59280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40">
      <c r="A3" s="11">
        <v>1</v>
      </c>
      <c r="D3" s="11" t="s">
        <v>9</v>
      </c>
      <c r="E3" s="18" t="s">
        <v>10</v>
      </c>
      <c r="F3" s="12">
        <f t="shared" ref="F2:F18" si="2">G3/1.04+H3</f>
        <v>2000</v>
      </c>
      <c r="G3" s="12">
        <f t="shared" si="0"/>
        <v>2080</v>
      </c>
      <c r="H3" s="26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>
        <v>2080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9</v>
      </c>
      <c r="E4" s="18" t="s">
        <v>11</v>
      </c>
      <c r="F4" s="12">
        <f t="shared" si="2"/>
        <v>10000</v>
      </c>
      <c r="G4" s="12">
        <f t="shared" si="0"/>
        <v>8320</v>
      </c>
      <c r="H4" s="26">
        <v>2000</v>
      </c>
      <c r="I4" s="1"/>
      <c r="J4" s="1">
        <v>2080</v>
      </c>
      <c r="K4" s="1"/>
      <c r="L4" s="1"/>
      <c r="M4" s="1"/>
      <c r="N4" s="1"/>
      <c r="O4" s="1">
        <v>2080</v>
      </c>
      <c r="P4" s="1"/>
      <c r="Q4" s="1"/>
      <c r="R4" s="1"/>
      <c r="S4" s="1"/>
      <c r="T4" s="1">
        <v>2080</v>
      </c>
      <c r="U4" s="1"/>
      <c r="V4" s="1"/>
      <c r="W4" s="1"/>
      <c r="X4" s="1"/>
      <c r="Y4" s="1">
        <v>2080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16500</v>
      </c>
      <c r="G5" s="12">
        <f t="shared" si="0"/>
        <v>14560</v>
      </c>
      <c r="H5" s="26">
        <v>2500</v>
      </c>
      <c r="I5" s="1"/>
      <c r="J5" s="1">
        <v>2080</v>
      </c>
      <c r="K5" s="1"/>
      <c r="L5" s="1"/>
      <c r="M5" s="1"/>
      <c r="N5" s="1">
        <v>2080</v>
      </c>
      <c r="O5" s="1"/>
      <c r="P5" s="1"/>
      <c r="Q5" s="1"/>
      <c r="R5" s="1">
        <v>2080</v>
      </c>
      <c r="S5" s="1"/>
      <c r="T5" s="1">
        <v>2080</v>
      </c>
      <c r="U5" s="1">
        <v>2080</v>
      </c>
      <c r="V5" s="1"/>
      <c r="W5" s="1"/>
      <c r="X5" s="1">
        <v>2080</v>
      </c>
      <c r="Y5" s="1"/>
      <c r="Z5" s="1">
        <v>2080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18000</v>
      </c>
      <c r="G6" s="12">
        <f t="shared" si="0"/>
        <v>16640</v>
      </c>
      <c r="H6" s="26">
        <v>2000</v>
      </c>
      <c r="I6" s="1"/>
      <c r="J6" s="1">
        <v>3120</v>
      </c>
      <c r="K6" s="1"/>
      <c r="L6" s="1">
        <v>5200</v>
      </c>
      <c r="M6" s="1"/>
      <c r="N6" s="1"/>
      <c r="O6" s="1"/>
      <c r="P6" s="1"/>
      <c r="Q6" s="1"/>
      <c r="R6" s="1"/>
      <c r="S6" s="1">
        <v>2080</v>
      </c>
      <c r="T6" s="1"/>
      <c r="U6" s="1">
        <v>2080</v>
      </c>
      <c r="V6" s="1"/>
      <c r="W6" s="1">
        <v>2080</v>
      </c>
      <c r="X6" s="1"/>
      <c r="Y6" s="1">
        <v>2080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49000</v>
      </c>
      <c r="G7" s="12">
        <f t="shared" si="0"/>
        <v>34320</v>
      </c>
      <c r="H7" s="26">
        <v>16000</v>
      </c>
      <c r="I7" s="1">
        <v>2080</v>
      </c>
      <c r="J7" s="11">
        <v>1040</v>
      </c>
      <c r="K7" s="1">
        <v>2080</v>
      </c>
      <c r="L7" s="1">
        <v>2080</v>
      </c>
      <c r="M7" s="1">
        <v>2080</v>
      </c>
      <c r="N7" s="1">
        <v>2080</v>
      </c>
      <c r="O7" s="1">
        <v>2080</v>
      </c>
      <c r="P7" s="1">
        <v>2080</v>
      </c>
      <c r="Q7" s="1"/>
      <c r="R7" s="1">
        <v>2080</v>
      </c>
      <c r="S7" s="1">
        <v>2080</v>
      </c>
      <c r="T7" s="1"/>
      <c r="U7" s="1">
        <v>4160</v>
      </c>
      <c r="V7" s="1">
        <v>2080</v>
      </c>
      <c r="W7" s="1">
        <v>2080</v>
      </c>
      <c r="X7" s="1">
        <v>2080</v>
      </c>
      <c r="Y7" s="1"/>
      <c r="Z7" s="1">
        <v>4160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10000</v>
      </c>
      <c r="G8" s="12">
        <f t="shared" si="0"/>
        <v>8320</v>
      </c>
      <c r="H8" s="26">
        <v>2000</v>
      </c>
      <c r="I8" s="1">
        <v>2080</v>
      </c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>
        <v>2080</v>
      </c>
      <c r="V8" s="1">
        <v>2080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9</v>
      </c>
      <c r="E9" s="18" t="s">
        <v>20</v>
      </c>
      <c r="F9" s="12">
        <f t="shared" si="2"/>
        <v>5000</v>
      </c>
      <c r="G9" s="12">
        <f t="shared" si="0"/>
        <v>5200</v>
      </c>
      <c r="H9" s="26">
        <v>0</v>
      </c>
      <c r="I9" s="1"/>
      <c r="J9" s="1">
        <v>1040</v>
      </c>
      <c r="K9" s="1"/>
      <c r="L9" s="1">
        <v>2080</v>
      </c>
      <c r="M9" s="1"/>
      <c r="N9" s="1"/>
      <c r="O9" s="1"/>
      <c r="P9" s="1"/>
      <c r="Q9" s="1"/>
      <c r="R9" s="1"/>
      <c r="S9" s="1"/>
      <c r="T9" s="1">
        <v>2080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16000</v>
      </c>
      <c r="G10" s="12">
        <f t="shared" si="0"/>
        <v>11440</v>
      </c>
      <c r="H10" s="26">
        <v>5000</v>
      </c>
      <c r="I10" s="1"/>
      <c r="J10" s="1"/>
      <c r="K10" s="1"/>
      <c r="L10" s="1">
        <v>5200</v>
      </c>
      <c r="M10" s="1"/>
      <c r="N10" s="1"/>
      <c r="O10" s="1"/>
      <c r="P10" s="1"/>
      <c r="Q10" s="1"/>
      <c r="R10" s="1"/>
      <c r="S10" s="1"/>
      <c r="T10" s="1"/>
      <c r="U10" s="1"/>
      <c r="V10" s="1">
        <v>2080</v>
      </c>
      <c r="W10" s="1"/>
      <c r="X10" s="1">
        <v>2080</v>
      </c>
      <c r="Y10" s="1"/>
      <c r="Z10" s="1">
        <v>2080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23</v>
      </c>
      <c r="E11" s="18" t="s">
        <v>24</v>
      </c>
      <c r="F11" s="12">
        <f t="shared" si="2"/>
        <v>4000</v>
      </c>
      <c r="G11" s="12">
        <f t="shared" si="0"/>
        <v>2080</v>
      </c>
      <c r="H11" s="26">
        <v>2000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>
        <v>2080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23</v>
      </c>
      <c r="E12" s="18" t="s">
        <v>25</v>
      </c>
      <c r="F12" s="12">
        <f t="shared" si="2"/>
        <v>5000</v>
      </c>
      <c r="G12" s="12">
        <f t="shared" si="0"/>
        <v>5200</v>
      </c>
      <c r="H12" s="26">
        <v>0</v>
      </c>
      <c r="I12" s="1">
        <v>1040</v>
      </c>
      <c r="J12" s="1"/>
      <c r="K12" s="1"/>
      <c r="L12" s="1"/>
      <c r="M12" s="1">
        <v>2080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>
        <v>2080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23</v>
      </c>
      <c r="E13" s="18" t="s">
        <v>26</v>
      </c>
      <c r="F13" s="12">
        <f t="shared" si="2"/>
        <v>12000</v>
      </c>
      <c r="G13" s="12">
        <f t="shared" si="0"/>
        <v>12480</v>
      </c>
      <c r="H13" s="26">
        <v>0</v>
      </c>
      <c r="I13" s="1"/>
      <c r="J13" s="1">
        <v>3120</v>
      </c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>
        <v>2080</v>
      </c>
      <c r="V13" s="1"/>
      <c r="W13" s="1"/>
      <c r="X13" s="1"/>
      <c r="Y13" s="1">
        <v>2080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23</v>
      </c>
      <c r="E14" s="18" t="s">
        <v>27</v>
      </c>
      <c r="F14" s="12">
        <f t="shared" si="2"/>
        <v>25500</v>
      </c>
      <c r="G14" s="12">
        <f t="shared" si="0"/>
        <v>20800</v>
      </c>
      <c r="H14" s="26">
        <v>5500</v>
      </c>
      <c r="I14" s="1"/>
      <c r="J14" s="1">
        <v>3120</v>
      </c>
      <c r="K14" s="1">
        <v>5200</v>
      </c>
      <c r="L14" s="1"/>
      <c r="M14" s="1"/>
      <c r="N14" s="1"/>
      <c r="O14" s="1">
        <v>2080</v>
      </c>
      <c r="P14" s="1"/>
      <c r="Q14" s="1">
        <v>2080</v>
      </c>
      <c r="R14" s="1"/>
      <c r="S14" s="1">
        <v>2080</v>
      </c>
      <c r="T14" s="1"/>
      <c r="U14" s="1">
        <v>2080</v>
      </c>
      <c r="V14" s="1"/>
      <c r="W14" s="1">
        <v>2080</v>
      </c>
      <c r="X14" s="1"/>
      <c r="Y14" s="1"/>
      <c r="Z14" s="1">
        <v>2080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8000</v>
      </c>
      <c r="G15" s="12">
        <f t="shared" si="0"/>
        <v>6240</v>
      </c>
      <c r="H15" s="26">
        <v>2000</v>
      </c>
      <c r="I15" s="1"/>
      <c r="J15" s="1"/>
      <c r="K15" s="1">
        <v>2080</v>
      </c>
      <c r="L15" s="1"/>
      <c r="M15" s="1"/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>
        <v>2080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23</v>
      </c>
      <c r="E16" s="18" t="s">
        <v>30</v>
      </c>
      <c r="F16" s="12">
        <f t="shared" si="2"/>
        <v>6000</v>
      </c>
      <c r="G16" s="12">
        <f t="shared" si="0"/>
        <v>4160</v>
      </c>
      <c r="H16" s="26">
        <v>2000</v>
      </c>
      <c r="I16" s="1"/>
      <c r="J16" s="1"/>
      <c r="K16" s="1"/>
      <c r="L16" s="1"/>
      <c r="M16" s="1"/>
      <c r="N16" s="1"/>
      <c r="O16" s="1">
        <v>1040</v>
      </c>
      <c r="P16" s="1"/>
      <c r="Q16" s="1"/>
      <c r="R16" s="1"/>
      <c r="S16" s="1"/>
      <c r="T16" s="1"/>
      <c r="U16" s="1"/>
      <c r="V16" s="1">
        <v>1040</v>
      </c>
      <c r="W16" s="1"/>
      <c r="X16" s="1"/>
      <c r="Y16" s="1">
        <v>1040</v>
      </c>
      <c r="Z16" s="1">
        <v>1040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2080</v>
      </c>
      <c r="H17" s="26">
        <v>3000</v>
      </c>
      <c r="I17" s="1"/>
      <c r="J17" s="1"/>
      <c r="K17" s="1"/>
      <c r="L17" s="1"/>
      <c r="M17" s="1"/>
      <c r="N17" s="1"/>
      <c r="O17" s="1"/>
      <c r="P17" s="1"/>
      <c r="Q17" s="1">
        <v>2080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7" t="s">
        <v>33</v>
      </c>
      <c r="C18" s="11">
        <v>683909556</v>
      </c>
      <c r="D18" s="11" t="s">
        <v>23</v>
      </c>
      <c r="E18" s="28" t="s">
        <v>34</v>
      </c>
      <c r="F18" s="12">
        <f t="shared" si="2"/>
        <v>2000</v>
      </c>
      <c r="G18" s="12">
        <f t="shared" si="0"/>
        <v>0</v>
      </c>
      <c r="H18" s="26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23</v>
      </c>
      <c r="E19" s="18" t="s">
        <v>35</v>
      </c>
      <c r="F19" s="12">
        <f t="shared" ref="F19:F82" si="3">G19/1.04+H19</f>
        <v>6000</v>
      </c>
      <c r="G19" s="12">
        <f t="shared" si="0"/>
        <v>6240</v>
      </c>
      <c r="H19" s="26">
        <v>0</v>
      </c>
      <c r="I19" s="1"/>
      <c r="J19" s="1"/>
      <c r="K19" s="1"/>
      <c r="L19" s="1"/>
      <c r="M19" s="1"/>
      <c r="N19" s="1">
        <v>2080</v>
      </c>
      <c r="O19" s="1"/>
      <c r="P19" s="1"/>
      <c r="Q19" s="1"/>
      <c r="R19" s="1"/>
      <c r="S19" s="1"/>
      <c r="T19" s="1">
        <v>2080</v>
      </c>
      <c r="U19" s="1"/>
      <c r="V19" s="1"/>
      <c r="W19" s="1"/>
      <c r="X19" s="1">
        <v>2080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6">
        <v>0</v>
      </c>
      <c r="I20" s="1">
        <v>5200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36</v>
      </c>
      <c r="E21" s="18" t="s">
        <v>38</v>
      </c>
      <c r="F21" s="12">
        <f t="shared" si="3"/>
        <v>4000</v>
      </c>
      <c r="G21" s="12">
        <f t="shared" si="0"/>
        <v>4160</v>
      </c>
      <c r="H21" s="26">
        <v>0</v>
      </c>
      <c r="I21" s="1"/>
      <c r="J21" s="1"/>
      <c r="K21" s="1"/>
      <c r="L21" s="1">
        <v>2080</v>
      </c>
      <c r="M21" s="1"/>
      <c r="N21" s="1"/>
      <c r="O21" s="1"/>
      <c r="P21" s="1"/>
      <c r="Q21" s="1">
        <v>2080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6">
        <v>0</v>
      </c>
      <c r="I22" s="1"/>
      <c r="J22" s="1">
        <v>2080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36</v>
      </c>
      <c r="E23" s="18" t="s">
        <v>40</v>
      </c>
      <c r="F23" s="12">
        <f t="shared" si="3"/>
        <v>8000</v>
      </c>
      <c r="G23" s="12">
        <f t="shared" si="0"/>
        <v>8320</v>
      </c>
      <c r="H23" s="26">
        <v>0</v>
      </c>
      <c r="I23" s="1"/>
      <c r="J23" s="1"/>
      <c r="K23" s="1"/>
      <c r="L23" s="1"/>
      <c r="M23" s="1"/>
      <c r="N23" s="1"/>
      <c r="O23" s="1"/>
      <c r="P23" s="1"/>
      <c r="Q23" s="1">
        <v>2080</v>
      </c>
      <c r="R23" s="1"/>
      <c r="S23" s="1"/>
      <c r="T23" s="1"/>
      <c r="U23" s="1"/>
      <c r="V23" s="1">
        <v>2080</v>
      </c>
      <c r="W23" s="1">
        <v>2080</v>
      </c>
      <c r="X23" s="1"/>
      <c r="Y23" s="1"/>
      <c r="Z23" s="1">
        <v>2080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36</v>
      </c>
      <c r="E24" s="18" t="s">
        <v>41</v>
      </c>
      <c r="F24" s="12">
        <f t="shared" si="3"/>
        <v>3000</v>
      </c>
      <c r="G24" s="12">
        <f t="shared" si="0"/>
        <v>3120</v>
      </c>
      <c r="H24" s="26">
        <v>0</v>
      </c>
      <c r="I24" s="1"/>
      <c r="J24" s="1"/>
      <c r="K24" s="1">
        <v>1040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>
        <v>2080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36</v>
      </c>
      <c r="E25" s="18" t="s">
        <v>42</v>
      </c>
      <c r="F25" s="12">
        <f t="shared" si="3"/>
        <v>5000</v>
      </c>
      <c r="G25" s="12">
        <f t="shared" si="0"/>
        <v>5200</v>
      </c>
      <c r="H25" s="26">
        <v>0</v>
      </c>
      <c r="I25" s="1"/>
      <c r="J25" s="1">
        <v>2080</v>
      </c>
      <c r="K25" s="1"/>
      <c r="L25" s="1">
        <v>3120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36</v>
      </c>
      <c r="E26" s="18" t="s">
        <v>43</v>
      </c>
      <c r="F26" s="12">
        <f t="shared" si="3"/>
        <v>17000</v>
      </c>
      <c r="G26" s="12">
        <f t="shared" si="0"/>
        <v>17680</v>
      </c>
      <c r="H26" s="26">
        <v>0</v>
      </c>
      <c r="I26" s="1"/>
      <c r="J26" s="1">
        <v>3120</v>
      </c>
      <c r="K26" s="1"/>
      <c r="L26" s="1">
        <v>5200</v>
      </c>
      <c r="M26" s="1"/>
      <c r="N26" s="1"/>
      <c r="O26" s="1"/>
      <c r="P26" s="1"/>
      <c r="Q26" s="1"/>
      <c r="R26" s="1"/>
      <c r="S26" s="1">
        <v>2080</v>
      </c>
      <c r="T26" s="1"/>
      <c r="U26" s="1"/>
      <c r="V26" s="1">
        <v>5200</v>
      </c>
      <c r="W26" s="1"/>
      <c r="X26" s="1"/>
      <c r="Y26" s="1"/>
      <c r="Z26" s="1">
        <v>2080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6">
        <v>3000</v>
      </c>
      <c r="I27" s="1"/>
      <c r="K27" s="1">
        <v>3120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36</v>
      </c>
      <c r="E28" s="18" t="s">
        <v>45</v>
      </c>
      <c r="F28" s="12">
        <f t="shared" si="3"/>
        <v>14000</v>
      </c>
      <c r="G28" s="12">
        <f t="shared" si="0"/>
        <v>13520</v>
      </c>
      <c r="H28" s="26">
        <v>1000</v>
      </c>
      <c r="I28" s="1"/>
      <c r="J28" s="1">
        <v>1040</v>
      </c>
      <c r="K28" s="1"/>
      <c r="L28" s="1">
        <v>2080</v>
      </c>
      <c r="M28" s="1"/>
      <c r="N28" s="1"/>
      <c r="O28" s="1">
        <v>2080</v>
      </c>
      <c r="P28" s="1"/>
      <c r="Q28" s="1">
        <v>2080</v>
      </c>
      <c r="R28" s="1"/>
      <c r="S28" s="1"/>
      <c r="T28" s="1"/>
      <c r="U28" s="1">
        <v>2080</v>
      </c>
      <c r="W28" s="1"/>
      <c r="X28" s="1"/>
      <c r="Y28" s="1">
        <v>2080</v>
      </c>
      <c r="Z28" s="1">
        <v>2080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36</v>
      </c>
      <c r="E29" s="18" t="s">
        <v>46</v>
      </c>
      <c r="F29" s="12">
        <f t="shared" si="3"/>
        <v>6000</v>
      </c>
      <c r="G29" s="12">
        <f t="shared" si="0"/>
        <v>6240</v>
      </c>
      <c r="H29" s="26">
        <v>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2080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36</v>
      </c>
      <c r="E30" s="18" t="s">
        <v>47</v>
      </c>
      <c r="F30" s="12">
        <f t="shared" si="3"/>
        <v>7000</v>
      </c>
      <c r="G30" s="12">
        <f t="shared" si="0"/>
        <v>7280</v>
      </c>
      <c r="H30" s="26">
        <v>0</v>
      </c>
      <c r="I30" s="1"/>
      <c r="J30" s="1">
        <v>1040</v>
      </c>
      <c r="K30" s="1"/>
      <c r="L30" s="1"/>
      <c r="M30" s="1"/>
      <c r="N30" s="1"/>
      <c r="O30" s="1"/>
      <c r="P30" s="1"/>
      <c r="Q30" s="1"/>
      <c r="R30" s="1">
        <v>2080</v>
      </c>
      <c r="S30" s="1"/>
      <c r="T30" s="1"/>
      <c r="U30" s="1"/>
      <c r="V30" s="1">
        <v>2080</v>
      </c>
      <c r="W30" s="1"/>
      <c r="X30" s="1">
        <v>2080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36</v>
      </c>
      <c r="E31" s="18" t="s">
        <v>48</v>
      </c>
      <c r="F31" s="12">
        <f t="shared" si="3"/>
        <v>4000</v>
      </c>
      <c r="G31" s="12">
        <f t="shared" si="0"/>
        <v>4160</v>
      </c>
      <c r="H31" s="26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v>2080</v>
      </c>
      <c r="U31" s="1"/>
      <c r="V31" s="1"/>
      <c r="W31" s="1"/>
      <c r="X31" s="1">
        <v>2080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36</v>
      </c>
      <c r="E32" s="18" t="s">
        <v>49</v>
      </c>
      <c r="F32" s="12">
        <f t="shared" si="3"/>
        <v>35500</v>
      </c>
      <c r="G32" s="12">
        <f t="shared" si="0"/>
        <v>30160</v>
      </c>
      <c r="H32" s="26">
        <v>6500</v>
      </c>
      <c r="I32" s="1"/>
      <c r="J32" s="1">
        <v>3120</v>
      </c>
      <c r="K32" s="1">
        <v>5200</v>
      </c>
      <c r="L32" s="1"/>
      <c r="M32" s="1"/>
      <c r="N32" s="1"/>
      <c r="O32" s="1">
        <v>2080</v>
      </c>
      <c r="P32" s="1"/>
      <c r="Q32" s="1">
        <v>2080</v>
      </c>
      <c r="R32" s="1"/>
      <c r="S32" s="1">
        <v>2080</v>
      </c>
      <c r="T32" s="1">
        <v>2080</v>
      </c>
      <c r="U32" s="1">
        <v>2080</v>
      </c>
      <c r="V32" s="1"/>
      <c r="W32" s="1">
        <v>2080</v>
      </c>
      <c r="X32" s="1">
        <v>2080</v>
      </c>
      <c r="Y32" s="1">
        <v>2080</v>
      </c>
      <c r="Z32" s="1">
        <v>5200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36</v>
      </c>
      <c r="E33" s="18" t="s">
        <v>50</v>
      </c>
      <c r="F33" s="12">
        <f t="shared" si="3"/>
        <v>6000</v>
      </c>
      <c r="G33" s="12">
        <f t="shared" si="0"/>
        <v>6240</v>
      </c>
      <c r="H33" s="26">
        <v>0</v>
      </c>
      <c r="I33" s="1"/>
      <c r="J33" s="1"/>
      <c r="K33" s="1">
        <v>2080</v>
      </c>
      <c r="L33" s="1"/>
      <c r="M33" s="1"/>
      <c r="N33" s="1"/>
      <c r="O33" s="1"/>
      <c r="P33" s="1"/>
      <c r="Q33" s="1"/>
      <c r="R33" s="1"/>
      <c r="S33" s="1">
        <v>2080</v>
      </c>
      <c r="T33" s="1"/>
      <c r="U33" s="1"/>
      <c r="V33" s="1">
        <v>2080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51</v>
      </c>
      <c r="E34" s="18" t="s">
        <v>52</v>
      </c>
      <c r="F34" s="12">
        <f t="shared" si="3"/>
        <v>3000</v>
      </c>
      <c r="G34" s="12">
        <f t="shared" si="0"/>
        <v>3120</v>
      </c>
      <c r="H34" s="26">
        <v>0</v>
      </c>
      <c r="I34" s="1">
        <v>1040</v>
      </c>
      <c r="J34" s="1"/>
      <c r="K34" s="1"/>
      <c r="L34" s="1">
        <v>2080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51</v>
      </c>
      <c r="E35" s="18" t="s">
        <v>53</v>
      </c>
      <c r="F35" s="12">
        <f t="shared" si="3"/>
        <v>4000</v>
      </c>
      <c r="G35" s="12">
        <f t="shared" si="0"/>
        <v>4160</v>
      </c>
      <c r="H35" s="26">
        <v>0</v>
      </c>
      <c r="I35" s="1"/>
      <c r="J35" s="1"/>
      <c r="K35" s="1">
        <v>2080</v>
      </c>
      <c r="L35" s="1"/>
      <c r="M35" s="1"/>
      <c r="N35" s="1"/>
      <c r="O35" s="1"/>
      <c r="P35" s="1"/>
      <c r="Q35" s="1"/>
      <c r="R35" s="1">
        <v>2080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6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51</v>
      </c>
      <c r="E37" s="18" t="s">
        <v>55</v>
      </c>
      <c r="F37" s="12">
        <f t="shared" si="3"/>
        <v>19000</v>
      </c>
      <c r="G37" s="12">
        <f t="shared" si="0"/>
        <v>19760</v>
      </c>
      <c r="H37" s="26">
        <v>0</v>
      </c>
      <c r="I37" s="1"/>
      <c r="K37" s="1">
        <v>5200</v>
      </c>
      <c r="L37" s="1"/>
      <c r="M37" s="1"/>
      <c r="N37" s="1">
        <v>2080</v>
      </c>
      <c r="O37" s="1"/>
      <c r="P37" s="1"/>
      <c r="Q37" s="1"/>
      <c r="R37" s="1">
        <v>2080</v>
      </c>
      <c r="S37" s="1">
        <v>2080</v>
      </c>
      <c r="T37" s="1">
        <v>2080</v>
      </c>
      <c r="U37" s="1">
        <v>2080</v>
      </c>
      <c r="V37" s="1"/>
      <c r="W37" s="1"/>
      <c r="X37" s="1">
        <v>2080</v>
      </c>
      <c r="Y37" s="1">
        <v>2080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6">
        <v>0</v>
      </c>
      <c r="I38" s="1">
        <v>1040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51</v>
      </c>
      <c r="E39" s="18" t="s">
        <v>57</v>
      </c>
      <c r="F39" s="12">
        <f t="shared" si="3"/>
        <v>8000</v>
      </c>
      <c r="G39" s="12">
        <f t="shared" si="0"/>
        <v>8320</v>
      </c>
      <c r="H39" s="26">
        <v>0</v>
      </c>
      <c r="I39" s="1"/>
      <c r="J39" s="1">
        <v>2080</v>
      </c>
      <c r="K39" s="1"/>
      <c r="L39" s="1">
        <v>2080</v>
      </c>
      <c r="M39" s="1"/>
      <c r="N39" s="1"/>
      <c r="O39" s="1"/>
      <c r="P39" s="1"/>
      <c r="Q39" s="1"/>
      <c r="R39" s="1">
        <v>2080</v>
      </c>
      <c r="S39" s="1"/>
      <c r="T39" s="1"/>
      <c r="U39" s="1"/>
      <c r="V39" s="1"/>
      <c r="W39" s="1"/>
      <c r="X39" s="1">
        <v>2080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51</v>
      </c>
      <c r="E40" s="18" t="s">
        <v>58</v>
      </c>
      <c r="F40" s="12">
        <f t="shared" si="3"/>
        <v>4000</v>
      </c>
      <c r="G40" s="12">
        <f t="shared" si="0"/>
        <v>4160</v>
      </c>
      <c r="H40" s="26">
        <v>0</v>
      </c>
      <c r="I40" s="1">
        <v>2080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>
        <v>2080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51</v>
      </c>
      <c r="E41" s="18" t="s">
        <v>59</v>
      </c>
      <c r="F41" s="12">
        <f t="shared" si="3"/>
        <v>6000</v>
      </c>
      <c r="G41" s="12">
        <f t="shared" si="0"/>
        <v>6240</v>
      </c>
      <c r="H41" s="26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>
        <v>2080</v>
      </c>
      <c r="W41" s="1"/>
      <c r="X41" s="1"/>
      <c r="Y41" s="1">
        <v>2080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51</v>
      </c>
      <c r="E42" s="18" t="s">
        <v>60</v>
      </c>
      <c r="F42" s="12">
        <f t="shared" si="3"/>
        <v>4000</v>
      </c>
      <c r="G42" s="12">
        <f t="shared" si="0"/>
        <v>2080</v>
      </c>
      <c r="H42" s="26">
        <v>2000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>
        <v>2080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51</v>
      </c>
      <c r="E43" s="18" t="s">
        <v>61</v>
      </c>
      <c r="F43" s="12">
        <f t="shared" si="3"/>
        <v>27000</v>
      </c>
      <c r="G43" s="12">
        <f t="shared" si="0"/>
        <v>23920</v>
      </c>
      <c r="H43" s="26">
        <v>4000</v>
      </c>
      <c r="I43" s="1"/>
      <c r="J43" s="1">
        <v>2080</v>
      </c>
      <c r="K43" s="1">
        <v>3120</v>
      </c>
      <c r="L43" s="1"/>
      <c r="M43" s="1"/>
      <c r="N43" s="1"/>
      <c r="O43" s="1">
        <v>2080</v>
      </c>
      <c r="P43" s="1">
        <v>2080</v>
      </c>
      <c r="Q43" s="1">
        <v>2080</v>
      </c>
      <c r="R43" s="1"/>
      <c r="S43" s="1">
        <v>2080</v>
      </c>
      <c r="T43" s="1"/>
      <c r="U43" s="1">
        <v>2080</v>
      </c>
      <c r="V43" s="1"/>
      <c r="W43" s="1">
        <v>2080</v>
      </c>
      <c r="X43" s="1">
        <v>2080</v>
      </c>
      <c r="Y43" s="1">
        <v>2080</v>
      </c>
      <c r="Z43" s="1">
        <v>2080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51</v>
      </c>
      <c r="E44" s="18" t="s">
        <v>62</v>
      </c>
      <c r="F44" s="12">
        <f t="shared" si="3"/>
        <v>4000</v>
      </c>
      <c r="G44" s="12">
        <f t="shared" si="0"/>
        <v>4160</v>
      </c>
      <c r="H44" s="26">
        <v>0</v>
      </c>
      <c r="I44" s="1"/>
      <c r="J44" s="1"/>
      <c r="K44" s="1"/>
      <c r="L44" s="1"/>
      <c r="M44" s="1"/>
      <c r="N44" s="1">
        <v>2080</v>
      </c>
      <c r="O44" s="1"/>
      <c r="P44" s="1"/>
      <c r="Q44" s="1"/>
      <c r="R44" s="1"/>
      <c r="S44" s="1"/>
      <c r="T44" s="1"/>
      <c r="U44" s="1"/>
      <c r="V44" s="1">
        <v>2080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51</v>
      </c>
      <c r="E45" s="18" t="s">
        <v>63</v>
      </c>
      <c r="F45" s="12">
        <f t="shared" si="3"/>
        <v>12000</v>
      </c>
      <c r="G45" s="12">
        <f t="shared" si="0"/>
        <v>12480</v>
      </c>
      <c r="H45" s="26">
        <v>0</v>
      </c>
      <c r="I45" s="1"/>
      <c r="J45" s="1"/>
      <c r="K45" s="1"/>
      <c r="L45" s="1">
        <v>2080</v>
      </c>
      <c r="M45" s="1"/>
      <c r="N45" s="1">
        <v>2080</v>
      </c>
      <c r="O45" s="1"/>
      <c r="P45" s="1"/>
      <c r="Q45" s="1"/>
      <c r="R45" s="1">
        <v>2080</v>
      </c>
      <c r="S45" s="1"/>
      <c r="T45" s="1"/>
      <c r="U45" s="1">
        <v>2080</v>
      </c>
      <c r="V45" s="1"/>
      <c r="W45" s="1"/>
      <c r="X45" s="1">
        <v>2080</v>
      </c>
      <c r="Y45" s="1"/>
      <c r="Z45" s="1">
        <v>2080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64</v>
      </c>
      <c r="E46" s="18" t="s">
        <v>65</v>
      </c>
      <c r="F46" s="12">
        <f t="shared" si="3"/>
        <v>13000</v>
      </c>
      <c r="G46" s="12">
        <f t="shared" si="0"/>
        <v>10400</v>
      </c>
      <c r="H46" s="26">
        <v>3000</v>
      </c>
      <c r="I46" s="1"/>
      <c r="J46" s="1">
        <v>2080</v>
      </c>
      <c r="K46" s="1"/>
      <c r="L46" s="1">
        <v>2080</v>
      </c>
      <c r="M46" s="1"/>
      <c r="N46" s="1"/>
      <c r="O46" s="1"/>
      <c r="P46" s="1">
        <v>2080</v>
      </c>
      <c r="Q46" s="1"/>
      <c r="R46" s="1">
        <v>2080</v>
      </c>
      <c r="S46" s="1"/>
      <c r="T46" s="1"/>
      <c r="U46" s="1"/>
      <c r="V46" s="1"/>
      <c r="W46" s="1"/>
      <c r="X46" s="1"/>
      <c r="Y46" s="1">
        <v>2080</v>
      </c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64</v>
      </c>
      <c r="E47" s="18" t="s">
        <v>66</v>
      </c>
      <c r="F47" s="12">
        <f t="shared" si="3"/>
        <v>16000</v>
      </c>
      <c r="G47" s="12">
        <f t="shared" si="0"/>
        <v>13520</v>
      </c>
      <c r="H47" s="26">
        <v>3000</v>
      </c>
      <c r="I47" s="1"/>
      <c r="J47" s="1"/>
      <c r="K47" s="1"/>
      <c r="L47" s="1">
        <v>2080</v>
      </c>
      <c r="M47" s="1"/>
      <c r="N47" s="1">
        <v>3120</v>
      </c>
      <c r="O47" s="1"/>
      <c r="P47" s="1"/>
      <c r="Q47" s="1"/>
      <c r="R47" s="1"/>
      <c r="S47" s="1">
        <v>2080</v>
      </c>
      <c r="T47" s="1">
        <v>2080</v>
      </c>
      <c r="U47" s="1"/>
      <c r="V47" s="1">
        <v>2080</v>
      </c>
      <c r="W47" s="1"/>
      <c r="X47" s="1"/>
      <c r="Y47" s="1"/>
      <c r="Z47" s="1">
        <v>2080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64</v>
      </c>
      <c r="E48" s="18" t="s">
        <v>67</v>
      </c>
      <c r="F48" s="12">
        <f t="shared" si="3"/>
        <v>4000</v>
      </c>
      <c r="G48" s="12">
        <f t="shared" si="0"/>
        <v>2080</v>
      </c>
      <c r="H48" s="26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>
        <v>2080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64</v>
      </c>
      <c r="E49" s="18" t="s">
        <v>68</v>
      </c>
      <c r="F49" s="12">
        <f t="shared" si="3"/>
        <v>32000</v>
      </c>
      <c r="G49" s="12">
        <f t="shared" si="0"/>
        <v>28080</v>
      </c>
      <c r="H49" s="26">
        <v>5000</v>
      </c>
      <c r="I49" s="1"/>
      <c r="J49" s="1">
        <v>2080</v>
      </c>
      <c r="K49" s="1">
        <v>3120</v>
      </c>
      <c r="L49" s="1"/>
      <c r="M49" s="1">
        <v>2080</v>
      </c>
      <c r="N49" s="11">
        <v>2080</v>
      </c>
      <c r="O49" s="1"/>
      <c r="P49" s="1">
        <v>2080</v>
      </c>
      <c r="Q49" s="1">
        <v>2080</v>
      </c>
      <c r="R49" s="1">
        <v>2080</v>
      </c>
      <c r="S49" s="1"/>
      <c r="T49" s="1">
        <v>2080</v>
      </c>
      <c r="U49" s="1">
        <v>2080</v>
      </c>
      <c r="V49" s="1"/>
      <c r="W49" s="1">
        <v>2080</v>
      </c>
      <c r="X49" s="1">
        <v>2080</v>
      </c>
      <c r="Y49" s="1">
        <v>2080</v>
      </c>
      <c r="Z49" s="1">
        <v>2080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64</v>
      </c>
      <c r="E50" s="18" t="s">
        <v>69</v>
      </c>
      <c r="F50" s="12">
        <f t="shared" si="3"/>
        <v>3000</v>
      </c>
      <c r="G50" s="12">
        <f t="shared" si="0"/>
        <v>0</v>
      </c>
      <c r="H50" s="26">
        <v>3000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64</v>
      </c>
      <c r="E51" s="18" t="s">
        <v>70</v>
      </c>
      <c r="F51" s="12">
        <f t="shared" si="3"/>
        <v>2000</v>
      </c>
      <c r="G51" s="12">
        <f t="shared" si="0"/>
        <v>2080</v>
      </c>
      <c r="H51" s="26">
        <v>0</v>
      </c>
      <c r="I51" s="1">
        <v>2080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6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64</v>
      </c>
      <c r="E53" s="18" t="s">
        <v>72</v>
      </c>
      <c r="F53" s="12">
        <f t="shared" si="3"/>
        <v>10000</v>
      </c>
      <c r="G53" s="12">
        <f t="shared" si="0"/>
        <v>10400</v>
      </c>
      <c r="H53" s="26">
        <v>0</v>
      </c>
      <c r="I53" s="1">
        <v>1040</v>
      </c>
      <c r="J53" s="1"/>
      <c r="K53" s="1">
        <v>1040</v>
      </c>
      <c r="L53" s="1"/>
      <c r="M53" s="1">
        <v>2080</v>
      </c>
      <c r="N53" s="1"/>
      <c r="O53" s="1"/>
      <c r="P53" s="1">
        <v>2080</v>
      </c>
      <c r="Q53" s="1"/>
      <c r="R53" s="1"/>
      <c r="S53" s="1"/>
      <c r="T53" s="1">
        <v>2080</v>
      </c>
      <c r="U53" s="1"/>
      <c r="V53" s="1"/>
      <c r="W53" s="1">
        <v>2080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64</v>
      </c>
      <c r="E54" s="18" t="s">
        <v>73</v>
      </c>
      <c r="F54" s="12">
        <f t="shared" si="3"/>
        <v>19000</v>
      </c>
      <c r="G54" s="12">
        <f t="shared" si="0"/>
        <v>19760</v>
      </c>
      <c r="H54" s="26">
        <v>0</v>
      </c>
      <c r="I54" s="1">
        <v>2080</v>
      </c>
      <c r="J54" s="1">
        <v>1040</v>
      </c>
      <c r="K54" s="1">
        <v>2080</v>
      </c>
      <c r="L54" s="1"/>
      <c r="M54" s="1">
        <v>2080</v>
      </c>
      <c r="N54" s="1"/>
      <c r="O54" s="1">
        <v>2080</v>
      </c>
      <c r="P54" s="1">
        <v>2080</v>
      </c>
      <c r="Q54" s="1"/>
      <c r="R54" s="1">
        <v>2080</v>
      </c>
      <c r="S54" s="1"/>
      <c r="T54" s="1">
        <v>2080</v>
      </c>
      <c r="U54" s="1"/>
      <c r="V54" s="1"/>
      <c r="W54" s="1"/>
      <c r="X54" s="1"/>
      <c r="Y54" s="1">
        <v>2080</v>
      </c>
      <c r="Z54" s="1">
        <v>2080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7"/>
      <c r="D55" s="11" t="s">
        <v>64</v>
      </c>
      <c r="E55" s="28" t="s">
        <v>74</v>
      </c>
      <c r="F55" s="12">
        <f t="shared" si="3"/>
        <v>2000</v>
      </c>
      <c r="G55" s="12">
        <f t="shared" si="0"/>
        <v>2080</v>
      </c>
      <c r="H55" s="26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>
        <v>2080</v>
      </c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7"/>
      <c r="D56" s="11" t="s">
        <v>64</v>
      </c>
      <c r="E56" s="28" t="s">
        <v>75</v>
      </c>
      <c r="F56" s="12">
        <f t="shared" si="3"/>
        <v>2000</v>
      </c>
      <c r="G56" s="12">
        <f t="shared" si="0"/>
        <v>0</v>
      </c>
      <c r="H56" s="26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7"/>
      <c r="D57" s="11" t="s">
        <v>64</v>
      </c>
      <c r="E57" s="28" t="s">
        <v>76</v>
      </c>
      <c r="F57" s="12">
        <f t="shared" si="3"/>
        <v>0</v>
      </c>
      <c r="G57" s="12">
        <f t="shared" si="0"/>
        <v>0</v>
      </c>
      <c r="H57" s="26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77</v>
      </c>
      <c r="E58" s="18" t="s">
        <v>78</v>
      </c>
      <c r="F58" s="12">
        <f t="shared" si="3"/>
        <v>10000</v>
      </c>
      <c r="G58" s="12">
        <f t="shared" si="0"/>
        <v>8320</v>
      </c>
      <c r="H58" s="26">
        <v>2000</v>
      </c>
      <c r="I58" s="1"/>
      <c r="J58" s="1"/>
      <c r="K58" s="1">
        <v>2080</v>
      </c>
      <c r="L58" s="1"/>
      <c r="M58" s="1"/>
      <c r="N58" s="1"/>
      <c r="O58" s="1"/>
      <c r="P58" s="1">
        <v>2080</v>
      </c>
      <c r="Q58" s="1"/>
      <c r="R58" s="1"/>
      <c r="S58" s="1"/>
      <c r="T58" s="1"/>
      <c r="U58" s="1"/>
      <c r="V58" s="1"/>
      <c r="W58" s="1">
        <v>2080</v>
      </c>
      <c r="X58" s="1"/>
      <c r="Y58" s="1">
        <v>2080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77</v>
      </c>
      <c r="E59" s="18" t="s">
        <v>79</v>
      </c>
      <c r="F59" s="12">
        <f t="shared" si="3"/>
        <v>34000</v>
      </c>
      <c r="G59" s="12">
        <f t="shared" si="0"/>
        <v>24960</v>
      </c>
      <c r="H59" s="26">
        <v>10000</v>
      </c>
      <c r="I59" s="1"/>
      <c r="J59" s="1"/>
      <c r="K59" s="1">
        <v>5200</v>
      </c>
      <c r="L59" s="1"/>
      <c r="M59" s="1"/>
      <c r="N59" s="1">
        <v>2080</v>
      </c>
      <c r="O59" s="1"/>
      <c r="P59" s="1">
        <v>2080</v>
      </c>
      <c r="Q59" s="1">
        <v>2080</v>
      </c>
      <c r="R59" s="1">
        <v>2080</v>
      </c>
      <c r="S59" s="1">
        <v>2080</v>
      </c>
      <c r="T59" s="1"/>
      <c r="U59" s="1"/>
      <c r="V59" s="1"/>
      <c r="W59" s="1">
        <v>2080</v>
      </c>
      <c r="Y59" s="1">
        <v>2080</v>
      </c>
      <c r="Z59" s="1">
        <v>5200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77</v>
      </c>
      <c r="E60" s="18" t="s">
        <v>80</v>
      </c>
      <c r="F60" s="12">
        <f t="shared" si="3"/>
        <v>11000</v>
      </c>
      <c r="G60" s="12">
        <f t="shared" si="0"/>
        <v>6240</v>
      </c>
      <c r="H60" s="26">
        <v>5000</v>
      </c>
      <c r="I60" s="1"/>
      <c r="J60" s="1"/>
      <c r="K60" s="1"/>
      <c r="L60" s="1"/>
      <c r="M60" s="1">
        <v>2080</v>
      </c>
      <c r="N60" s="1"/>
      <c r="O60" s="1"/>
      <c r="P60" s="1"/>
      <c r="Q60" s="1"/>
      <c r="R60" s="1"/>
      <c r="S60" s="1"/>
      <c r="T60" s="1"/>
      <c r="U60" s="1"/>
      <c r="V60" s="1"/>
      <c r="W60" s="1">
        <v>2080</v>
      </c>
      <c r="Y60" s="1">
        <v>2080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77</v>
      </c>
      <c r="E61" s="18" t="s">
        <v>81</v>
      </c>
      <c r="F61" s="12">
        <f t="shared" si="3"/>
        <v>3000</v>
      </c>
      <c r="G61" s="12">
        <f t="shared" si="0"/>
        <v>2080</v>
      </c>
      <c r="H61" s="26">
        <v>1000</v>
      </c>
      <c r="I61" s="1"/>
      <c r="J61" s="1"/>
      <c r="K61" s="1"/>
      <c r="L61" s="1">
        <v>2080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7"/>
      <c r="D62" s="11" t="s">
        <v>82</v>
      </c>
      <c r="E62" s="28" t="s">
        <v>83</v>
      </c>
      <c r="F62" s="12">
        <f t="shared" si="3"/>
        <v>24000</v>
      </c>
      <c r="G62" s="12">
        <f t="shared" si="0"/>
        <v>24960</v>
      </c>
      <c r="H62" s="26">
        <v>0</v>
      </c>
      <c r="I62" s="1"/>
      <c r="J62" s="1"/>
      <c r="K62" s="1">
        <v>5200</v>
      </c>
      <c r="L62" s="1"/>
      <c r="M62" s="1"/>
      <c r="N62" s="1"/>
      <c r="O62" s="1"/>
      <c r="P62" s="1">
        <v>4160</v>
      </c>
      <c r="Q62" s="1"/>
      <c r="R62" s="1">
        <v>2080</v>
      </c>
      <c r="S62" s="1"/>
      <c r="T62" s="1">
        <v>2080</v>
      </c>
      <c r="U62" s="1"/>
      <c r="V62" s="1"/>
      <c r="W62" s="1">
        <v>2080</v>
      </c>
      <c r="X62" s="1">
        <v>2080</v>
      </c>
      <c r="Y62" s="1">
        <v>2080</v>
      </c>
      <c r="Z62" s="1">
        <v>5200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7"/>
      <c r="D63" s="11" t="s">
        <v>82</v>
      </c>
      <c r="E63" s="28" t="s">
        <v>84</v>
      </c>
      <c r="F63" s="12">
        <f t="shared" si="3"/>
        <v>1100</v>
      </c>
      <c r="G63" s="12">
        <f t="shared" si="0"/>
        <v>0</v>
      </c>
      <c r="H63" s="26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7000</v>
      </c>
      <c r="G64" s="12">
        <f t="shared" si="0"/>
        <v>7280</v>
      </c>
      <c r="H64" s="26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>
        <v>2080</v>
      </c>
      <c r="T64" s="1"/>
      <c r="U64" s="1"/>
      <c r="V64" s="1">
        <v>5200</v>
      </c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2">
        <f t="shared" si="3"/>
        <v>8000</v>
      </c>
      <c r="G65" s="12">
        <f t="shared" si="0"/>
        <v>6240</v>
      </c>
      <c r="H65" s="21">
        <v>2000</v>
      </c>
      <c r="I65" s="1"/>
      <c r="J65" s="1"/>
      <c r="K65" s="1"/>
      <c r="L65" s="1">
        <v>2080</v>
      </c>
      <c r="M65" s="1"/>
      <c r="N65" s="1"/>
      <c r="O65" s="1"/>
      <c r="P65" s="1">
        <v>2080</v>
      </c>
      <c r="Q65" s="1"/>
      <c r="R65" s="1"/>
      <c r="S65" s="1"/>
      <c r="T65" s="1"/>
      <c r="U65" s="1"/>
      <c r="V65" s="1"/>
      <c r="W65" s="1"/>
      <c r="X65" s="1">
        <v>2080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7"/>
      <c r="D66" s="11" t="s">
        <v>88</v>
      </c>
      <c r="E66" s="28" t="s">
        <v>90</v>
      </c>
      <c r="F66" s="12">
        <f t="shared" si="3"/>
        <v>8000</v>
      </c>
      <c r="G66" s="12">
        <f t="shared" ref="G66:G96" si="4">SUM(I66:AM66)</f>
        <v>0</v>
      </c>
      <c r="H66" s="26">
        <v>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7"/>
      <c r="D67" s="11" t="s">
        <v>91</v>
      </c>
      <c r="E67" s="28" t="s">
        <v>92</v>
      </c>
      <c r="F67" s="12">
        <f t="shared" si="3"/>
        <v>6000</v>
      </c>
      <c r="G67" s="12">
        <f t="shared" si="4"/>
        <v>6240</v>
      </c>
      <c r="H67" s="26">
        <v>0</v>
      </c>
      <c r="I67" s="1"/>
      <c r="J67" s="1">
        <v>2080</v>
      </c>
      <c r="K67" s="1"/>
      <c r="L67" s="1"/>
      <c r="M67" s="1"/>
      <c r="N67" s="1"/>
      <c r="O67" s="1">
        <v>2080</v>
      </c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8" t="s">
        <v>94</v>
      </c>
      <c r="F68" s="12">
        <f t="shared" si="3"/>
        <v>8000</v>
      </c>
      <c r="G68" s="12">
        <f t="shared" si="4"/>
        <v>8320</v>
      </c>
      <c r="H68" s="26">
        <v>0</v>
      </c>
      <c r="I68" s="1"/>
      <c r="J68" s="1"/>
      <c r="K68" s="1"/>
      <c r="L68" s="1">
        <v>2080</v>
      </c>
      <c r="M68" s="1"/>
      <c r="N68" s="1"/>
      <c r="O68" s="1"/>
      <c r="P68" s="1"/>
      <c r="Q68" s="1"/>
      <c r="R68" s="1"/>
      <c r="S68" s="1">
        <v>2080</v>
      </c>
      <c r="T68" s="1"/>
      <c r="U68" s="1"/>
      <c r="V68" s="1"/>
      <c r="W68" s="1">
        <v>2080</v>
      </c>
      <c r="X68" s="1"/>
      <c r="Y68" s="1">
        <v>2080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8" t="s">
        <v>95</v>
      </c>
      <c r="F69" s="12">
        <f t="shared" si="3"/>
        <v>4000</v>
      </c>
      <c r="G69" s="12">
        <f t="shared" si="4"/>
        <v>4160</v>
      </c>
      <c r="H69" s="26">
        <v>0</v>
      </c>
      <c r="I69" s="1"/>
      <c r="J69" s="1"/>
      <c r="K69" s="1"/>
      <c r="L69" s="1"/>
      <c r="M69" s="1"/>
      <c r="N69" s="1"/>
      <c r="O69" s="1"/>
      <c r="P69" s="1"/>
      <c r="Q69" s="1">
        <v>2080</v>
      </c>
      <c r="R69" s="1"/>
      <c r="S69" s="1"/>
      <c r="T69" s="1"/>
      <c r="U69" s="1"/>
      <c r="V69" s="1"/>
      <c r="W69" s="1"/>
      <c r="X69" s="1"/>
      <c r="Y69" s="1">
        <v>2080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8" t="s">
        <v>96</v>
      </c>
      <c r="F70" s="12">
        <f t="shared" si="3"/>
        <v>2000</v>
      </c>
      <c r="G70" s="12">
        <f t="shared" si="4"/>
        <v>2080</v>
      </c>
      <c r="H70" s="26"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>
        <v>2080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8" t="s">
        <v>97</v>
      </c>
      <c r="F71" s="12">
        <f t="shared" si="3"/>
        <v>3000</v>
      </c>
      <c r="G71" s="12">
        <f t="shared" si="4"/>
        <v>2080</v>
      </c>
      <c r="H71" s="26">
        <v>1000</v>
      </c>
      <c r="I71" s="1"/>
      <c r="J71" s="1"/>
      <c r="K71" s="1"/>
      <c r="L71" s="1"/>
      <c r="M71" s="1"/>
      <c r="N71" s="1"/>
      <c r="O71" s="1"/>
      <c r="P71" s="1"/>
      <c r="Q71" s="1"/>
      <c r="R71" s="1">
        <v>2080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8" t="s">
        <v>98</v>
      </c>
      <c r="F72" s="12">
        <f t="shared" si="3"/>
        <v>51000</v>
      </c>
      <c r="G72" s="12">
        <f t="shared" si="4"/>
        <v>42640</v>
      </c>
      <c r="H72" s="26">
        <v>10000</v>
      </c>
      <c r="I72" s="1">
        <v>5200</v>
      </c>
      <c r="J72" s="1"/>
      <c r="K72" s="1">
        <v>5200</v>
      </c>
      <c r="L72" s="1"/>
      <c r="M72" s="1"/>
      <c r="N72" s="1">
        <v>2080</v>
      </c>
      <c r="O72" s="1">
        <v>2080</v>
      </c>
      <c r="P72" s="1">
        <v>2080</v>
      </c>
      <c r="Q72" s="1">
        <v>5200</v>
      </c>
      <c r="R72" s="1">
        <v>5200</v>
      </c>
      <c r="S72" s="1"/>
      <c r="T72" s="1">
        <v>5200</v>
      </c>
      <c r="U72" s="1"/>
      <c r="V72" s="1"/>
      <c r="W72" s="1">
        <v>5200</v>
      </c>
      <c r="X72" s="1"/>
      <c r="Y72" s="1">
        <v>5200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8" t="s">
        <v>99</v>
      </c>
      <c r="F73" s="12">
        <f t="shared" si="3"/>
        <v>19000</v>
      </c>
      <c r="G73" s="12">
        <f t="shared" si="4"/>
        <v>19760</v>
      </c>
      <c r="H73" s="26">
        <v>0</v>
      </c>
      <c r="I73" s="1">
        <v>3120</v>
      </c>
      <c r="J73" s="1"/>
      <c r="K73" s="1"/>
      <c r="L73" s="1"/>
      <c r="M73" s="1">
        <v>2080</v>
      </c>
      <c r="O73" s="1">
        <v>2080</v>
      </c>
      <c r="P73" s="1"/>
      <c r="Q73" s="1">
        <v>2080</v>
      </c>
      <c r="R73" s="1">
        <v>2080</v>
      </c>
      <c r="S73" s="1"/>
      <c r="T73" s="1">
        <v>2080</v>
      </c>
      <c r="U73" s="1">
        <v>2080</v>
      </c>
      <c r="V73" s="1"/>
      <c r="W73" s="1">
        <v>2080</v>
      </c>
      <c r="X73" s="1"/>
      <c r="Y73" s="1">
        <v>2080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7"/>
      <c r="D74" s="11" t="s">
        <v>93</v>
      </c>
      <c r="E74" s="28" t="s">
        <v>100</v>
      </c>
      <c r="F74" s="12">
        <f t="shared" si="3"/>
        <v>8000</v>
      </c>
      <c r="G74" s="12">
        <f t="shared" si="4"/>
        <v>8320</v>
      </c>
      <c r="H74" s="26">
        <v>0</v>
      </c>
      <c r="I74" s="1"/>
      <c r="K74" s="1">
        <v>2080</v>
      </c>
      <c r="L74" s="1"/>
      <c r="M74" s="1"/>
      <c r="N74" s="1"/>
      <c r="O74" s="1"/>
      <c r="P74" s="1">
        <v>2080</v>
      </c>
      <c r="Q74" s="1"/>
      <c r="R74" s="1"/>
      <c r="S74" s="1">
        <v>2080</v>
      </c>
      <c r="T74" s="1"/>
      <c r="U74" s="1"/>
      <c r="V74" s="1"/>
      <c r="W74" s="1"/>
      <c r="X74" s="1"/>
      <c r="Y74" s="1"/>
      <c r="Z74" s="1">
        <v>2080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6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7"/>
      <c r="D76" s="11" t="s">
        <v>93</v>
      </c>
      <c r="E76" s="28" t="s">
        <v>102</v>
      </c>
      <c r="F76" s="12">
        <f t="shared" si="3"/>
        <v>1000</v>
      </c>
      <c r="G76" s="12">
        <f t="shared" si="4"/>
        <v>0</v>
      </c>
      <c r="H76" s="26">
        <v>1000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8" t="s">
        <v>104</v>
      </c>
      <c r="F77" s="12">
        <f t="shared" si="3"/>
        <v>10300</v>
      </c>
      <c r="G77" s="12">
        <f t="shared" si="4"/>
        <v>8320</v>
      </c>
      <c r="H77" s="26">
        <v>2300</v>
      </c>
      <c r="I77" s="1">
        <v>1040</v>
      </c>
      <c r="K77" s="1">
        <v>1040</v>
      </c>
      <c r="L77" s="1">
        <v>2080</v>
      </c>
      <c r="M77" s="1"/>
      <c r="N77" s="1"/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>
        <v>2080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8" t="s">
        <v>105</v>
      </c>
      <c r="F78" s="12">
        <f t="shared" si="3"/>
        <v>25000</v>
      </c>
      <c r="G78" s="12">
        <f t="shared" si="4"/>
        <v>22880</v>
      </c>
      <c r="H78" s="26">
        <v>3000</v>
      </c>
      <c r="I78" s="1">
        <v>3120</v>
      </c>
      <c r="J78" s="1"/>
      <c r="K78" s="1">
        <v>3120</v>
      </c>
      <c r="L78" s="1"/>
      <c r="M78" s="1"/>
      <c r="N78" s="1"/>
      <c r="O78" s="1">
        <v>2080</v>
      </c>
      <c r="P78" s="1"/>
      <c r="Q78" s="1">
        <v>2080</v>
      </c>
      <c r="R78" s="1">
        <v>2080</v>
      </c>
      <c r="S78" s="1"/>
      <c r="T78" s="1">
        <v>2080</v>
      </c>
      <c r="U78" s="1">
        <v>2080</v>
      </c>
      <c r="V78" s="1"/>
      <c r="W78" s="1">
        <v>2080</v>
      </c>
      <c r="X78" s="1"/>
      <c r="Y78" s="1">
        <v>2080</v>
      </c>
      <c r="Z78" s="1">
        <v>2080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8" t="s">
        <v>106</v>
      </c>
      <c r="F79" s="12">
        <f t="shared" si="3"/>
        <v>4000</v>
      </c>
      <c r="G79" s="12">
        <f t="shared" si="4"/>
        <v>4160</v>
      </c>
      <c r="H79" s="26">
        <v>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7"/>
      <c r="E80" s="28" t="s">
        <v>107</v>
      </c>
      <c r="F80" s="12">
        <f t="shared" si="3"/>
        <v>67000</v>
      </c>
      <c r="G80" s="12">
        <f t="shared" si="4"/>
        <v>0</v>
      </c>
      <c r="H80" s="26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7"/>
      <c r="D81" s="11" t="s">
        <v>108</v>
      </c>
      <c r="E81" s="28" t="s">
        <v>109</v>
      </c>
      <c r="F81" s="12">
        <f t="shared" si="3"/>
        <v>8000</v>
      </c>
      <c r="G81" s="12">
        <f t="shared" si="4"/>
        <v>6240</v>
      </c>
      <c r="H81" s="26">
        <v>2000</v>
      </c>
      <c r="I81" s="1"/>
      <c r="J81" s="1"/>
      <c r="K81" s="1"/>
      <c r="L81" s="1"/>
      <c r="M81" s="1"/>
      <c r="N81" s="1"/>
      <c r="O81" s="1"/>
      <c r="P81" s="1">
        <v>2080</v>
      </c>
      <c r="Q81" s="1"/>
      <c r="R81" s="1"/>
      <c r="S81" s="1">
        <v>2080</v>
      </c>
      <c r="T81" s="1">
        <v>2080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7"/>
      <c r="E82" s="28" t="s">
        <v>110</v>
      </c>
      <c r="F82" s="12">
        <f t="shared" si="3"/>
        <v>0</v>
      </c>
      <c r="G82" s="12">
        <f t="shared" si="4"/>
        <v>0</v>
      </c>
      <c r="H82" s="26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7"/>
      <c r="D83" s="11" t="s">
        <v>111</v>
      </c>
      <c r="E83" s="28" t="s">
        <v>112</v>
      </c>
      <c r="F83" s="12">
        <f t="shared" ref="F83:F96" si="5">G83/1.04+H83</f>
        <v>3000</v>
      </c>
      <c r="G83" s="12">
        <f t="shared" si="4"/>
        <v>3120</v>
      </c>
      <c r="H83" s="26">
        <v>0</v>
      </c>
      <c r="I83" s="1"/>
      <c r="J83" s="1">
        <v>1040</v>
      </c>
      <c r="K83" s="1"/>
      <c r="L83" s="1"/>
      <c r="M83" s="1"/>
      <c r="N83" s="1"/>
      <c r="O83" s="1"/>
      <c r="P83" s="1"/>
      <c r="Q83" s="1"/>
      <c r="R83" s="1">
        <v>2080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7"/>
      <c r="E84" s="28" t="s">
        <v>113</v>
      </c>
      <c r="F84" s="12">
        <f t="shared" si="5"/>
        <v>0</v>
      </c>
      <c r="G84" s="12">
        <f t="shared" si="4"/>
        <v>0</v>
      </c>
      <c r="H84" s="26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7"/>
      <c r="D85" s="11" t="s">
        <v>114</v>
      </c>
      <c r="E85" s="28" t="s">
        <v>115</v>
      </c>
      <c r="F85" s="12">
        <f t="shared" si="5"/>
        <v>27000</v>
      </c>
      <c r="G85" s="12">
        <f t="shared" si="4"/>
        <v>22880</v>
      </c>
      <c r="H85" s="26">
        <v>5000</v>
      </c>
      <c r="I85" s="1"/>
      <c r="J85" s="1"/>
      <c r="K85" s="1">
        <v>5200</v>
      </c>
      <c r="L85" s="1"/>
      <c r="M85" s="1"/>
      <c r="N85" s="1"/>
      <c r="O85" s="1"/>
      <c r="P85" s="1"/>
      <c r="Q85" s="1">
        <v>2080</v>
      </c>
      <c r="R85" s="11">
        <v>2080</v>
      </c>
      <c r="S85" s="1"/>
      <c r="T85" s="1">
        <v>2080</v>
      </c>
      <c r="U85" s="1"/>
      <c r="V85" s="1">
        <v>2080</v>
      </c>
      <c r="W85" s="1">
        <v>2080</v>
      </c>
      <c r="X85" s="1"/>
      <c r="Y85" s="1">
        <v>2080</v>
      </c>
      <c r="Z85" s="1">
        <v>5200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6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5200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7"/>
      <c r="C87" s="11">
        <v>683879115</v>
      </c>
      <c r="D87" s="11" t="s">
        <v>114</v>
      </c>
      <c r="E87" s="28" t="s">
        <v>117</v>
      </c>
      <c r="F87" s="12">
        <f t="shared" si="5"/>
        <v>0</v>
      </c>
      <c r="G87" s="12">
        <f t="shared" si="4"/>
        <v>0</v>
      </c>
      <c r="H87" s="26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7"/>
      <c r="D88" s="11" t="s">
        <v>118</v>
      </c>
      <c r="E88" s="28" t="s">
        <v>119</v>
      </c>
      <c r="F88" s="12">
        <f t="shared" si="5"/>
        <v>4000</v>
      </c>
      <c r="G88" s="12">
        <f t="shared" si="4"/>
        <v>4160</v>
      </c>
      <c r="H88" s="26">
        <v>0</v>
      </c>
      <c r="I88" s="1"/>
      <c r="J88" s="1"/>
      <c r="K88" s="1"/>
      <c r="L88" s="1"/>
      <c r="M88" s="1"/>
      <c r="N88" s="1">
        <v>2080</v>
      </c>
      <c r="O88" s="1"/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7"/>
      <c r="E89" s="28" t="s">
        <v>120</v>
      </c>
      <c r="F89" s="12">
        <f t="shared" si="5"/>
        <v>0</v>
      </c>
      <c r="G89" s="12">
        <f t="shared" si="4"/>
        <v>0</v>
      </c>
      <c r="H89" s="26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7"/>
      <c r="E90" s="28" t="s">
        <v>121</v>
      </c>
      <c r="F90" s="12">
        <f t="shared" si="5"/>
        <v>4000</v>
      </c>
      <c r="G90" s="12">
        <f t="shared" si="4"/>
        <v>4160</v>
      </c>
      <c r="H90" s="26">
        <v>0</v>
      </c>
      <c r="I90" s="1">
        <v>1040</v>
      </c>
      <c r="J90" s="1"/>
      <c r="K90" s="1"/>
      <c r="L90" s="1"/>
      <c r="M90" s="1"/>
      <c r="N90" s="1"/>
      <c r="O90" s="1">
        <v>1040</v>
      </c>
      <c r="P90" s="1"/>
      <c r="Q90" s="1"/>
      <c r="R90" s="1"/>
      <c r="S90" s="1"/>
      <c r="T90" s="1"/>
      <c r="U90" s="1"/>
      <c r="V90" s="1">
        <v>1040</v>
      </c>
      <c r="W90" s="1"/>
      <c r="X90" s="1"/>
      <c r="Y90" s="1">
        <v>1040</v>
      </c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7"/>
      <c r="E91" s="28" t="s">
        <v>122</v>
      </c>
      <c r="F91" s="12">
        <f t="shared" si="5"/>
        <v>0</v>
      </c>
      <c r="G91" s="12">
        <f t="shared" si="4"/>
        <v>0</v>
      </c>
      <c r="H91" s="26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8" t="s">
        <v>123</v>
      </c>
      <c r="F92" s="12">
        <f t="shared" si="5"/>
        <v>5000</v>
      </c>
      <c r="G92" s="12">
        <f t="shared" si="4"/>
        <v>5200</v>
      </c>
      <c r="H92" s="26">
        <v>0</v>
      </c>
      <c r="I92" s="1">
        <v>1040</v>
      </c>
      <c r="J92" s="1"/>
      <c r="K92" s="1"/>
      <c r="L92" s="1"/>
      <c r="M92" s="1">
        <v>2080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2080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8" t="s">
        <v>124</v>
      </c>
      <c r="F93" s="12">
        <f t="shared" si="5"/>
        <v>0</v>
      </c>
      <c r="G93" s="12">
        <f t="shared" si="4"/>
        <v>0</v>
      </c>
      <c r="H93" s="26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8" t="s">
        <v>126</v>
      </c>
      <c r="F94" s="12">
        <f t="shared" si="5"/>
        <v>4000</v>
      </c>
      <c r="G94" s="12">
        <f t="shared" si="4"/>
        <v>3120</v>
      </c>
      <c r="H94" s="26">
        <v>1000</v>
      </c>
      <c r="I94" s="1"/>
      <c r="J94" s="1"/>
      <c r="K94" s="1"/>
      <c r="L94" s="1"/>
      <c r="M94" s="1"/>
      <c r="N94" s="1"/>
      <c r="O94" s="1"/>
      <c r="P94" s="1">
        <v>2080</v>
      </c>
      <c r="Q94" s="1"/>
      <c r="R94" s="1"/>
      <c r="S94" s="1"/>
      <c r="T94" s="1"/>
      <c r="U94" s="1"/>
      <c r="V94" s="1"/>
      <c r="W94" s="1"/>
      <c r="X94" s="1"/>
      <c r="Y94" s="1">
        <v>1040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8" t="s">
        <v>127</v>
      </c>
      <c r="F95" s="12">
        <f t="shared" si="5"/>
        <v>0</v>
      </c>
      <c r="G95" s="12">
        <f t="shared" si="4"/>
        <v>0</v>
      </c>
      <c r="H95" s="26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8" t="s">
        <v>128</v>
      </c>
      <c r="F96" s="12">
        <f t="shared" si="5"/>
        <v>0</v>
      </c>
      <c r="G96" s="12">
        <f t="shared" si="4"/>
        <v>0</v>
      </c>
      <c r="H96" s="26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8:40"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="11" customFormat="1" spans="8:40"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="11" customFormat="1" spans="8:40"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="11" customFormat="1" spans="8:40"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="11" customFormat="1" spans="8:40"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="11" customFormat="1" spans="8:40"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="11" customFormat="1" spans="8:40"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="11" customFormat="1" spans="8:40"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="11" customFormat="1" spans="8:40"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="11" customFormat="1" spans="8:40"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="11" customFormat="1" spans="8:40"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="11" customFormat="1" spans="8:40"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="11" customFormat="1" spans="8:39"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1" customFormat="1" spans="8:39"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8">
      <c r="H111" s="21"/>
    </row>
    <row r="112" s="11" customFormat="1" spans="8:8">
      <c r="H112" s="21"/>
    </row>
    <row r="113" s="11" customFormat="1" spans="8:8">
      <c r="H113" s="21"/>
    </row>
    <row r="114" s="11" customFormat="1" spans="8:8">
      <c r="H114" s="2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S85" activePane="bottomRight" state="frozen"/>
      <selection/>
      <selection pane="topRight"/>
      <selection pane="bottomLeft"/>
      <selection pane="bottomRight" activeCell="Z105" sqref="Z10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628400</v>
      </c>
      <c r="G2" s="16" t="s">
        <v>8</v>
      </c>
      <c r="H2" s="17">
        <f t="shared" ref="H2:H65" si="0">SUM(I2:AM2)</f>
        <v>628400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52000</v>
      </c>
      <c r="M2" s="12">
        <f t="shared" si="1"/>
        <v>49000</v>
      </c>
      <c r="N2" s="12">
        <f t="shared" si="1"/>
        <v>41000</v>
      </c>
      <c r="O2" s="12">
        <f t="shared" si="1"/>
        <v>48400</v>
      </c>
      <c r="P2" s="12">
        <f t="shared" si="1"/>
        <v>4000</v>
      </c>
      <c r="Q2" s="12">
        <f t="shared" si="1"/>
        <v>21000</v>
      </c>
      <c r="R2" s="12">
        <f t="shared" si="1"/>
        <v>22000</v>
      </c>
      <c r="S2" s="12">
        <f t="shared" si="1"/>
        <v>9000</v>
      </c>
      <c r="T2" s="12">
        <f t="shared" si="1"/>
        <v>10000</v>
      </c>
      <c r="U2" s="12">
        <f t="shared" si="1"/>
        <v>23500</v>
      </c>
      <c r="V2" s="12">
        <f t="shared" si="1"/>
        <v>82000</v>
      </c>
      <c r="W2" s="12">
        <f t="shared" si="1"/>
        <v>39000</v>
      </c>
      <c r="X2" s="12">
        <f t="shared" si="1"/>
        <v>41500</v>
      </c>
      <c r="Y2" s="12">
        <f t="shared" si="1"/>
        <v>68000</v>
      </c>
      <c r="Z2" s="12">
        <f t="shared" si="1"/>
        <v>33000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2000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20">
        <v>2000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8000</v>
      </c>
      <c r="I4" s="20">
        <v>2000</v>
      </c>
      <c r="J4" s="1"/>
      <c r="K4" s="1"/>
      <c r="L4" s="1"/>
      <c r="M4" s="1"/>
      <c r="N4" s="20">
        <v>2000</v>
      </c>
      <c r="O4" s="1"/>
      <c r="P4" s="1"/>
      <c r="Q4" s="1"/>
      <c r="R4" s="1"/>
      <c r="S4" s="1"/>
      <c r="T4" s="1"/>
      <c r="U4" s="1"/>
      <c r="V4" s="20">
        <v>2000</v>
      </c>
      <c r="W4" s="1"/>
      <c r="X4" s="1"/>
      <c r="Y4" s="1"/>
      <c r="Z4" s="20">
        <v>2000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12000</v>
      </c>
      <c r="I5" s="1"/>
      <c r="J5" s="1"/>
      <c r="K5" s="20">
        <v>4000</v>
      </c>
      <c r="L5" s="1"/>
      <c r="M5" s="1"/>
      <c r="N5" s="20">
        <v>2000</v>
      </c>
      <c r="O5" s="1"/>
      <c r="P5" s="1"/>
      <c r="Q5" s="1"/>
      <c r="R5" s="1"/>
      <c r="S5" s="1"/>
      <c r="T5" s="1"/>
      <c r="U5" s="1"/>
      <c r="V5" s="20">
        <v>6000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18000</v>
      </c>
      <c r="I6" s="20">
        <v>2000</v>
      </c>
      <c r="J6" s="1"/>
      <c r="K6" s="20">
        <v>1000</v>
      </c>
      <c r="L6" s="20">
        <v>2000</v>
      </c>
      <c r="M6" s="1"/>
      <c r="N6" s="20">
        <v>3000</v>
      </c>
      <c r="O6" s="1"/>
      <c r="P6" s="1"/>
      <c r="Q6" s="20">
        <v>2000</v>
      </c>
      <c r="R6" s="1"/>
      <c r="S6" s="1"/>
      <c r="T6" s="1"/>
      <c r="U6" s="1"/>
      <c r="V6" s="20">
        <v>4000</v>
      </c>
      <c r="W6" s="1"/>
      <c r="X6" s="1"/>
      <c r="Y6" s="1"/>
      <c r="Z6" s="20">
        <v>4000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34000</v>
      </c>
      <c r="I7" s="1"/>
      <c r="J7" s="1"/>
      <c r="K7" s="1"/>
      <c r="L7" s="1"/>
      <c r="M7" s="1"/>
      <c r="N7" s="1"/>
      <c r="O7" s="20">
        <v>10000</v>
      </c>
      <c r="P7" s="1"/>
      <c r="Q7" s="1"/>
      <c r="R7" s="1"/>
      <c r="S7" s="1"/>
      <c r="T7" s="1"/>
      <c r="U7" s="20">
        <v>10000</v>
      </c>
      <c r="V7" s="1"/>
      <c r="W7" s="1"/>
      <c r="X7" s="20">
        <v>7000</v>
      </c>
      <c r="Y7" s="1"/>
      <c r="Z7" s="20">
        <v>7000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10000</v>
      </c>
      <c r="I8" s="1">
        <v>2000</v>
      </c>
      <c r="J8" s="1"/>
      <c r="K8" s="20">
        <v>2000</v>
      </c>
      <c r="L8" s="1"/>
      <c r="M8" s="1"/>
      <c r="N8" s="20">
        <v>2000</v>
      </c>
      <c r="O8" s="1"/>
      <c r="P8" s="1"/>
      <c r="Q8" s="1"/>
      <c r="R8" s="1"/>
      <c r="S8" s="1"/>
      <c r="T8" s="1"/>
      <c r="U8" s="1"/>
      <c r="V8" s="1"/>
      <c r="W8" s="20">
        <v>4000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5000</v>
      </c>
      <c r="I9" s="1"/>
      <c r="J9" s="1"/>
      <c r="K9" s="1"/>
      <c r="L9" s="1"/>
      <c r="M9" s="1"/>
      <c r="N9" s="1"/>
      <c r="O9" s="1">
        <v>3000</v>
      </c>
      <c r="P9" s="1"/>
      <c r="Q9" s="1"/>
      <c r="R9" s="1"/>
      <c r="S9" s="1"/>
      <c r="T9" s="1"/>
      <c r="U9" s="1"/>
      <c r="V9" s="1"/>
      <c r="W9" s="1"/>
      <c r="X9" s="1">
        <v>2000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18" t="s">
        <v>22</v>
      </c>
      <c r="H10" s="12">
        <f t="shared" si="0"/>
        <v>10000</v>
      </c>
      <c r="I10" s="1">
        <v>2500</v>
      </c>
      <c r="J10" s="1"/>
      <c r="K10" s="1"/>
      <c r="L10" s="1"/>
      <c r="M10" s="1"/>
      <c r="N10" s="1"/>
      <c r="O10" s="1">
        <v>7500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18" t="s">
        <v>24</v>
      </c>
      <c r="H11" s="12">
        <f t="shared" si="0"/>
        <v>4000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20">
        <v>4000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1400</v>
      </c>
      <c r="I12" s="1"/>
      <c r="J12" s="1"/>
      <c r="K12" s="1"/>
      <c r="L12" s="1"/>
      <c r="M12" s="1"/>
      <c r="N12" s="1"/>
      <c r="O12" s="1">
        <v>1400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18" t="s">
        <v>26</v>
      </c>
      <c r="H13" s="12">
        <f t="shared" si="0"/>
        <v>8000</v>
      </c>
      <c r="I13" s="1"/>
      <c r="J13" s="1"/>
      <c r="K13" s="1"/>
      <c r="L13" s="1"/>
      <c r="M13" s="1"/>
      <c r="N13" s="20">
        <v>8000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18" t="s">
        <v>27</v>
      </c>
      <c r="H14" s="12">
        <f t="shared" si="0"/>
        <v>19000</v>
      </c>
      <c r="I14" s="20">
        <v>1500</v>
      </c>
      <c r="J14" s="20">
        <v>2000</v>
      </c>
      <c r="K14" s="20">
        <v>2000</v>
      </c>
      <c r="L14" s="1"/>
      <c r="M14" s="1"/>
      <c r="N14" s="1">
        <v>3000</v>
      </c>
      <c r="O14" s="20">
        <v>3000</v>
      </c>
      <c r="P14" s="1"/>
      <c r="Q14" s="1"/>
      <c r="R14" s="20">
        <v>3000</v>
      </c>
      <c r="S14" s="20">
        <v>1000</v>
      </c>
      <c r="T14" s="1"/>
      <c r="U14" s="20">
        <v>1500</v>
      </c>
      <c r="V14" s="1"/>
      <c r="W14" s="20">
        <v>2000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4000</v>
      </c>
      <c r="I15" s="1"/>
      <c r="J15" s="1"/>
      <c r="K15" s="1"/>
      <c r="L15" s="1"/>
      <c r="M15" s="20">
        <v>4000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18" t="s">
        <v>30</v>
      </c>
      <c r="H16" s="12">
        <f t="shared" si="0"/>
        <v>3000</v>
      </c>
      <c r="I16" s="1"/>
      <c r="J16" s="1"/>
      <c r="K16" s="1"/>
      <c r="L16" s="1"/>
      <c r="M16" s="1"/>
      <c r="N16" s="20">
        <v>1000</v>
      </c>
      <c r="O16" s="1"/>
      <c r="P16" s="1"/>
      <c r="Q16" s="1"/>
      <c r="R16" s="1"/>
      <c r="S16" s="1"/>
      <c r="T16" s="1"/>
      <c r="U16" s="1"/>
      <c r="V16" s="1">
        <v>1000</v>
      </c>
      <c r="W16" s="1"/>
      <c r="X16" s="1"/>
      <c r="Y16" s="20">
        <v>1000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18" t="s">
        <v>35</v>
      </c>
      <c r="H19" s="12">
        <f t="shared" si="0"/>
        <v>4000</v>
      </c>
      <c r="I19" s="1"/>
      <c r="J19" s="1"/>
      <c r="K19" s="1"/>
      <c r="L19" s="1"/>
      <c r="M19" s="1"/>
      <c r="N19" s="1"/>
      <c r="O19" s="1">
        <v>1500</v>
      </c>
      <c r="P19" s="1"/>
      <c r="Q19" s="1"/>
      <c r="R19" s="1"/>
      <c r="S19" s="1"/>
      <c r="T19" s="1"/>
      <c r="U19" s="1"/>
      <c r="V19" s="1"/>
      <c r="W19" s="1"/>
      <c r="X19" s="20">
        <v>2500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18" t="s">
        <v>37</v>
      </c>
      <c r="H20" s="12">
        <f t="shared" si="0"/>
        <v>5000</v>
      </c>
      <c r="I20" s="1"/>
      <c r="J20" s="1"/>
      <c r="K20" s="1"/>
      <c r="L20" s="1"/>
      <c r="M20" s="20">
        <v>5000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18" t="s">
        <v>38</v>
      </c>
      <c r="H21" s="12">
        <f t="shared" si="0"/>
        <v>4000</v>
      </c>
      <c r="I21" s="1"/>
      <c r="J21" s="1"/>
      <c r="K21" s="1"/>
      <c r="L21" s="1"/>
      <c r="M21" s="20">
        <v>2000</v>
      </c>
      <c r="N21" s="1"/>
      <c r="O21" s="1"/>
      <c r="P21" s="1"/>
      <c r="Q21" s="20">
        <v>2000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/>
      <c r="K22" s="1"/>
      <c r="L22" s="1">
        <v>1000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18" t="s">
        <v>40</v>
      </c>
      <c r="H23" s="12">
        <f t="shared" si="0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1000</v>
      </c>
      <c r="I24" s="1"/>
      <c r="J24" s="1"/>
      <c r="K24" s="1"/>
      <c r="L24" s="1">
        <v>1000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18" t="s">
        <v>42</v>
      </c>
      <c r="H25" s="12">
        <f t="shared" si="0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18" t="s">
        <v>43</v>
      </c>
      <c r="H26" s="12">
        <f t="shared" si="0"/>
        <v>15000</v>
      </c>
      <c r="I26" s="1"/>
      <c r="J26" s="1"/>
      <c r="K26" s="1"/>
      <c r="L26" s="1"/>
      <c r="M26" s="20">
        <v>8000</v>
      </c>
      <c r="N26" s="1"/>
      <c r="O26" s="1"/>
      <c r="P26" s="1"/>
      <c r="Q26" s="1"/>
      <c r="R26" s="1"/>
      <c r="S26" s="1"/>
      <c r="T26" s="1"/>
      <c r="U26" s="1"/>
      <c r="V26" s="20">
        <v>7000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18" t="s">
        <v>45</v>
      </c>
      <c r="H28" s="12">
        <f t="shared" si="0"/>
        <v>12000</v>
      </c>
      <c r="I28" s="1"/>
      <c r="J28" s="1"/>
      <c r="K28" s="1"/>
      <c r="L28" s="1">
        <v>1000</v>
      </c>
      <c r="M28" s="1"/>
      <c r="N28" s="1"/>
      <c r="O28" s="20">
        <v>3000</v>
      </c>
      <c r="P28" s="1"/>
      <c r="Q28" s="1"/>
      <c r="R28" s="1"/>
      <c r="S28" s="20">
        <v>3000</v>
      </c>
      <c r="T28" s="1"/>
      <c r="U28" s="20">
        <v>3000</v>
      </c>
      <c r="V28" s="1"/>
      <c r="W28" s="1"/>
      <c r="X28" s="1"/>
      <c r="Y28" s="1"/>
      <c r="Z28" s="20">
        <v>2000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18" t="s">
        <v>46</v>
      </c>
      <c r="H29" s="12">
        <f t="shared" si="0"/>
        <v>6000</v>
      </c>
      <c r="I29" s="1"/>
      <c r="J29" s="1"/>
      <c r="K29" s="1"/>
      <c r="L29" s="1">
        <v>2000</v>
      </c>
      <c r="M29" s="1"/>
      <c r="N29" s="20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20">
        <v>2000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7000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>
        <v>7000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18" t="s">
        <v>48</v>
      </c>
      <c r="H31" s="12">
        <f t="shared" si="0"/>
        <v>4000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20">
        <v>2000</v>
      </c>
      <c r="U31" s="1"/>
      <c r="V31" s="1"/>
      <c r="W31" s="1"/>
      <c r="X31" s="20">
        <v>2000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18" t="s">
        <v>49</v>
      </c>
      <c r="H32" s="12">
        <f t="shared" si="0"/>
        <v>23000</v>
      </c>
      <c r="I32" s="1"/>
      <c r="J32" s="1"/>
      <c r="K32" s="20">
        <v>8000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20">
        <v>15000</v>
      </c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4000</v>
      </c>
      <c r="I33" s="1"/>
      <c r="J33" s="1"/>
      <c r="K33" s="1"/>
      <c r="L33" s="1">
        <v>1000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>
        <v>3000</v>
      </c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18" t="s">
        <v>52</v>
      </c>
      <c r="H34" s="12">
        <f t="shared" si="0"/>
        <v>3000</v>
      </c>
      <c r="I34" s="1"/>
      <c r="J34" s="1"/>
      <c r="K34" s="1"/>
      <c r="L34" s="1">
        <v>1000</v>
      </c>
      <c r="M34" s="1"/>
      <c r="N34" s="1"/>
      <c r="O34" s="20">
        <v>2000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3000</v>
      </c>
      <c r="I35" s="1"/>
      <c r="J35" s="1"/>
      <c r="K35" s="1"/>
      <c r="L35" s="1"/>
      <c r="M35" s="20">
        <v>2000</v>
      </c>
      <c r="N35" s="1"/>
      <c r="O35" s="1"/>
      <c r="P35" s="1"/>
      <c r="Q35" s="1"/>
      <c r="R35" s="1"/>
      <c r="S35" s="1"/>
      <c r="T35" s="1"/>
      <c r="U35" s="20">
        <v>1000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161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D37" s="11" t="s">
        <v>162</v>
      </c>
      <c r="F37" s="11" t="s">
        <v>51</v>
      </c>
      <c r="G37" s="18" t="s">
        <v>55</v>
      </c>
      <c r="H37" s="12">
        <f t="shared" si="0"/>
        <v>19000</v>
      </c>
      <c r="I37" s="1"/>
      <c r="J37" s="1"/>
      <c r="K37" s="1"/>
      <c r="L37" s="20">
        <v>5000</v>
      </c>
      <c r="M37" s="1"/>
      <c r="N37" s="1"/>
      <c r="O37" s="1"/>
      <c r="P37" s="1"/>
      <c r="Q37" s="20">
        <v>2000</v>
      </c>
      <c r="R37" s="1"/>
      <c r="S37" s="1"/>
      <c r="T37" s="1"/>
      <c r="U37" s="1"/>
      <c r="V37" s="20">
        <v>8000</v>
      </c>
      <c r="W37" s="1"/>
      <c r="X37" s="1"/>
      <c r="Y37" s="20">
        <v>4000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>
        <v>1000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163</v>
      </c>
      <c r="C39" s="11">
        <v>37</v>
      </c>
      <c r="D39" s="11" t="s">
        <v>163</v>
      </c>
      <c r="F39" s="11" t="s">
        <v>51</v>
      </c>
      <c r="G39" s="18" t="s">
        <v>57</v>
      </c>
      <c r="H39" s="12">
        <f t="shared" si="0"/>
        <v>4000</v>
      </c>
      <c r="I39" s="1"/>
      <c r="J39" s="1"/>
      <c r="K39" s="1"/>
      <c r="L39" s="20">
        <v>2000</v>
      </c>
      <c r="M39" s="1"/>
      <c r="N39" s="20">
        <v>2000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164</v>
      </c>
      <c r="C40" s="11">
        <v>38</v>
      </c>
      <c r="D40" s="11" t="s">
        <v>164</v>
      </c>
      <c r="E40" s="11" t="s">
        <v>165</v>
      </c>
      <c r="F40" s="11" t="s">
        <v>51</v>
      </c>
      <c r="G40" s="18" t="s">
        <v>58</v>
      </c>
      <c r="H40" s="12">
        <f t="shared" si="0"/>
        <v>4000</v>
      </c>
      <c r="I40" s="1"/>
      <c r="J40" s="1"/>
      <c r="K40" s="20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20">
        <v>2000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D41" s="11" t="s">
        <v>166</v>
      </c>
      <c r="F41" s="11" t="s">
        <v>51</v>
      </c>
      <c r="G41" s="18" t="s">
        <v>59</v>
      </c>
      <c r="H41" s="12">
        <f t="shared" si="0"/>
        <v>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20">
        <v>6000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D42" s="11" t="s">
        <v>167</v>
      </c>
      <c r="F42" s="11" t="s">
        <v>51</v>
      </c>
      <c r="G42" s="18" t="s">
        <v>60</v>
      </c>
      <c r="H42" s="12">
        <f t="shared" si="0"/>
        <v>2000</v>
      </c>
      <c r="I42" s="1"/>
      <c r="J42" s="1"/>
      <c r="K42" s="20">
        <v>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D43" s="11" t="s">
        <v>168</v>
      </c>
      <c r="E43" s="11">
        <v>8210095108</v>
      </c>
      <c r="F43" s="11" t="s">
        <v>51</v>
      </c>
      <c r="G43" s="18" t="s">
        <v>61</v>
      </c>
      <c r="H43" s="12">
        <f t="shared" si="0"/>
        <v>19000</v>
      </c>
      <c r="I43" s="1"/>
      <c r="J43" s="1"/>
      <c r="K43" s="1"/>
      <c r="L43" s="1">
        <v>7000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20">
        <v>12000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169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/>
      <c r="L44" s="1"/>
      <c r="M44" s="1"/>
      <c r="N44" s="20">
        <v>2000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20">
        <v>2000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170</v>
      </c>
      <c r="F45" s="11" t="s">
        <v>51</v>
      </c>
      <c r="G45" s="18" t="s">
        <v>63</v>
      </c>
      <c r="H45" s="12">
        <f t="shared" si="0"/>
        <v>8000</v>
      </c>
      <c r="I45" s="1"/>
      <c r="J45" s="1"/>
      <c r="K45" s="1"/>
      <c r="L45" s="1"/>
      <c r="M45" s="20">
        <v>2000</v>
      </c>
      <c r="N45" s="1"/>
      <c r="O45" s="1"/>
      <c r="P45" s="1"/>
      <c r="Q45" s="1"/>
      <c r="R45" s="1"/>
      <c r="S45" s="1"/>
      <c r="T45" s="1"/>
      <c r="U45" s="1"/>
      <c r="V45" s="20">
        <v>6000</v>
      </c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171</v>
      </c>
      <c r="C46" s="11">
        <v>44</v>
      </c>
      <c r="D46" s="11" t="s">
        <v>171</v>
      </c>
      <c r="F46" s="11" t="s">
        <v>64</v>
      </c>
      <c r="G46" s="18" t="s">
        <v>65</v>
      </c>
      <c r="H46" s="12">
        <f t="shared" si="0"/>
        <v>13000</v>
      </c>
      <c r="I46" s="1"/>
      <c r="J46" s="1"/>
      <c r="K46" s="1"/>
      <c r="L46" s="1"/>
      <c r="M46" s="20">
        <v>7000</v>
      </c>
      <c r="N46" s="1"/>
      <c r="O46" s="1"/>
      <c r="P46" s="1"/>
      <c r="Q46" s="1"/>
      <c r="R46" s="20">
        <v>2000</v>
      </c>
      <c r="S46" s="1"/>
      <c r="T46" s="1"/>
      <c r="U46" s="1"/>
      <c r="V46" s="1"/>
      <c r="W46" s="1"/>
      <c r="X46" s="1"/>
      <c r="Y46" s="1"/>
      <c r="Z46" s="20">
        <v>4000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172</v>
      </c>
      <c r="F47" s="11" t="s">
        <v>64</v>
      </c>
      <c r="G47" s="18" t="s">
        <v>66</v>
      </c>
      <c r="H47" s="12">
        <f t="shared" si="0"/>
        <v>12000</v>
      </c>
      <c r="I47" s="20">
        <v>3000</v>
      </c>
      <c r="J47" s="1"/>
      <c r="K47" s="1"/>
      <c r="L47" s="1"/>
      <c r="M47" s="1"/>
      <c r="N47" s="1"/>
      <c r="O47" s="20">
        <v>5000</v>
      </c>
      <c r="P47" s="1"/>
      <c r="Q47" s="1"/>
      <c r="R47" s="1"/>
      <c r="S47" s="1"/>
      <c r="T47" s="1"/>
      <c r="U47" s="1"/>
      <c r="V47" s="20">
        <v>4000</v>
      </c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173</v>
      </c>
      <c r="C48" s="11">
        <v>46</v>
      </c>
      <c r="D48" s="11" t="s">
        <v>173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>
        <v>2000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20">
        <v>2000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174</v>
      </c>
      <c r="C49" s="11">
        <v>47</v>
      </c>
      <c r="D49" s="11" t="s">
        <v>174</v>
      </c>
      <c r="E49" s="11">
        <v>8863097933</v>
      </c>
      <c r="F49" s="11" t="s">
        <v>64</v>
      </c>
      <c r="G49" s="18" t="s">
        <v>68</v>
      </c>
      <c r="H49" s="12">
        <f t="shared" si="0"/>
        <v>25000</v>
      </c>
      <c r="I49" s="1"/>
      <c r="J49" s="1"/>
      <c r="K49" s="1"/>
      <c r="L49" s="1">
        <v>10000</v>
      </c>
      <c r="M49" s="1"/>
      <c r="N49" s="1"/>
      <c r="O49" s="1"/>
      <c r="P49" s="1"/>
      <c r="Q49" s="1"/>
      <c r="R49" s="20">
        <v>5000</v>
      </c>
      <c r="S49" s="1"/>
      <c r="T49" s="1"/>
      <c r="U49" s="1"/>
      <c r="V49" s="1"/>
      <c r="W49" s="1"/>
      <c r="X49" s="20">
        <v>10000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175</v>
      </c>
      <c r="C50" s="11">
        <v>48</v>
      </c>
      <c r="D50" s="11" t="s">
        <v>175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176</v>
      </c>
      <c r="C51" s="11">
        <v>49</v>
      </c>
      <c r="D51" s="11" t="s">
        <v>177</v>
      </c>
      <c r="F51" s="11" t="s">
        <v>64</v>
      </c>
      <c r="G51" s="18" t="s">
        <v>70</v>
      </c>
      <c r="H51" s="12">
        <f t="shared" si="0"/>
        <v>2000</v>
      </c>
      <c r="I51" s="1"/>
      <c r="J51" s="1"/>
      <c r="K51" s="1"/>
      <c r="L51" s="1">
        <v>2000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178</v>
      </c>
      <c r="C53" s="11">
        <v>51</v>
      </c>
      <c r="D53" s="11" t="s">
        <v>178</v>
      </c>
      <c r="F53" s="11" t="s">
        <v>64</v>
      </c>
      <c r="G53" s="18" t="s">
        <v>72</v>
      </c>
      <c r="H53" s="12">
        <f t="shared" si="0"/>
        <v>6000</v>
      </c>
      <c r="I53" s="1"/>
      <c r="J53" s="1"/>
      <c r="K53" s="1"/>
      <c r="L53" s="20">
        <v>2000</v>
      </c>
      <c r="M53" s="1"/>
      <c r="N53" s="1"/>
      <c r="O53" s="20">
        <v>2000</v>
      </c>
      <c r="P53" s="1"/>
      <c r="Q53" s="1"/>
      <c r="R53" s="20">
        <v>2000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17000</v>
      </c>
      <c r="I54" s="1"/>
      <c r="J54" s="1"/>
      <c r="K54" s="1"/>
      <c r="L54" s="1"/>
      <c r="M54" s="20">
        <v>3000</v>
      </c>
      <c r="N54" s="1"/>
      <c r="O54" s="1"/>
      <c r="P54" s="1"/>
      <c r="Q54" s="1"/>
      <c r="R54" s="20">
        <v>8000</v>
      </c>
      <c r="S54" s="1"/>
      <c r="T54" s="1"/>
      <c r="U54" s="1"/>
      <c r="V54" s="1"/>
      <c r="W54" s="1"/>
      <c r="X54" s="1"/>
      <c r="Y54" s="1"/>
      <c r="Z54" s="20">
        <v>6000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179</v>
      </c>
      <c r="C55" s="11">
        <v>53</v>
      </c>
      <c r="D55" s="11" t="s">
        <v>179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20">
        <v>2000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180</v>
      </c>
      <c r="C56" s="11">
        <v>54</v>
      </c>
      <c r="D56" s="11" t="s">
        <v>180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D58" s="11" t="s">
        <v>181</v>
      </c>
      <c r="E58" s="11">
        <v>7004211364</v>
      </c>
      <c r="F58" s="11" t="s">
        <v>77</v>
      </c>
      <c r="G58" s="18" t="s">
        <v>78</v>
      </c>
      <c r="H58" s="12">
        <f t="shared" si="0"/>
        <v>10000</v>
      </c>
      <c r="I58" s="1"/>
      <c r="J58" s="1"/>
      <c r="K58" s="1"/>
      <c r="L58" s="1"/>
      <c r="N58" s="20">
        <v>4000</v>
      </c>
      <c r="O58" s="1"/>
      <c r="P58" s="1"/>
      <c r="Q58" s="1"/>
      <c r="R58" s="1"/>
      <c r="S58" s="1"/>
      <c r="T58" s="1"/>
      <c r="U58" s="1"/>
      <c r="V58" s="1"/>
      <c r="W58" s="20">
        <v>2000</v>
      </c>
      <c r="X58" s="20">
        <v>2000</v>
      </c>
      <c r="Y58" s="20">
        <v>2000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182</v>
      </c>
      <c r="C59" s="11">
        <v>57</v>
      </c>
      <c r="D59" s="11" t="s">
        <v>183</v>
      </c>
      <c r="F59" s="11" t="s">
        <v>77</v>
      </c>
      <c r="G59" s="18" t="s">
        <v>79</v>
      </c>
      <c r="H59" s="12">
        <f t="shared" si="0"/>
        <v>26000</v>
      </c>
      <c r="I59" s="1"/>
      <c r="J59" s="20">
        <v>10000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20">
        <v>16000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184</v>
      </c>
      <c r="F60" s="11" t="s">
        <v>77</v>
      </c>
      <c r="G60" s="18" t="s">
        <v>80</v>
      </c>
      <c r="H60" s="12">
        <f t="shared" si="0"/>
        <v>11000</v>
      </c>
      <c r="I60" s="20">
        <v>5000</v>
      </c>
      <c r="J60" s="1"/>
      <c r="K60" s="1"/>
      <c r="L60" s="1"/>
      <c r="M60" s="20">
        <v>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20">
        <v>2000</v>
      </c>
      <c r="Y60" s="1">
        <v>2000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D61" s="11" t="s">
        <v>185</v>
      </c>
      <c r="E61" s="11">
        <v>9798805204</v>
      </c>
      <c r="F61" s="11" t="s">
        <v>77</v>
      </c>
      <c r="G61" s="18" t="s">
        <v>81</v>
      </c>
      <c r="H61" s="12">
        <f t="shared" si="0"/>
        <v>3000</v>
      </c>
      <c r="I61" s="1"/>
      <c r="J61" s="20">
        <v>1000</v>
      </c>
      <c r="K61" s="1"/>
      <c r="L61" s="1"/>
      <c r="M61" s="20">
        <v>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186</v>
      </c>
      <c r="C62" s="11">
        <v>60</v>
      </c>
      <c r="D62" s="11" t="s">
        <v>186</v>
      </c>
      <c r="E62" s="11">
        <v>9504958065</v>
      </c>
      <c r="F62" s="11" t="s">
        <v>82</v>
      </c>
      <c r="G62" s="18" t="s">
        <v>83</v>
      </c>
      <c r="H62" s="12">
        <f t="shared" si="0"/>
        <v>15000</v>
      </c>
      <c r="I62" s="1"/>
      <c r="J62" s="1"/>
      <c r="K62" s="1"/>
      <c r="L62" s="1"/>
      <c r="M62" s="1"/>
      <c r="N62" s="1"/>
      <c r="O62" s="20">
        <v>5000</v>
      </c>
      <c r="P62" s="1"/>
      <c r="Q62" s="1"/>
      <c r="R62" s="1"/>
      <c r="S62" s="1"/>
      <c r="T62" s="1"/>
      <c r="U62" s="1"/>
      <c r="V62" s="1"/>
      <c r="W62" s="20">
        <v>10000</v>
      </c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187</v>
      </c>
      <c r="C64" s="11">
        <v>62</v>
      </c>
      <c r="D64" s="11" t="s">
        <v>187</v>
      </c>
      <c r="E64" s="11" t="s">
        <v>188</v>
      </c>
      <c r="F64" s="11" t="s">
        <v>82</v>
      </c>
      <c r="G64" s="18" t="s">
        <v>87</v>
      </c>
      <c r="H64" s="12">
        <f t="shared" si="0"/>
        <v>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0">
        <v>2000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189</v>
      </c>
      <c r="C65" s="11">
        <v>63</v>
      </c>
      <c r="D65" s="11" t="s">
        <v>190</v>
      </c>
      <c r="E65" s="11">
        <v>7004399486</v>
      </c>
      <c r="F65" s="11" t="s">
        <v>88</v>
      </c>
      <c r="G65" s="11" t="s">
        <v>89</v>
      </c>
      <c r="H65" s="12">
        <f t="shared" si="0"/>
        <v>8000</v>
      </c>
      <c r="I65" s="20">
        <v>2000</v>
      </c>
      <c r="J65" s="1"/>
      <c r="K65" s="1"/>
      <c r="L65" s="20">
        <v>2000</v>
      </c>
      <c r="M65" s="1"/>
      <c r="N65" s="1"/>
      <c r="O65" s="1"/>
      <c r="P65" s="1"/>
      <c r="Q65" s="20">
        <v>2000</v>
      </c>
      <c r="R65" s="1"/>
      <c r="S65" s="1"/>
      <c r="T65" s="1"/>
      <c r="U65" s="1"/>
      <c r="V65" s="1"/>
      <c r="W65" s="1"/>
      <c r="X65" s="1"/>
      <c r="Y65" s="1"/>
      <c r="Z65" s="20">
        <v>2000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191</v>
      </c>
      <c r="C66" s="11">
        <v>64</v>
      </c>
      <c r="D66" s="11" t="s">
        <v>192</v>
      </c>
      <c r="F66" s="11" t="s">
        <v>88</v>
      </c>
      <c r="G66" s="18" t="s">
        <v>90</v>
      </c>
      <c r="H66" s="12">
        <f t="shared" ref="H66:H96" si="2">SUM(I66:AM66)</f>
        <v>2000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D67" s="11" t="s">
        <v>193</v>
      </c>
      <c r="F67" s="11" t="s">
        <v>91</v>
      </c>
      <c r="G67" s="18" t="s">
        <v>92</v>
      </c>
      <c r="H67" s="12">
        <f t="shared" si="2"/>
        <v>5000</v>
      </c>
      <c r="I67" s="1"/>
      <c r="J67" s="1"/>
      <c r="K67" s="20">
        <v>2000</v>
      </c>
      <c r="L67" s="1"/>
      <c r="M67" s="1"/>
      <c r="N67" s="1"/>
      <c r="O67" s="1"/>
      <c r="P67" s="1"/>
      <c r="Q67" s="1"/>
      <c r="R67" s="20">
        <v>2000</v>
      </c>
      <c r="S67" s="20">
        <v>1000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10000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v>10000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2000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>
        <v>2000</v>
      </c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3000</v>
      </c>
      <c r="I71" s="1">
        <v>1000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>
        <v>2000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194</v>
      </c>
      <c r="F72" s="11" t="s">
        <v>93</v>
      </c>
      <c r="G72" s="18" t="s">
        <v>98</v>
      </c>
      <c r="H72" s="12">
        <f t="shared" si="2"/>
        <v>46000</v>
      </c>
      <c r="I72" s="1">
        <v>10000</v>
      </c>
      <c r="J72" s="1"/>
      <c r="K72" s="1"/>
      <c r="L72" s="1"/>
      <c r="M72" s="20">
        <v>10000</v>
      </c>
      <c r="N72" s="1"/>
      <c r="O72" s="20">
        <v>4000</v>
      </c>
      <c r="P72" s="1"/>
      <c r="Q72" s="20">
        <v>7000</v>
      </c>
      <c r="R72" s="1"/>
      <c r="S72" s="1"/>
      <c r="T72" s="1"/>
      <c r="U72" s="1"/>
      <c r="V72" s="20">
        <v>10000</v>
      </c>
      <c r="W72" s="20">
        <v>5000</v>
      </c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D73" s="11" t="s">
        <v>195</v>
      </c>
      <c r="F73" s="11" t="s">
        <v>93</v>
      </c>
      <c r="G73" s="18" t="s">
        <v>99</v>
      </c>
      <c r="H73" s="12">
        <f t="shared" si="2"/>
        <v>15000</v>
      </c>
      <c r="I73" s="1"/>
      <c r="J73" s="20">
        <v>3000</v>
      </c>
      <c r="K73" s="1"/>
      <c r="L73" s="1"/>
      <c r="M73" s="20">
        <v>2000</v>
      </c>
      <c r="N73" s="1"/>
      <c r="O73" s="1"/>
      <c r="P73" s="1"/>
      <c r="Q73" s="20">
        <v>2000</v>
      </c>
      <c r="R73" s="1"/>
      <c r="S73" s="1"/>
      <c r="T73" s="1"/>
      <c r="U73" s="1"/>
      <c r="V73" s="1">
        <v>8000</v>
      </c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196</v>
      </c>
      <c r="C74" s="11">
        <v>72</v>
      </c>
      <c r="D74" s="11" t="s">
        <v>197</v>
      </c>
      <c r="E74" s="11">
        <v>8825370430</v>
      </c>
      <c r="F74" s="11" t="s">
        <v>93</v>
      </c>
      <c r="G74" s="18" t="s">
        <v>100</v>
      </c>
      <c r="H74" s="12">
        <f t="shared" si="2"/>
        <v>8000</v>
      </c>
      <c r="I74" s="1"/>
      <c r="J74" s="1"/>
      <c r="K74" s="20">
        <v>2000</v>
      </c>
      <c r="L74" s="1"/>
      <c r="M74" s="1"/>
      <c r="N74" s="1"/>
      <c r="O74" s="1"/>
      <c r="P74" s="1"/>
      <c r="Q74" s="20">
        <v>2000</v>
      </c>
      <c r="R74" s="1"/>
      <c r="S74" s="1"/>
      <c r="T74" s="1"/>
      <c r="U74" s="1"/>
      <c r="V74" s="1"/>
      <c r="W74" s="20">
        <v>2000</v>
      </c>
      <c r="X74" s="1"/>
      <c r="Y74" s="1"/>
      <c r="Z74" s="20">
        <v>2000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198</v>
      </c>
      <c r="C77" s="11">
        <v>75</v>
      </c>
      <c r="D77" s="11" t="s">
        <v>198</v>
      </c>
      <c r="E77" s="11">
        <v>6200769032</v>
      </c>
      <c r="F77" s="11" t="s">
        <v>103</v>
      </c>
      <c r="G77" s="18" t="s">
        <v>104</v>
      </c>
      <c r="H77" s="12">
        <f t="shared" si="2"/>
        <v>6000</v>
      </c>
      <c r="I77" s="1"/>
      <c r="J77" s="1"/>
      <c r="K77" s="20">
        <v>2000</v>
      </c>
      <c r="L77" s="1"/>
      <c r="N77" s="20">
        <v>2000</v>
      </c>
      <c r="O77" s="1"/>
      <c r="P77" s="1"/>
      <c r="Q77" s="20">
        <v>2000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199</v>
      </c>
      <c r="C78" s="11">
        <v>76</v>
      </c>
      <c r="D78" s="11" t="s">
        <v>200</v>
      </c>
      <c r="F78" s="11" t="s">
        <v>103</v>
      </c>
      <c r="G78" s="18" t="s">
        <v>105</v>
      </c>
      <c r="H78" s="12">
        <f t="shared" si="2"/>
        <v>23000</v>
      </c>
      <c r="I78" s="1"/>
      <c r="J78" s="1"/>
      <c r="K78" s="20">
        <v>6000</v>
      </c>
      <c r="L78" s="1"/>
      <c r="N78" s="20">
        <v>3000</v>
      </c>
      <c r="O78" s="1"/>
      <c r="P78" s="1"/>
      <c r="Q78" s="1"/>
      <c r="R78" s="1"/>
      <c r="S78" s="1"/>
      <c r="T78" s="1"/>
      <c r="U78" s="20">
        <v>8000</v>
      </c>
      <c r="V78" s="1"/>
      <c r="W78" s="1"/>
      <c r="X78" s="1"/>
      <c r="Y78" s="20">
        <v>4000</v>
      </c>
      <c r="Z78" s="20">
        <v>2000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201</v>
      </c>
      <c r="C79" s="11">
        <v>77</v>
      </c>
      <c r="D79" s="11" t="s">
        <v>202</v>
      </c>
      <c r="F79" s="11" t="s">
        <v>103</v>
      </c>
      <c r="G79" s="18" t="s">
        <v>106</v>
      </c>
      <c r="H79" s="12">
        <f t="shared" si="2"/>
        <v>4000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>
        <v>4000</v>
      </c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203</v>
      </c>
      <c r="C81" s="11">
        <v>79</v>
      </c>
      <c r="D81" s="11" t="s">
        <v>203</v>
      </c>
      <c r="E81" s="11" t="s">
        <v>204</v>
      </c>
      <c r="F81" s="11" t="s">
        <v>108</v>
      </c>
      <c r="G81" s="18" t="s">
        <v>109</v>
      </c>
      <c r="H81" s="12">
        <f t="shared" si="2"/>
        <v>8000</v>
      </c>
      <c r="I81" s="1"/>
      <c r="J81" s="1"/>
      <c r="K81" s="20">
        <v>2000</v>
      </c>
      <c r="L81" s="1"/>
      <c r="M81" s="1"/>
      <c r="N81" s="1"/>
      <c r="O81" s="1"/>
      <c r="P81" s="20">
        <v>2000</v>
      </c>
      <c r="Q81" s="1"/>
      <c r="R81" s="1"/>
      <c r="S81" s="20">
        <v>2000</v>
      </c>
      <c r="T81" s="1"/>
      <c r="U81" s="1"/>
      <c r="V81" s="20">
        <v>2000</v>
      </c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3000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20">
        <v>3000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205</v>
      </c>
      <c r="C85" s="11">
        <v>83</v>
      </c>
      <c r="D85" s="11" t="s">
        <v>205</v>
      </c>
      <c r="F85" s="11" t="s">
        <v>114</v>
      </c>
      <c r="G85" s="18" t="s">
        <v>115</v>
      </c>
      <c r="H85" s="12">
        <f t="shared" si="2"/>
        <v>22000</v>
      </c>
      <c r="I85" s="1"/>
      <c r="J85" s="1"/>
      <c r="K85" s="1"/>
      <c r="L85" s="20">
        <v>10000</v>
      </c>
      <c r="M85" s="1"/>
      <c r="N85" s="1"/>
      <c r="O85" s="1"/>
      <c r="P85" s="1"/>
      <c r="Q85" s="1"/>
      <c r="R85" s="1"/>
      <c r="S85" s="1"/>
      <c r="T85" s="20">
        <v>6000</v>
      </c>
      <c r="U85" s="1"/>
      <c r="V85" s="1"/>
      <c r="W85" s="1"/>
      <c r="X85" s="1"/>
      <c r="Y85" s="20">
        <v>6000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5000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206</v>
      </c>
      <c r="C87" s="11">
        <v>85</v>
      </c>
      <c r="D87" s="11" t="s">
        <v>206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207</v>
      </c>
      <c r="E88" s="11">
        <v>9911430509</v>
      </c>
      <c r="F88" s="11" t="s">
        <v>118</v>
      </c>
      <c r="G88" s="18" t="s">
        <v>119</v>
      </c>
      <c r="H88" s="12">
        <f t="shared" si="2"/>
        <v>4000</v>
      </c>
      <c r="I88" s="1"/>
      <c r="J88" s="1"/>
      <c r="K88" s="1"/>
      <c r="L88" s="1"/>
      <c r="M88" s="1"/>
      <c r="N88" s="20">
        <v>2000</v>
      </c>
      <c r="O88" s="1"/>
      <c r="P88" s="1"/>
      <c r="Q88" s="1"/>
      <c r="R88" s="1"/>
      <c r="S88" s="1"/>
      <c r="T88" s="1"/>
      <c r="U88" s="1"/>
      <c r="V88" s="1"/>
      <c r="W88" s="1"/>
      <c r="X88" s="20">
        <v>2000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208</v>
      </c>
      <c r="C90" s="11">
        <v>88</v>
      </c>
      <c r="D90" s="11" t="s">
        <v>208</v>
      </c>
      <c r="G90" s="18" t="s">
        <v>121</v>
      </c>
      <c r="H90" s="12">
        <f t="shared" si="2"/>
        <v>3000</v>
      </c>
      <c r="I90" s="1"/>
      <c r="J90" s="20">
        <v>1000</v>
      </c>
      <c r="K90" s="1"/>
      <c r="L90" s="1"/>
      <c r="M90" s="1"/>
      <c r="N90" s="1"/>
      <c r="O90" s="1"/>
      <c r="P90" s="20">
        <v>1000</v>
      </c>
      <c r="Q90" s="1"/>
      <c r="R90" s="1"/>
      <c r="S90" s="1"/>
      <c r="T90" s="1"/>
      <c r="U90" s="1"/>
      <c r="V90" s="20">
        <v>1000</v>
      </c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209</v>
      </c>
      <c r="E92" s="11">
        <v>9015378357</v>
      </c>
      <c r="F92" s="11" t="s">
        <v>210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20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211</v>
      </c>
      <c r="F94" s="11" t="s">
        <v>125</v>
      </c>
      <c r="G94" s="18" t="s">
        <v>126</v>
      </c>
      <c r="H94" s="12">
        <f t="shared" si="2"/>
        <v>3000</v>
      </c>
      <c r="I94" s="1"/>
      <c r="J94" s="1"/>
      <c r="K94" s="1"/>
      <c r="L94" s="1"/>
      <c r="M94" s="1"/>
      <c r="N94" s="1"/>
      <c r="O94" s="20">
        <v>1000</v>
      </c>
      <c r="P94" s="20">
        <v>1000</v>
      </c>
      <c r="Q94" s="1"/>
      <c r="R94" s="1"/>
      <c r="S94" s="1"/>
      <c r="T94" s="1"/>
      <c r="U94" s="1"/>
      <c r="V94" s="1"/>
      <c r="W94" s="1"/>
      <c r="X94" s="1"/>
      <c r="Y94" s="20">
        <v>1000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39">
      <c r="H97" s="1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8:39">
      <c r="H98" s="1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8:39">
      <c r="H99" s="1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8:39">
      <c r="H100" s="1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8:39">
      <c r="H101" s="1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8:39">
      <c r="H102" s="1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8:39">
      <c r="H103" s="1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8:39">
      <c r="H104" s="1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8:39">
      <c r="H105" s="1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8:39">
      <c r="H106" s="1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8:39">
      <c r="H107" s="1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8:39">
      <c r="H108" s="1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8:39">
      <c r="H109" s="1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8:39">
      <c r="H110" s="1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8:39">
      <c r="H111" s="1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A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212</v>
      </c>
    </row>
    <row r="2" spans="1:5">
      <c r="A2" s="4"/>
      <c r="B2" s="4"/>
      <c r="C2" s="5" t="s">
        <v>8</v>
      </c>
      <c r="D2" s="6">
        <f>Orders!F2-Collection!H2</f>
        <v>263500</v>
      </c>
      <c r="E2" s="7">
        <f>SUM(D3:D96)</f>
        <v>263500</v>
      </c>
    </row>
    <row r="3" hidden="1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4500</v>
      </c>
    </row>
    <row r="6" hidden="1" spans="1:4">
      <c r="A6" s="8" t="s">
        <v>9</v>
      </c>
      <c r="B6" s="8">
        <v>9102317719</v>
      </c>
      <c r="C6" s="9" t="s">
        <v>15</v>
      </c>
      <c r="D6" s="10">
        <f>Orders!F6-Collection!H6</f>
        <v>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15000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hidden="1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6000</v>
      </c>
    </row>
    <row r="11" hidden="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3600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4000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6500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4000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3000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5000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2000</v>
      </c>
    </row>
    <row r="20" hidden="1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8000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2000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5000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2000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6000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hidden="1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12500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2000</v>
      </c>
    </row>
    <row r="34" hidden="1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1000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hidden="1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hidden="1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4000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hidden="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2000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8000</v>
      </c>
    </row>
    <row r="44" hidden="1" spans="1:4">
      <c r="A44" s="8" t="s">
        <v>51</v>
      </c>
      <c r="B44" s="8">
        <v>9525707958</v>
      </c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4000</v>
      </c>
    </row>
    <row r="46" hidden="1" spans="1:4">
      <c r="A46" s="8" t="s">
        <v>64</v>
      </c>
      <c r="B46" s="8">
        <v>7004687745</v>
      </c>
      <c r="C46" s="9" t="s">
        <v>65</v>
      </c>
      <c r="D46" s="10">
        <f>Orders!F46-Collection!H46</f>
        <v>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4000</v>
      </c>
    </row>
    <row r="48" hidden="1" spans="1:4">
      <c r="A48" s="8" t="s">
        <v>64</v>
      </c>
      <c r="B48" s="8">
        <v>7004729703</v>
      </c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7000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hidden="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hidden="1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4000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2000</v>
      </c>
    </row>
    <row r="55" hidden="1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hidden="1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8000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hidden="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9000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5000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1000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-2000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2000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5000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4000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4300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2000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>
        <v>9905739212</v>
      </c>
      <c r="C90" s="9" t="s">
        <v>121</v>
      </c>
      <c r="D90" s="10">
        <f>Orders!F90-Collection!H90</f>
        <v>1000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2000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1000"/>
        <filter val="1100"/>
        <filter val="2000"/>
        <filter val="3000"/>
        <filter val="3600"/>
        <filter val="4000"/>
        <filter val="4300"/>
        <filter val="4500"/>
        <filter val="5000"/>
        <filter val="6000"/>
        <filter val="6500"/>
        <filter val="7000"/>
        <filter val="8000"/>
        <filter val="9000"/>
        <filter val="12500"/>
        <filter val="15000"/>
        <filter val="263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2021-05-19T02:34:25Z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