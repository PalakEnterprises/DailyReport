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S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I2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O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5000-Recharge
3000-Jio Phone</t>
        </r>
      </text>
    </comment>
    <comment ref="P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T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N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6000-Recharge
3000- Jio Phone</t>
        </r>
      </text>
    </comment>
    <comment ref="O5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2500-Digital</t>
        </r>
      </text>
    </comment>
    <comment ref="M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1700-Cash</t>
        </r>
      </text>
    </comment>
  </commentList>
</comments>
</file>

<file path=xl/sharedStrings.xml><?xml version="1.0" encoding="utf-8"?>
<sst xmlns="http://schemas.openxmlformats.org/spreadsheetml/2006/main" count="682" uniqueCount="216">
  <si>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</si>
  <si>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</si>
  <si>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</si>
  <si>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</si>
  <si>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</si>
  <si>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</si>
  <si>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</si>
  <si>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</si>
  <si>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</si>
  <si>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</si>
  <si>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</si>
  <si>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</si>
  <si>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</si>
  <si>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</si>
  <si>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</si>
  <si>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</si>
  <si>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</si>
  <si>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</si>
  <si>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</si>
  <si>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</si>
  <si>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</si>
  <si>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</si>
  <si>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</si>
  <si>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</si>
  <si>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</si>
  <si>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</si>
  <si>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</si>
  <si>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</si>
  <si>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</si>
  <si>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</si>
  <si>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</si>
  <si>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</si>
  <si>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</si>
  <si>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</si>
  <si>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</si>
  <si>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</si>
  <si>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</si>
  <si>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</si>
  <si>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</si>
  <si>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</si>
  <si>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</si>
  <si>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</si>
  <si>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</si>
  <si>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</si>
  <si>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</si>
  <si>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</si>
  <si>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</si>
  <si>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</si>
  <si>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</si>
  <si>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</si>
  <si>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</si>
  <si>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</si>
  <si>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</si>
  <si>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</si>
  <si>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</si>
  <si>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</si>
  <si>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</si>
  <si>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</si>
  <si>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</si>
  <si>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</si>
  <si>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</si>
  <si>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</si>
  <si>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</si>
  <si>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</si>
  <si>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</si>
  <si>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</si>
  <si>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</si>
  <si>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</si>
  <si>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</si>
  <si>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</si>
  <si>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</si>
  <si>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</si>
  <si>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</si>
  <si>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</si>
  <si>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</si>
  <si>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</si>
  <si>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</si>
  <si>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</si>
  <si>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</si>
  <si>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</si>
  <si>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</si>
  <si>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</si>
  <si>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</si>
  <si>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</si>
  <si>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</si>
  <si>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</si>
  <si>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</si>
  <si>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</si>
  <si>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</si>
  <si>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</si>
  <si>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</si>
  <si>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</si>
  <si>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</si>
  <si>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</si>
  <si>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</si>
  <si>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</si>
  <si>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</si>
  <si>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</si>
  <si>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</si>
  <si>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</si>
  <si>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</si>
  <si>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</si>
  <si>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</si>
  <si>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</si>
  <si>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</si>
  <si>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</si>
  <si>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</si>
  <si>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</si>
  <si>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</si>
  <si>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</si>
  <si>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</si>
  <si>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</si>
  <si>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</si>
  <si>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</si>
  <si>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</si>
  <si>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</si>
  <si>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</si>
  <si>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</si>
  <si>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</si>
  <si>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</si>
  <si>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</si>
  <si>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</si>
  <si>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</si>
  <si>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</si>
  <si>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</si>
  <si>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</si>
  <si>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</si>
  <si>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</si>
  <si>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</si>
  <si>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</si>
  <si>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</si>
  <si>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</si>
  <si>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</si>
  <si>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</si>
  <si>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</si>
  <si>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</si>
  <si>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</si>
  <si>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</si>
  <si>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</si>
  <si>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SUCHENDRA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</si>
  <si>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</si>
  <si>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</si>
  <si>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</si>
  <si>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</si>
  <si>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</si>
  <si>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</si>
  <si>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</si>
  <si>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</si>
  <si>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</si>
  <si>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</si>
  <si>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</si>
  <si>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</si>
  <si>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</si>
  <si>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</si>
  <si>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Kr.(PNB)/Manish</t>
  </si>
  <si>
    <t>YASHWANT</t>
  </si>
  <si>
    <t>Nitish Kr.</t>
  </si>
  <si>
    <t>Nitish Kr./SURESH SA/</t>
  </si>
  <si>
    <t>Basant Kr.</t>
  </si>
  <si>
    <t>Basant Kr./SHREE</t>
  </si>
  <si>
    <t>Binay Lal</t>
  </si>
  <si>
    <t>ABINESH</t>
  </si>
  <si>
    <t>Arman Ala</t>
  </si>
  <si>
    <t>VIKESH/ VK</t>
  </si>
  <si>
    <t>Sonu/Rupa 9708329918</t>
  </si>
  <si>
    <t>PK</t>
  </si>
  <si>
    <t>8709954402/6207783075</t>
  </si>
  <si>
    <t>SHIV PRAK</t>
  </si>
  <si>
    <t>RAJESH(Bandhan Bank)</t>
  </si>
  <si>
    <t>NAUSHAD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</si>
  <si>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</si>
  <si>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</si>
  <si>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</si>
  <si>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</si>
  <si>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</si>
  <si>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</si>
  <si>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</si>
  <si>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</si>
  <si>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</si>
  <si>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</si>
  <si>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</si>
  <si>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</si>
  <si>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</si>
  <si>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</si>
  <si>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Navin Kr. Ojha/SANTOSH SBI</t>
  </si>
  <si>
    <t>UMESH PRA</t>
  </si>
  <si>
    <t>PANKAJ</t>
  </si>
  <si>
    <t>Ranjit Kr. 9504958065</t>
  </si>
  <si>
    <t>Amresh Kr.</t>
  </si>
  <si>
    <t>Amresh Kr./HONSI/GAUTAM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</si>
  <si>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</si>
  <si>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</si>
  <si>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</si>
  <si>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</si>
  <si>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</si>
  <si>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</si>
  <si>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</si>
  <si>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</si>
  <si>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</si>
  <si>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</si>
  <si>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</si>
  <si>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</si>
  <si>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</si>
  <si>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</si>
  <si>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</si>
  <si>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</si>
  <si>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</si>
  <si>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</si>
  <si>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</si>
  <si>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</si>
  <si>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</si>
  <si>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</si>
  <si>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</si>
  <si>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</si>
  <si>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Dues Amount</t>
  </si>
  <si>
    <t>Tabakala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</si>
</sst>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7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22" borderId="5" applyNumberFormat="0" applyFon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35" borderId="6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7" fillId="29" borderId="7" applyNumberFormat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4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42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7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6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A3524"/>
      <color rgb="00FC9B02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4"/>
  <sheetViews>
    <sheetView workbookViewId="0">
      <pane xSplit="7" ySplit="2" topLeftCell="Q49" activePane="bottomRight" state="frozen"/>
      <selection/>
      <selection pane="topRight"/>
      <selection pane="bottomLeft"/>
      <selection pane="bottomRight" activeCell="U69" sqref="U69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38" width="9.14285714285714" style="11"/>
    <col min="39" max="39" width="9.14285714285714" style="1"/>
    <col min="40" max="16384" width="9.14285714285714" style="11"/>
  </cols>
  <sheetData>
    <row r="1" s="15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>
        <v>44348</v>
      </c>
      <c r="J1" s="32">
        <v>44349</v>
      </c>
      <c r="K1" s="32">
        <v>44350</v>
      </c>
      <c r="L1" s="32">
        <v>44351</v>
      </c>
      <c r="M1" s="32">
        <v>44352</v>
      </c>
      <c r="N1" s="32">
        <v>44353</v>
      </c>
      <c r="O1" s="32">
        <v>44354</v>
      </c>
      <c r="P1" s="32">
        <v>44355</v>
      </c>
      <c r="Q1" s="32">
        <v>44356</v>
      </c>
      <c r="R1" s="32">
        <v>44357</v>
      </c>
      <c r="S1" s="32">
        <v>44358</v>
      </c>
      <c r="T1" s="32">
        <v>44359</v>
      </c>
      <c r="U1" s="32">
        <v>44360</v>
      </c>
      <c r="V1" s="32">
        <v>44361</v>
      </c>
      <c r="W1" s="32">
        <v>44362</v>
      </c>
      <c r="X1" s="32">
        <v>44363</v>
      </c>
      <c r="Y1" s="32">
        <v>44364</v>
      </c>
      <c r="Z1" s="32">
        <v>44365</v>
      </c>
      <c r="AA1" s="32">
        <v>44366</v>
      </c>
      <c r="AB1" s="32">
        <v>44367</v>
      </c>
      <c r="AC1" s="32">
        <v>44368</v>
      </c>
      <c r="AD1" s="32">
        <v>44369</v>
      </c>
      <c r="AE1" s="32">
        <v>44370</v>
      </c>
      <c r="AF1" s="32">
        <v>44371</v>
      </c>
      <c r="AG1" s="32">
        <v>44372</v>
      </c>
      <c r="AH1" s="32">
        <v>44373</v>
      </c>
      <c r="AI1" s="32">
        <v>44374</v>
      </c>
      <c r="AJ1" s="32">
        <v>44375</v>
      </c>
      <c r="AK1" s="32">
        <v>44376</v>
      </c>
      <c r="AL1" s="32">
        <v>44377</v>
      </c>
      <c r="AM1" s="1"/>
      <c r="AN1" s="33"/>
      <c r="AO1" s="33"/>
      <c r="AP1" s="33"/>
      <c r="AQ1" s="33"/>
      <c r="AR1" s="33"/>
      <c r="AS1" s="33"/>
    </row>
    <row r="2" s="15" customFormat="1" spans="1:39">
      <c r="A2" s="17"/>
      <c r="B2" s="26">
        <f>SUM(F3:F121)</f>
        <v>800900</v>
      </c>
      <c r="D2" s="18">
        <f>SUM(G3:G121)</f>
        <v>552240</v>
      </c>
      <c r="E2" s="19" t="s">
        <v>8</v>
      </c>
      <c r="F2" s="27">
        <f>G2/1.04+H2</f>
        <v>800900</v>
      </c>
      <c r="G2" s="18">
        <f>SUM(I2:AM2)</f>
        <v>552240</v>
      </c>
      <c r="H2" s="28">
        <f>SUM(H3:H121)</f>
        <v>269900</v>
      </c>
      <c r="I2" s="15">
        <f>SUM(I3:I121)</f>
        <v>46800</v>
      </c>
      <c r="J2" s="15">
        <f t="shared" ref="J2:AL2" si="0">SUM(J3:J121)</f>
        <v>55120</v>
      </c>
      <c r="K2" s="15">
        <f t="shared" si="0"/>
        <v>41600</v>
      </c>
      <c r="L2" s="15">
        <f t="shared" si="0"/>
        <v>38480</v>
      </c>
      <c r="M2" s="15">
        <f t="shared" si="0"/>
        <v>44720</v>
      </c>
      <c r="N2" s="15">
        <f t="shared" si="0"/>
        <v>35360</v>
      </c>
      <c r="O2" s="15">
        <f t="shared" si="0"/>
        <v>58240</v>
      </c>
      <c r="P2" s="15">
        <f t="shared" si="0"/>
        <v>54080</v>
      </c>
      <c r="Q2" s="15">
        <f t="shared" si="0"/>
        <v>54080</v>
      </c>
      <c r="R2" s="15">
        <f t="shared" si="0"/>
        <v>44720</v>
      </c>
      <c r="S2" s="15">
        <f t="shared" si="0"/>
        <v>34320</v>
      </c>
      <c r="T2" s="15">
        <f t="shared" si="0"/>
        <v>40560</v>
      </c>
      <c r="U2" s="15">
        <f t="shared" si="0"/>
        <v>4160</v>
      </c>
      <c r="V2" s="15">
        <f t="shared" si="0"/>
        <v>0</v>
      </c>
      <c r="W2" s="15">
        <f t="shared" si="0"/>
        <v>0</v>
      </c>
      <c r="X2" s="15">
        <f t="shared" si="0"/>
        <v>0</v>
      </c>
      <c r="Y2" s="15">
        <f t="shared" si="0"/>
        <v>0</v>
      </c>
      <c r="Z2" s="15">
        <f t="shared" si="0"/>
        <v>0</v>
      </c>
      <c r="AA2" s="15">
        <f t="shared" si="0"/>
        <v>0</v>
      </c>
      <c r="AB2" s="15">
        <f t="shared" si="0"/>
        <v>0</v>
      </c>
      <c r="AC2" s="15">
        <f t="shared" si="0"/>
        <v>0</v>
      </c>
      <c r="AD2" s="15">
        <f t="shared" si="0"/>
        <v>0</v>
      </c>
      <c r="AE2" s="15">
        <f t="shared" si="0"/>
        <v>0</v>
      </c>
      <c r="AF2" s="15">
        <f t="shared" si="0"/>
        <v>0</v>
      </c>
      <c r="AG2" s="15">
        <f t="shared" si="0"/>
        <v>0</v>
      </c>
      <c r="AH2" s="15">
        <f t="shared" si="0"/>
        <v>0</v>
      </c>
      <c r="AI2" s="15">
        <f t="shared" si="0"/>
        <v>0</v>
      </c>
      <c r="AJ2" s="15">
        <f t="shared" si="0"/>
        <v>0</v>
      </c>
      <c r="AK2" s="15">
        <f t="shared" si="0"/>
        <v>0</v>
      </c>
      <c r="AL2" s="15">
        <f t="shared" si="0"/>
        <v>0</v>
      </c>
      <c r="AM2" s="1"/>
    </row>
    <row r="3" s="11" customFormat="1" spans="1:50">
      <c r="A3" s="11">
        <v>1</v>
      </c>
      <c r="D3" s="11" t="s">
        <v>9</v>
      </c>
      <c r="E3" s="21" t="s">
        <v>10</v>
      </c>
      <c r="F3" s="15">
        <f>G3/1.04+H3</f>
        <v>4000</v>
      </c>
      <c r="G3" s="15">
        <f>SUM(I3:AM3)</f>
        <v>4160</v>
      </c>
      <c r="H3" s="29">
        <v>0</v>
      </c>
      <c r="I3" s="1"/>
      <c r="J3" s="1"/>
      <c r="K3" s="1"/>
      <c r="L3" s="1">
        <v>2080</v>
      </c>
      <c r="M3" s="1"/>
      <c r="N3" s="1"/>
      <c r="O3" s="1"/>
      <c r="P3" s="1"/>
      <c r="Q3" s="1"/>
      <c r="R3" s="1"/>
      <c r="S3" s="1">
        <v>2080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1" customFormat="1" spans="1:50">
      <c r="A4" s="11">
        <v>2</v>
      </c>
      <c r="D4" s="11" t="s">
        <v>9</v>
      </c>
      <c r="E4" s="21" t="s">
        <v>11</v>
      </c>
      <c r="F4" s="15">
        <f t="shared" ref="F4:F35" si="1">G4/1.04+H4</f>
        <v>2000</v>
      </c>
      <c r="G4" s="15">
        <f t="shared" ref="G4:G35" si="2">SUM(I4:AM4)</f>
        <v>2080</v>
      </c>
      <c r="H4" s="29">
        <v>0</v>
      </c>
      <c r="I4" s="1"/>
      <c r="J4" s="1"/>
      <c r="K4" s="1"/>
      <c r="L4" s="1"/>
      <c r="M4" s="1">
        <v>2080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1" customFormat="1" spans="1:50">
      <c r="A5" s="11">
        <v>3</v>
      </c>
      <c r="B5" s="11" t="s">
        <v>12</v>
      </c>
      <c r="D5" s="11" t="s">
        <v>9</v>
      </c>
      <c r="E5" s="21" t="s">
        <v>13</v>
      </c>
      <c r="F5" s="15">
        <f t="shared" si="1"/>
        <v>6000</v>
      </c>
      <c r="G5" s="15">
        <f t="shared" si="2"/>
        <v>6240</v>
      </c>
      <c r="H5" s="29">
        <v>0</v>
      </c>
      <c r="I5" s="1"/>
      <c r="J5" s="1"/>
      <c r="K5" s="1">
        <v>2080</v>
      </c>
      <c r="L5" s="1"/>
      <c r="M5" s="1"/>
      <c r="N5" s="1"/>
      <c r="O5" s="1"/>
      <c r="P5" s="1"/>
      <c r="Q5" s="1">
        <v>2080</v>
      </c>
      <c r="R5" s="1"/>
      <c r="S5" s="1"/>
      <c r="T5" s="1">
        <v>2080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1" customFormat="1" spans="1:50">
      <c r="A6" s="11">
        <v>4</v>
      </c>
      <c r="B6" s="11" t="s">
        <v>14</v>
      </c>
      <c r="D6" s="11" t="s">
        <v>9</v>
      </c>
      <c r="E6" s="21" t="s">
        <v>15</v>
      </c>
      <c r="F6" s="15">
        <f t="shared" si="1"/>
        <v>12000</v>
      </c>
      <c r="G6" s="15">
        <f t="shared" si="2"/>
        <v>12480</v>
      </c>
      <c r="H6" s="29">
        <v>0</v>
      </c>
      <c r="I6" s="1"/>
      <c r="J6" s="1">
        <v>2080</v>
      </c>
      <c r="K6" s="1"/>
      <c r="L6" s="1">
        <v>2080</v>
      </c>
      <c r="M6" s="1"/>
      <c r="N6" s="1"/>
      <c r="O6" s="1">
        <v>2080</v>
      </c>
      <c r="P6" s="1">
        <v>2080</v>
      </c>
      <c r="Q6" s="1"/>
      <c r="R6" s="1"/>
      <c r="S6" s="1">
        <v>2080</v>
      </c>
      <c r="T6" s="1">
        <v>2080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1" customFormat="1" spans="1:50">
      <c r="A7" s="11">
        <v>5</v>
      </c>
      <c r="B7" s="11" t="s">
        <v>16</v>
      </c>
      <c r="D7" s="11" t="s">
        <v>9</v>
      </c>
      <c r="E7" s="21" t="s">
        <v>17</v>
      </c>
      <c r="F7" s="15">
        <f t="shared" si="1"/>
        <v>37000</v>
      </c>
      <c r="G7" s="15">
        <f t="shared" si="2"/>
        <v>20800</v>
      </c>
      <c r="H7" s="29">
        <v>17000</v>
      </c>
      <c r="I7" s="1"/>
      <c r="J7" s="1">
        <v>2080</v>
      </c>
      <c r="K7" s="1"/>
      <c r="L7" s="1">
        <v>2080</v>
      </c>
      <c r="M7" s="1">
        <v>2080</v>
      </c>
      <c r="N7" s="1">
        <v>2080</v>
      </c>
      <c r="O7" s="1">
        <v>2080</v>
      </c>
      <c r="P7" s="1">
        <v>4160</v>
      </c>
      <c r="Q7" s="1">
        <v>2080</v>
      </c>
      <c r="R7" s="1"/>
      <c r="S7" s="1">
        <v>4160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1" customFormat="1" spans="1:50">
      <c r="A8" s="11">
        <v>6</v>
      </c>
      <c r="B8" s="11" t="s">
        <v>18</v>
      </c>
      <c r="D8" s="11" t="s">
        <v>9</v>
      </c>
      <c r="E8" s="21" t="s">
        <v>19</v>
      </c>
      <c r="F8" s="15">
        <f t="shared" si="1"/>
        <v>4000</v>
      </c>
      <c r="G8" s="15">
        <f t="shared" si="2"/>
        <v>4160</v>
      </c>
      <c r="H8" s="29">
        <v>0</v>
      </c>
      <c r="I8" s="1"/>
      <c r="J8" s="1"/>
      <c r="K8" s="1">
        <v>2080</v>
      </c>
      <c r="L8" s="1"/>
      <c r="M8" s="1"/>
      <c r="N8" s="1"/>
      <c r="O8" s="1">
        <v>2080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1" customFormat="1" spans="1:50">
      <c r="A9" s="11">
        <v>7</v>
      </c>
      <c r="D9" s="11" t="s">
        <v>9</v>
      </c>
      <c r="E9" s="21" t="s">
        <v>20</v>
      </c>
      <c r="F9" s="15">
        <f t="shared" si="1"/>
        <v>2000</v>
      </c>
      <c r="G9" s="15">
        <f t="shared" si="2"/>
        <v>2080</v>
      </c>
      <c r="H9" s="29">
        <v>0</v>
      </c>
      <c r="I9" s="1"/>
      <c r="J9" s="1"/>
      <c r="K9" s="1"/>
      <c r="L9" s="1"/>
      <c r="M9" s="1"/>
      <c r="N9" s="1"/>
      <c r="O9" s="1"/>
      <c r="P9" s="1">
        <v>2080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1" customFormat="1" spans="1:50">
      <c r="A10" s="11">
        <v>8</v>
      </c>
      <c r="B10" s="11" t="s">
        <v>21</v>
      </c>
      <c r="D10" s="11" t="s">
        <v>9</v>
      </c>
      <c r="E10" s="21" t="s">
        <v>22</v>
      </c>
      <c r="F10" s="15">
        <f t="shared" si="1"/>
        <v>20000</v>
      </c>
      <c r="G10" s="15">
        <f t="shared" si="2"/>
        <v>15600</v>
      </c>
      <c r="H10" s="29">
        <v>5000</v>
      </c>
      <c r="I10" s="1">
        <v>5200</v>
      </c>
      <c r="J10" s="1"/>
      <c r="K10" s="1"/>
      <c r="L10" s="1"/>
      <c r="M10" s="1">
        <v>5200</v>
      </c>
      <c r="N10" s="1"/>
      <c r="O10" s="1"/>
      <c r="P10" s="1">
        <v>5200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1" customFormat="1" spans="1:50">
      <c r="A11" s="11">
        <v>9</v>
      </c>
      <c r="D11" s="11" t="s">
        <v>23</v>
      </c>
      <c r="E11" s="21" t="s">
        <v>24</v>
      </c>
      <c r="F11" s="15">
        <f t="shared" si="1"/>
        <v>4000</v>
      </c>
      <c r="G11" s="15">
        <f t="shared" si="2"/>
        <v>4160</v>
      </c>
      <c r="H11" s="29">
        <v>0</v>
      </c>
      <c r="I11" s="1"/>
      <c r="J11" s="1"/>
      <c r="K11" s="1"/>
      <c r="L11" s="1"/>
      <c r="M11" s="1"/>
      <c r="N11" s="1"/>
      <c r="O11" s="1"/>
      <c r="P11" s="1"/>
      <c r="Q11" s="1">
        <v>2080</v>
      </c>
      <c r="R11" s="1"/>
      <c r="S11" s="1">
        <v>2080</v>
      </c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1" customFormat="1" spans="1:50">
      <c r="A12" s="11">
        <v>10</v>
      </c>
      <c r="D12" s="11" t="s">
        <v>23</v>
      </c>
      <c r="E12" s="21" t="s">
        <v>25</v>
      </c>
      <c r="F12" s="15">
        <f t="shared" si="1"/>
        <v>4000</v>
      </c>
      <c r="G12" s="15">
        <f t="shared" si="2"/>
        <v>2080</v>
      </c>
      <c r="H12" s="29">
        <v>2000</v>
      </c>
      <c r="I12" s="1"/>
      <c r="J12" s="1"/>
      <c r="K12" s="1"/>
      <c r="L12" s="1">
        <v>2080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1" customFormat="1" spans="1:50">
      <c r="A13" s="11">
        <v>11</v>
      </c>
      <c r="D13" s="11" t="s">
        <v>23</v>
      </c>
      <c r="E13" s="21" t="s">
        <v>26</v>
      </c>
      <c r="F13" s="15">
        <f t="shared" si="1"/>
        <v>20000</v>
      </c>
      <c r="G13" s="15">
        <f t="shared" si="2"/>
        <v>15600</v>
      </c>
      <c r="H13" s="29">
        <v>5000</v>
      </c>
      <c r="I13" s="1"/>
      <c r="J13" s="1"/>
      <c r="K13" s="1">
        <v>5200</v>
      </c>
      <c r="L13" s="1"/>
      <c r="M13" s="1"/>
      <c r="N13" s="1"/>
      <c r="O13" s="1">
        <v>5200</v>
      </c>
      <c r="P13" s="1"/>
      <c r="Q13" s="1"/>
      <c r="R13" s="1">
        <v>5200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1" customFormat="1" spans="1:50">
      <c r="A14" s="11">
        <v>12</v>
      </c>
      <c r="D14" s="11" t="s">
        <v>23</v>
      </c>
      <c r="E14" s="21" t="s">
        <v>27</v>
      </c>
      <c r="F14" s="15">
        <f t="shared" si="1"/>
        <v>18500</v>
      </c>
      <c r="G14" s="15">
        <f t="shared" si="2"/>
        <v>12480</v>
      </c>
      <c r="H14" s="29">
        <v>6500</v>
      </c>
      <c r="I14" s="1">
        <v>2080</v>
      </c>
      <c r="J14" s="1"/>
      <c r="K14" s="1"/>
      <c r="L14" s="1">
        <v>2080</v>
      </c>
      <c r="M14" s="1">
        <v>2080</v>
      </c>
      <c r="N14" s="1"/>
      <c r="O14" s="1">
        <v>2080</v>
      </c>
      <c r="P14" s="1"/>
      <c r="Q14" s="1">
        <v>2080</v>
      </c>
      <c r="R14" s="1">
        <v>2080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1" customFormat="1" spans="1:50">
      <c r="A15" s="11">
        <v>13</v>
      </c>
      <c r="B15" s="11" t="s">
        <v>28</v>
      </c>
      <c r="D15" s="11" t="s">
        <v>23</v>
      </c>
      <c r="E15" s="21" t="s">
        <v>29</v>
      </c>
      <c r="F15" s="15">
        <f t="shared" si="1"/>
        <v>4000</v>
      </c>
      <c r="G15" s="15">
        <f t="shared" si="2"/>
        <v>2080</v>
      </c>
      <c r="H15" s="29">
        <v>2000</v>
      </c>
      <c r="I15" s="1"/>
      <c r="J15" s="1"/>
      <c r="K15" s="1"/>
      <c r="L15" s="1"/>
      <c r="M15" s="1"/>
      <c r="N15" s="1"/>
      <c r="O15" s="1"/>
      <c r="P15" s="1">
        <v>2080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1" customFormat="1" spans="1:50">
      <c r="A16" s="11">
        <v>14</v>
      </c>
      <c r="D16" s="11" t="s">
        <v>23</v>
      </c>
      <c r="E16" s="21" t="s">
        <v>30</v>
      </c>
      <c r="F16" s="15">
        <f t="shared" si="1"/>
        <v>3000</v>
      </c>
      <c r="G16" s="15">
        <f t="shared" si="2"/>
        <v>1040</v>
      </c>
      <c r="H16" s="29">
        <v>2000</v>
      </c>
      <c r="I16" s="1"/>
      <c r="J16" s="1"/>
      <c r="K16" s="1"/>
      <c r="L16" s="1"/>
      <c r="M16" s="1"/>
      <c r="N16" s="1"/>
      <c r="O16" s="1"/>
      <c r="P16" s="1">
        <v>1040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1" customFormat="1" spans="1:50">
      <c r="A17" s="11">
        <v>15</v>
      </c>
      <c r="B17" s="11" t="s">
        <v>31</v>
      </c>
      <c r="D17" s="11" t="s">
        <v>23</v>
      </c>
      <c r="E17" s="21" t="s">
        <v>32</v>
      </c>
      <c r="F17" s="15">
        <f t="shared" si="1"/>
        <v>7000</v>
      </c>
      <c r="G17" s="15">
        <f t="shared" si="2"/>
        <v>2080</v>
      </c>
      <c r="H17" s="29">
        <v>5000</v>
      </c>
      <c r="I17" s="1">
        <v>2080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1" customFormat="1" spans="1:50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5">
        <f t="shared" si="1"/>
        <v>4000</v>
      </c>
      <c r="G18" s="15">
        <f t="shared" si="2"/>
        <v>2080</v>
      </c>
      <c r="H18" s="29">
        <v>2000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>
        <v>2080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1" customFormat="1" spans="1:50">
      <c r="A19" s="11">
        <v>17</v>
      </c>
      <c r="D19" s="11" t="s">
        <v>23</v>
      </c>
      <c r="E19" s="21" t="s">
        <v>35</v>
      </c>
      <c r="F19" s="15">
        <f t="shared" si="1"/>
        <v>3000</v>
      </c>
      <c r="G19" s="15">
        <f t="shared" si="2"/>
        <v>3120</v>
      </c>
      <c r="H19" s="29">
        <v>0</v>
      </c>
      <c r="I19" s="1"/>
      <c r="J19" s="1"/>
      <c r="K19" s="1"/>
      <c r="L19" s="1"/>
      <c r="M19" s="1"/>
      <c r="N19" s="1">
        <v>3120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1" customFormat="1" spans="1:50">
      <c r="A20" s="11">
        <v>18</v>
      </c>
      <c r="D20" s="11" t="s">
        <v>36</v>
      </c>
      <c r="E20" s="21" t="s">
        <v>37</v>
      </c>
      <c r="F20" s="15">
        <f t="shared" si="1"/>
        <v>6000</v>
      </c>
      <c r="G20" s="15">
        <f t="shared" si="2"/>
        <v>6240</v>
      </c>
      <c r="H20" s="29">
        <v>0</v>
      </c>
      <c r="I20" s="1"/>
      <c r="J20" s="1">
        <v>2080</v>
      </c>
      <c r="K20" s="1"/>
      <c r="L20" s="1"/>
      <c r="M20" s="1"/>
      <c r="N20" s="1"/>
      <c r="O20" s="1"/>
      <c r="P20" s="1">
        <v>2080</v>
      </c>
      <c r="Q20" s="1"/>
      <c r="R20" s="1"/>
      <c r="S20" s="1">
        <v>2080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1" customFormat="1" spans="1:50">
      <c r="A21" s="11">
        <v>19</v>
      </c>
      <c r="D21" s="11" t="s">
        <v>36</v>
      </c>
      <c r="E21" s="21" t="s">
        <v>38</v>
      </c>
      <c r="F21" s="15">
        <f t="shared" si="1"/>
        <v>6000</v>
      </c>
      <c r="G21" s="15">
        <f t="shared" si="2"/>
        <v>4160</v>
      </c>
      <c r="H21" s="29">
        <v>2000</v>
      </c>
      <c r="I21" s="1"/>
      <c r="J21" s="1"/>
      <c r="K21" s="1"/>
      <c r="L21" s="1"/>
      <c r="M21" s="1">
        <v>2080</v>
      </c>
      <c r="N21" s="1"/>
      <c r="O21" s="1"/>
      <c r="P21" s="1"/>
      <c r="Q21" s="1"/>
      <c r="R21" s="1">
        <v>2080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1" customFormat="1" spans="1:50">
      <c r="A22" s="11">
        <v>20</v>
      </c>
      <c r="D22" s="11" t="s">
        <v>36</v>
      </c>
      <c r="E22" s="21" t="s">
        <v>39</v>
      </c>
      <c r="F22" s="15">
        <f t="shared" si="1"/>
        <v>1000</v>
      </c>
      <c r="G22" s="15">
        <f t="shared" si="2"/>
        <v>0</v>
      </c>
      <c r="H22" s="29">
        <v>1000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1" customFormat="1" spans="1:50">
      <c r="A23" s="11">
        <v>21</v>
      </c>
      <c r="D23" s="11" t="s">
        <v>36</v>
      </c>
      <c r="E23" s="21" t="s">
        <v>40</v>
      </c>
      <c r="F23" s="15">
        <f t="shared" si="1"/>
        <v>20000</v>
      </c>
      <c r="G23" s="15">
        <f t="shared" si="2"/>
        <v>16640</v>
      </c>
      <c r="H23" s="29">
        <v>4000</v>
      </c>
      <c r="I23" s="1">
        <v>4160</v>
      </c>
      <c r="J23" s="1">
        <v>2080</v>
      </c>
      <c r="K23" s="1"/>
      <c r="L23" s="1">
        <v>2080</v>
      </c>
      <c r="M23" s="1">
        <v>2080</v>
      </c>
      <c r="N23" s="1">
        <v>2080</v>
      </c>
      <c r="O23" s="1"/>
      <c r="P23" s="1"/>
      <c r="Q23" s="1"/>
      <c r="R23" s="1">
        <v>2080</v>
      </c>
      <c r="S23" s="1"/>
      <c r="T23" s="1">
        <v>2080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1" customFormat="1" spans="1:50">
      <c r="A24" s="11">
        <v>22</v>
      </c>
      <c r="D24" s="11" t="s">
        <v>36</v>
      </c>
      <c r="E24" s="21" t="s">
        <v>41</v>
      </c>
      <c r="F24" s="15">
        <f t="shared" si="1"/>
        <v>4000</v>
      </c>
      <c r="G24" s="15">
        <f t="shared" si="2"/>
        <v>4160</v>
      </c>
      <c r="H24" s="29">
        <v>0</v>
      </c>
      <c r="I24" s="1"/>
      <c r="J24" s="1">
        <v>2080</v>
      </c>
      <c r="K24" s="1"/>
      <c r="L24" s="1"/>
      <c r="M24" s="1"/>
      <c r="N24" s="1"/>
      <c r="O24" s="1"/>
      <c r="P24" s="1">
        <v>2080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1" customFormat="1" spans="1:50">
      <c r="A25" s="11">
        <v>23</v>
      </c>
      <c r="D25" s="11" t="s">
        <v>36</v>
      </c>
      <c r="E25" s="21" t="s">
        <v>42</v>
      </c>
      <c r="F25" s="15">
        <f t="shared" si="1"/>
        <v>6000</v>
      </c>
      <c r="G25" s="15">
        <f t="shared" si="2"/>
        <v>4160</v>
      </c>
      <c r="H25" s="29">
        <v>2000</v>
      </c>
      <c r="I25" s="1"/>
      <c r="J25" s="1"/>
      <c r="K25" s="1"/>
      <c r="L25" s="1">
        <v>2080</v>
      </c>
      <c r="M25" s="1"/>
      <c r="N25" s="1"/>
      <c r="O25" s="1">
        <v>2080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1" customFormat="1" spans="1:50">
      <c r="A26" s="11">
        <v>24</v>
      </c>
      <c r="D26" s="11" t="s">
        <v>36</v>
      </c>
      <c r="E26" s="21" t="s">
        <v>43</v>
      </c>
      <c r="F26" s="15">
        <f t="shared" si="1"/>
        <v>18000</v>
      </c>
      <c r="G26" s="15">
        <f t="shared" si="2"/>
        <v>16640</v>
      </c>
      <c r="H26" s="29">
        <v>2000</v>
      </c>
      <c r="I26" s="1">
        <v>2080</v>
      </c>
      <c r="J26" s="1">
        <v>2080</v>
      </c>
      <c r="K26" s="1">
        <v>2080</v>
      </c>
      <c r="L26" s="1"/>
      <c r="M26" s="1">
        <v>5200</v>
      </c>
      <c r="N26" s="1"/>
      <c r="O26" s="1"/>
      <c r="P26" s="1"/>
      <c r="Q26" s="1">
        <v>5200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1" customFormat="1" spans="1:50">
      <c r="A27" s="11">
        <v>25</v>
      </c>
      <c r="D27" s="11" t="s">
        <v>36</v>
      </c>
      <c r="E27" s="21" t="s">
        <v>44</v>
      </c>
      <c r="F27" s="15">
        <f t="shared" si="1"/>
        <v>8000</v>
      </c>
      <c r="G27" s="15">
        <f t="shared" si="2"/>
        <v>4160</v>
      </c>
      <c r="H27" s="29">
        <v>4000</v>
      </c>
      <c r="I27" s="1"/>
      <c r="J27" s="1"/>
      <c r="K27" s="1"/>
      <c r="L27" s="1"/>
      <c r="M27" s="1"/>
      <c r="N27" s="1"/>
      <c r="O27" s="1"/>
      <c r="P27" s="1">
        <v>2080</v>
      </c>
      <c r="Q27" s="1"/>
      <c r="R27" s="1"/>
      <c r="S27" s="1">
        <v>2080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1" customFormat="1" spans="1:50">
      <c r="A28" s="11">
        <v>26</v>
      </c>
      <c r="D28" s="11" t="s">
        <v>36</v>
      </c>
      <c r="E28" s="21" t="s">
        <v>45</v>
      </c>
      <c r="F28" s="15">
        <f t="shared" si="1"/>
        <v>6000</v>
      </c>
      <c r="G28" s="15">
        <f t="shared" si="2"/>
        <v>4160</v>
      </c>
      <c r="H28" s="29">
        <v>2000</v>
      </c>
      <c r="I28" s="1"/>
      <c r="J28" s="1"/>
      <c r="K28" s="1"/>
      <c r="L28" s="1"/>
      <c r="M28" s="1"/>
      <c r="N28" s="1">
        <v>2080</v>
      </c>
      <c r="O28" s="1"/>
      <c r="P28" s="1"/>
      <c r="Q28" s="1">
        <v>2080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1" customFormat="1" spans="1:50">
      <c r="A29" s="11">
        <v>27</v>
      </c>
      <c r="D29" s="11" t="s">
        <v>36</v>
      </c>
      <c r="E29" s="21" t="s">
        <v>46</v>
      </c>
      <c r="F29" s="15">
        <f t="shared" si="1"/>
        <v>4000</v>
      </c>
      <c r="G29" s="15">
        <f t="shared" si="2"/>
        <v>4160</v>
      </c>
      <c r="H29" s="29">
        <v>0</v>
      </c>
      <c r="I29" s="1"/>
      <c r="J29" s="1"/>
      <c r="K29" s="1">
        <v>2080</v>
      </c>
      <c r="L29" s="1"/>
      <c r="M29" s="1"/>
      <c r="N29" s="1"/>
      <c r="O29" s="1"/>
      <c r="P29" s="1">
        <v>2080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1" customFormat="1" spans="1:50">
      <c r="A30" s="11">
        <v>28</v>
      </c>
      <c r="D30" s="11" t="s">
        <v>36</v>
      </c>
      <c r="E30" s="21" t="s">
        <v>47</v>
      </c>
      <c r="F30" s="15">
        <f t="shared" si="1"/>
        <v>8000</v>
      </c>
      <c r="G30" s="15">
        <f t="shared" si="2"/>
        <v>4160</v>
      </c>
      <c r="H30" s="29">
        <v>4000</v>
      </c>
      <c r="I30" s="1"/>
      <c r="J30" s="1"/>
      <c r="K30" s="1"/>
      <c r="L30" s="1"/>
      <c r="M30" s="1"/>
      <c r="N30" s="1"/>
      <c r="O30" s="1"/>
      <c r="P30" s="1">
        <v>2080</v>
      </c>
      <c r="Q30" s="1"/>
      <c r="R30" s="1"/>
      <c r="S30" s="1"/>
      <c r="T30" s="1">
        <v>2080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1" customFormat="1" spans="1:50">
      <c r="A31" s="11">
        <v>29</v>
      </c>
      <c r="D31" s="11" t="s">
        <v>36</v>
      </c>
      <c r="E31" s="21" t="s">
        <v>48</v>
      </c>
      <c r="F31" s="15">
        <f t="shared" si="1"/>
        <v>4000</v>
      </c>
      <c r="G31" s="15">
        <f t="shared" si="2"/>
        <v>4160</v>
      </c>
      <c r="H31" s="29">
        <v>0</v>
      </c>
      <c r="I31" s="1"/>
      <c r="J31" s="1"/>
      <c r="K31" s="1"/>
      <c r="L31" s="1">
        <v>2080</v>
      </c>
      <c r="M31" s="1"/>
      <c r="N31" s="1"/>
      <c r="O31" s="1"/>
      <c r="P31" s="1"/>
      <c r="Q31" s="1"/>
      <c r="R31" s="1">
        <v>2080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1" customFormat="1" spans="1:50">
      <c r="A32" s="11">
        <v>30</v>
      </c>
      <c r="D32" s="11" t="s">
        <v>36</v>
      </c>
      <c r="E32" s="21" t="s">
        <v>49</v>
      </c>
      <c r="F32" s="15">
        <f t="shared" si="1"/>
        <v>30000</v>
      </c>
      <c r="G32" s="15">
        <f t="shared" si="2"/>
        <v>20800</v>
      </c>
      <c r="H32" s="29">
        <v>10000</v>
      </c>
      <c r="I32" s="1"/>
      <c r="J32" s="1"/>
      <c r="K32" s="1">
        <v>5200</v>
      </c>
      <c r="L32" s="1"/>
      <c r="M32" s="1"/>
      <c r="N32" s="1">
        <v>5200</v>
      </c>
      <c r="O32" s="1">
        <v>5200</v>
      </c>
      <c r="P32" s="1"/>
      <c r="Q32" s="1"/>
      <c r="R32" s="1"/>
      <c r="S32" s="1"/>
      <c r="T32" s="1">
        <v>5200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1" customFormat="1" spans="1:50">
      <c r="A33" s="11">
        <v>31</v>
      </c>
      <c r="D33" s="11" t="s">
        <v>36</v>
      </c>
      <c r="E33" s="21" t="s">
        <v>50</v>
      </c>
      <c r="F33" s="15">
        <f t="shared" si="1"/>
        <v>8000</v>
      </c>
      <c r="G33" s="15">
        <f t="shared" si="2"/>
        <v>4160</v>
      </c>
      <c r="H33" s="29">
        <v>4000</v>
      </c>
      <c r="I33" s="1"/>
      <c r="J33" s="1"/>
      <c r="K33" s="1"/>
      <c r="L33" s="1">
        <v>2080</v>
      </c>
      <c r="M33" s="1"/>
      <c r="N33" s="1"/>
      <c r="O33" s="1"/>
      <c r="P33" s="1"/>
      <c r="Q33" s="1">
        <v>2080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1" customFormat="1" spans="1:50">
      <c r="A34" s="11">
        <v>32</v>
      </c>
      <c r="D34" s="11" t="s">
        <v>51</v>
      </c>
      <c r="E34" s="21" t="s">
        <v>52</v>
      </c>
      <c r="F34" s="15">
        <f t="shared" si="1"/>
        <v>8000</v>
      </c>
      <c r="G34" s="15">
        <f t="shared" si="2"/>
        <v>6240</v>
      </c>
      <c r="H34" s="29">
        <v>2000</v>
      </c>
      <c r="I34" s="1">
        <v>2080</v>
      </c>
      <c r="J34" s="1"/>
      <c r="K34" s="1"/>
      <c r="L34" s="1"/>
      <c r="M34" s="1"/>
      <c r="N34" s="1"/>
      <c r="O34" s="1">
        <v>2080</v>
      </c>
      <c r="P34" s="1"/>
      <c r="Q34" s="1"/>
      <c r="R34" s="1">
        <v>2080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1" customFormat="1" spans="1:50">
      <c r="A35" s="11">
        <v>33</v>
      </c>
      <c r="D35" s="11" t="s">
        <v>51</v>
      </c>
      <c r="E35" s="21" t="s">
        <v>53</v>
      </c>
      <c r="F35" s="15">
        <f t="shared" si="1"/>
        <v>13000</v>
      </c>
      <c r="G35" s="15">
        <f t="shared" si="2"/>
        <v>10400</v>
      </c>
      <c r="H35" s="29">
        <v>3000</v>
      </c>
      <c r="I35" s="1">
        <v>2080</v>
      </c>
      <c r="J35" s="1"/>
      <c r="K35" s="1"/>
      <c r="L35" s="1"/>
      <c r="M35" s="1">
        <v>2080</v>
      </c>
      <c r="N35" s="1"/>
      <c r="O35" s="1">
        <v>2080</v>
      </c>
      <c r="P35" s="1"/>
      <c r="Q35" s="1">
        <v>2080</v>
      </c>
      <c r="R35" s="1"/>
      <c r="S35" s="1"/>
      <c r="T35" s="1">
        <v>2080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1" customFormat="1" spans="1:50">
      <c r="A36" s="11">
        <v>34</v>
      </c>
      <c r="D36" s="11" t="s">
        <v>51</v>
      </c>
      <c r="E36" s="21" t="s">
        <v>54</v>
      </c>
      <c r="F36" s="15">
        <f t="shared" ref="F36:F67" si="3">G36/1.04+H36</f>
        <v>0</v>
      </c>
      <c r="G36" s="15">
        <f t="shared" ref="G36:G67" si="4">SUM(I36:AM36)</f>
        <v>0</v>
      </c>
      <c r="H36" s="29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1" customFormat="1" spans="1:50">
      <c r="A37" s="11">
        <v>35</v>
      </c>
      <c r="D37" s="11" t="s">
        <v>51</v>
      </c>
      <c r="E37" s="21" t="s">
        <v>55</v>
      </c>
      <c r="F37" s="15">
        <f t="shared" si="3"/>
        <v>17000</v>
      </c>
      <c r="G37" s="15">
        <f t="shared" si="4"/>
        <v>17680</v>
      </c>
      <c r="H37" s="29">
        <v>0</v>
      </c>
      <c r="I37" s="1">
        <v>2080</v>
      </c>
      <c r="J37" s="1"/>
      <c r="K37" s="1"/>
      <c r="L37" s="1">
        <v>2080</v>
      </c>
      <c r="M37" s="1">
        <v>2080</v>
      </c>
      <c r="N37" s="1"/>
      <c r="O37" s="1">
        <v>2080</v>
      </c>
      <c r="P37" s="1">
        <v>2080</v>
      </c>
      <c r="Q37" s="1">
        <v>2080</v>
      </c>
      <c r="R37" s="1">
        <v>5200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1" customFormat="1" spans="1:50">
      <c r="A38" s="11">
        <v>36</v>
      </c>
      <c r="D38" s="11" t="s">
        <v>51</v>
      </c>
      <c r="E38" s="21" t="s">
        <v>56</v>
      </c>
      <c r="F38" s="15">
        <f t="shared" si="3"/>
        <v>0</v>
      </c>
      <c r="G38" s="15">
        <f t="shared" si="4"/>
        <v>0</v>
      </c>
      <c r="H38" s="29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1" customFormat="1" spans="1:50">
      <c r="A39" s="11">
        <v>37</v>
      </c>
      <c r="D39" s="11" t="s">
        <v>51</v>
      </c>
      <c r="E39" s="21" t="s">
        <v>57</v>
      </c>
      <c r="F39" s="15">
        <f t="shared" si="3"/>
        <v>10000</v>
      </c>
      <c r="G39" s="15">
        <f t="shared" si="4"/>
        <v>10400</v>
      </c>
      <c r="H39" s="29">
        <v>0</v>
      </c>
      <c r="I39" s="1"/>
      <c r="J39" s="1">
        <v>5200</v>
      </c>
      <c r="K39" s="1"/>
      <c r="L39" s="1"/>
      <c r="M39" s="1"/>
      <c r="N39" s="1"/>
      <c r="O39" s="1"/>
      <c r="P39" s="1"/>
      <c r="Q39" s="1">
        <v>5200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1" customFormat="1" spans="1:50">
      <c r="A40" s="11">
        <v>38</v>
      </c>
      <c r="C40" s="11">
        <v>684087396</v>
      </c>
      <c r="D40" s="11" t="s">
        <v>51</v>
      </c>
      <c r="E40" s="21" t="s">
        <v>58</v>
      </c>
      <c r="F40" s="15">
        <f t="shared" si="3"/>
        <v>6000</v>
      </c>
      <c r="G40" s="15">
        <f t="shared" si="4"/>
        <v>4160</v>
      </c>
      <c r="H40" s="29">
        <v>2000</v>
      </c>
      <c r="I40" s="1"/>
      <c r="J40" s="1"/>
      <c r="K40" s="1"/>
      <c r="L40" s="1"/>
      <c r="M40" s="1">
        <v>2080</v>
      </c>
      <c r="N40" s="1"/>
      <c r="O40" s="1"/>
      <c r="P40" s="1"/>
      <c r="Q40" s="1"/>
      <c r="R40" s="1"/>
      <c r="S40" s="1">
        <v>2080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1" customFormat="1" spans="1:50">
      <c r="A41" s="11">
        <v>39</v>
      </c>
      <c r="D41" s="11" t="s">
        <v>51</v>
      </c>
      <c r="E41" s="21" t="s">
        <v>59</v>
      </c>
      <c r="F41" s="15">
        <f t="shared" si="3"/>
        <v>4000</v>
      </c>
      <c r="G41" s="15">
        <f t="shared" si="4"/>
        <v>4160</v>
      </c>
      <c r="H41" s="29">
        <v>0</v>
      </c>
      <c r="I41" s="1">
        <v>2080</v>
      </c>
      <c r="J41" s="1"/>
      <c r="K41" s="1"/>
      <c r="L41" s="1"/>
      <c r="M41" s="1"/>
      <c r="N41" s="1"/>
      <c r="O41" s="1"/>
      <c r="P41" s="1">
        <v>2080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1" customFormat="1" spans="1:50">
      <c r="A42" s="11">
        <v>40</v>
      </c>
      <c r="D42" s="11" t="s">
        <v>51</v>
      </c>
      <c r="E42" s="21" t="s">
        <v>60</v>
      </c>
      <c r="F42" s="15">
        <f t="shared" si="3"/>
        <v>6000</v>
      </c>
      <c r="G42" s="15">
        <f t="shared" si="4"/>
        <v>4160</v>
      </c>
      <c r="H42" s="29">
        <v>2000</v>
      </c>
      <c r="I42" s="1"/>
      <c r="J42" s="1"/>
      <c r="K42" s="1">
        <v>2080</v>
      </c>
      <c r="L42" s="1"/>
      <c r="M42" s="1"/>
      <c r="N42" s="1">
        <v>2080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1" customFormat="1" spans="1:50">
      <c r="A43" s="11">
        <v>41</v>
      </c>
      <c r="D43" s="11" t="s">
        <v>51</v>
      </c>
      <c r="E43" s="21" t="s">
        <v>61</v>
      </c>
      <c r="F43" s="15">
        <f t="shared" si="3"/>
        <v>18000</v>
      </c>
      <c r="G43" s="15">
        <f t="shared" si="4"/>
        <v>14560</v>
      </c>
      <c r="H43" s="29">
        <v>4000</v>
      </c>
      <c r="I43" s="1">
        <v>2080</v>
      </c>
      <c r="J43" s="1"/>
      <c r="K43" s="1">
        <v>2080</v>
      </c>
      <c r="L43" s="1">
        <v>2080</v>
      </c>
      <c r="M43" s="1"/>
      <c r="N43" s="1">
        <v>2080</v>
      </c>
      <c r="O43" s="1"/>
      <c r="P43" s="1">
        <v>2080</v>
      </c>
      <c r="Q43" s="1">
        <v>2080</v>
      </c>
      <c r="R43" s="1"/>
      <c r="S43" s="1"/>
      <c r="T43" s="1">
        <v>2080</v>
      </c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1" customFormat="1" spans="1:50">
      <c r="A44" s="11">
        <v>42</v>
      </c>
      <c r="D44" s="11" t="s">
        <v>51</v>
      </c>
      <c r="E44" s="21" t="s">
        <v>62</v>
      </c>
      <c r="F44" s="15">
        <f t="shared" si="3"/>
        <v>4000</v>
      </c>
      <c r="G44" s="15">
        <f t="shared" si="4"/>
        <v>2080</v>
      </c>
      <c r="H44" s="29">
        <v>2000</v>
      </c>
      <c r="I44" s="1"/>
      <c r="J44" s="1"/>
      <c r="K44" s="1"/>
      <c r="L44" s="1"/>
      <c r="M44" s="1"/>
      <c r="N44" s="1"/>
      <c r="O44" s="1"/>
      <c r="P44" s="1">
        <v>2080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1" customFormat="1" spans="1:50">
      <c r="A45" s="11">
        <v>43</v>
      </c>
      <c r="D45" s="11" t="s">
        <v>51</v>
      </c>
      <c r="E45" s="21" t="s">
        <v>63</v>
      </c>
      <c r="F45" s="15">
        <f t="shared" si="3"/>
        <v>10000</v>
      </c>
      <c r="G45" s="15">
        <f t="shared" si="4"/>
        <v>10400</v>
      </c>
      <c r="H45" s="29">
        <v>0</v>
      </c>
      <c r="I45" s="1"/>
      <c r="J45" s="1">
        <v>5200</v>
      </c>
      <c r="K45" s="1"/>
      <c r="L45" s="1"/>
      <c r="M45" s="1"/>
      <c r="N45" s="1"/>
      <c r="O45" s="1"/>
      <c r="P45" s="1">
        <v>5200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1" customFormat="1" spans="1:50">
      <c r="A46" s="11">
        <v>44</v>
      </c>
      <c r="D46" s="11" t="s">
        <v>64</v>
      </c>
      <c r="E46" s="21" t="s">
        <v>65</v>
      </c>
      <c r="F46" s="15">
        <f t="shared" si="3"/>
        <v>19000</v>
      </c>
      <c r="G46" s="15">
        <f t="shared" si="4"/>
        <v>12480</v>
      </c>
      <c r="H46" s="29">
        <v>7000</v>
      </c>
      <c r="I46" s="1">
        <v>2080</v>
      </c>
      <c r="J46" s="1"/>
      <c r="K46" s="1">
        <v>2080</v>
      </c>
      <c r="L46" s="1"/>
      <c r="M46" s="1"/>
      <c r="N46" s="1"/>
      <c r="O46" s="1">
        <v>2080</v>
      </c>
      <c r="P46" s="1">
        <v>2080</v>
      </c>
      <c r="Q46" s="1"/>
      <c r="R46" s="1">
        <v>2080</v>
      </c>
      <c r="S46" s="1">
        <v>2080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1" customFormat="1" spans="1:50">
      <c r="A47" s="11">
        <v>45</v>
      </c>
      <c r="D47" s="11" t="s">
        <v>64</v>
      </c>
      <c r="E47" s="21" t="s">
        <v>66</v>
      </c>
      <c r="F47" s="15">
        <f t="shared" si="3"/>
        <v>12000</v>
      </c>
      <c r="G47" s="15">
        <f t="shared" si="4"/>
        <v>10400</v>
      </c>
      <c r="H47" s="29">
        <v>2000</v>
      </c>
      <c r="I47" s="1"/>
      <c r="J47" s="1"/>
      <c r="K47" s="1">
        <v>2080</v>
      </c>
      <c r="L47" s="1">
        <v>2080</v>
      </c>
      <c r="M47" s="1"/>
      <c r="N47" s="1"/>
      <c r="O47" s="1">
        <v>2080</v>
      </c>
      <c r="P47" s="1"/>
      <c r="Q47" s="1">
        <v>2080</v>
      </c>
      <c r="R47" s="1"/>
      <c r="S47" s="1"/>
      <c r="T47" s="1">
        <v>2080</v>
      </c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1" customFormat="1" spans="1:50">
      <c r="A48" s="11">
        <v>46</v>
      </c>
      <c r="D48" s="11" t="s">
        <v>64</v>
      </c>
      <c r="E48" s="21" t="s">
        <v>67</v>
      </c>
      <c r="F48" s="15">
        <f t="shared" si="3"/>
        <v>4000</v>
      </c>
      <c r="G48" s="15">
        <f t="shared" si="4"/>
        <v>2080</v>
      </c>
      <c r="H48" s="29">
        <v>2000</v>
      </c>
      <c r="I48" s="1"/>
      <c r="J48" s="1"/>
      <c r="K48" s="1"/>
      <c r="L48" s="1"/>
      <c r="M48" s="1"/>
      <c r="N48" s="1"/>
      <c r="O48" s="1"/>
      <c r="P48" s="1">
        <v>2080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1" customFormat="1" spans="1:50">
      <c r="A49" s="11">
        <v>47</v>
      </c>
      <c r="D49" s="11" t="s">
        <v>64</v>
      </c>
      <c r="E49" s="21" t="s">
        <v>68</v>
      </c>
      <c r="F49" s="15">
        <f t="shared" si="3"/>
        <v>20000</v>
      </c>
      <c r="G49" s="15">
        <f t="shared" si="4"/>
        <v>10400</v>
      </c>
      <c r="H49" s="29">
        <v>10000</v>
      </c>
      <c r="I49" s="1">
        <v>2080</v>
      </c>
      <c r="J49" s="1">
        <v>2080</v>
      </c>
      <c r="K49" s="1">
        <v>2080</v>
      </c>
      <c r="L49" s="1">
        <v>2080</v>
      </c>
      <c r="M49" s="1">
        <v>2080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1" customFormat="1" spans="1:50">
      <c r="A50" s="11">
        <v>48</v>
      </c>
      <c r="D50" s="11" t="s">
        <v>64</v>
      </c>
      <c r="E50" s="21" t="s">
        <v>69</v>
      </c>
      <c r="F50" s="15">
        <f t="shared" si="3"/>
        <v>9000</v>
      </c>
      <c r="G50" s="15">
        <f t="shared" si="4"/>
        <v>4160</v>
      </c>
      <c r="H50" s="29">
        <v>5000</v>
      </c>
      <c r="I50" s="1"/>
      <c r="J50" s="1"/>
      <c r="K50" s="1"/>
      <c r="L50" s="1"/>
      <c r="M50" s="1"/>
      <c r="N50" s="1"/>
      <c r="O50" s="1">
        <v>2080</v>
      </c>
      <c r="P50" s="1"/>
      <c r="Q50" s="1"/>
      <c r="R50" s="1">
        <v>2080</v>
      </c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1" customFormat="1" spans="1:50">
      <c r="A51" s="11">
        <v>49</v>
      </c>
      <c r="D51" s="11" t="s">
        <v>64</v>
      </c>
      <c r="E51" s="21" t="s">
        <v>70</v>
      </c>
      <c r="F51" s="15">
        <f t="shared" si="3"/>
        <v>6000</v>
      </c>
      <c r="G51" s="15">
        <f t="shared" si="4"/>
        <v>2080</v>
      </c>
      <c r="H51" s="29">
        <v>4000</v>
      </c>
      <c r="I51" s="1"/>
      <c r="J51" s="1"/>
      <c r="K51" s="1"/>
      <c r="L51" s="1"/>
      <c r="M51" s="1"/>
      <c r="N51" s="1">
        <v>2080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1" customFormat="1" spans="1:50">
      <c r="A52" s="11">
        <v>50</v>
      </c>
      <c r="D52" s="11" t="s">
        <v>64</v>
      </c>
      <c r="E52" s="21" t="s">
        <v>71</v>
      </c>
      <c r="F52" s="15">
        <f t="shared" si="3"/>
        <v>0</v>
      </c>
      <c r="G52" s="15">
        <f t="shared" si="4"/>
        <v>0</v>
      </c>
      <c r="H52" s="29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1" customFormat="1" spans="1:50">
      <c r="A53" s="11">
        <v>51</v>
      </c>
      <c r="D53" s="11" t="s">
        <v>64</v>
      </c>
      <c r="E53" s="21" t="s">
        <v>72</v>
      </c>
      <c r="F53" s="15">
        <f t="shared" si="3"/>
        <v>14000</v>
      </c>
      <c r="G53" s="15">
        <f t="shared" si="4"/>
        <v>10400</v>
      </c>
      <c r="H53" s="29">
        <v>4000</v>
      </c>
      <c r="I53" s="1"/>
      <c r="J53" s="1">
        <v>2080</v>
      </c>
      <c r="K53" s="1"/>
      <c r="L53" s="1"/>
      <c r="M53" s="1"/>
      <c r="N53" s="1"/>
      <c r="O53" s="1">
        <v>2080</v>
      </c>
      <c r="P53" s="1"/>
      <c r="Q53" s="1">
        <v>2080</v>
      </c>
      <c r="R53" s="1"/>
      <c r="S53" s="1">
        <v>2080</v>
      </c>
      <c r="T53" s="1">
        <v>2080</v>
      </c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1" customFormat="1" spans="1:50">
      <c r="A54" s="11">
        <v>52</v>
      </c>
      <c r="D54" s="11" t="s">
        <v>64</v>
      </c>
      <c r="E54" s="21" t="s">
        <v>73</v>
      </c>
      <c r="F54" s="15">
        <f t="shared" si="3"/>
        <v>18000</v>
      </c>
      <c r="G54" s="15">
        <f t="shared" si="4"/>
        <v>14560</v>
      </c>
      <c r="H54" s="29">
        <v>4000</v>
      </c>
      <c r="I54" s="1">
        <v>2080</v>
      </c>
      <c r="J54" s="1"/>
      <c r="K54" s="1"/>
      <c r="L54" s="1">
        <v>2080</v>
      </c>
      <c r="M54" s="1">
        <v>2080</v>
      </c>
      <c r="N54" s="1"/>
      <c r="O54" s="1">
        <v>2080</v>
      </c>
      <c r="P54" s="1"/>
      <c r="Q54" s="1">
        <v>2080</v>
      </c>
      <c r="R54" s="1">
        <v>2080</v>
      </c>
      <c r="S54" s="1"/>
      <c r="T54" s="1"/>
      <c r="U54" s="1">
        <v>2080</v>
      </c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1" customFormat="1" spans="1:50">
      <c r="A55" s="11">
        <v>53</v>
      </c>
      <c r="B55" s="30"/>
      <c r="D55" s="11" t="s">
        <v>64</v>
      </c>
      <c r="E55" s="31" t="s">
        <v>74</v>
      </c>
      <c r="F55" s="15">
        <f t="shared" si="3"/>
        <v>0</v>
      </c>
      <c r="G55" s="15">
        <f t="shared" si="4"/>
        <v>0</v>
      </c>
      <c r="H55" s="29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1" customFormat="1" spans="1:50">
      <c r="A56" s="11">
        <v>54</v>
      </c>
      <c r="B56" s="30"/>
      <c r="D56" s="11" t="s">
        <v>64</v>
      </c>
      <c r="E56" s="31" t="s">
        <v>75</v>
      </c>
      <c r="F56" s="15">
        <f t="shared" si="3"/>
        <v>2000</v>
      </c>
      <c r="G56" s="15">
        <f t="shared" si="4"/>
        <v>0</v>
      </c>
      <c r="H56" s="29"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1" customFormat="1" spans="1:50">
      <c r="A57" s="11">
        <v>55</v>
      </c>
      <c r="B57" s="30"/>
      <c r="D57" s="11" t="s">
        <v>64</v>
      </c>
      <c r="E57" s="31" t="s">
        <v>76</v>
      </c>
      <c r="F57" s="15">
        <f t="shared" si="3"/>
        <v>0</v>
      </c>
      <c r="G57" s="15">
        <f t="shared" si="4"/>
        <v>0</v>
      </c>
      <c r="H57" s="29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1" customFormat="1" spans="1:50">
      <c r="A58" s="11">
        <v>56</v>
      </c>
      <c r="D58" s="11" t="s">
        <v>77</v>
      </c>
      <c r="E58" s="21" t="s">
        <v>78</v>
      </c>
      <c r="F58" s="15">
        <f t="shared" si="3"/>
        <v>8000</v>
      </c>
      <c r="G58" s="15">
        <f t="shared" si="4"/>
        <v>6240</v>
      </c>
      <c r="H58" s="29">
        <v>2000</v>
      </c>
      <c r="I58" s="1">
        <v>2080</v>
      </c>
      <c r="J58" s="1"/>
      <c r="K58" s="1">
        <v>2080</v>
      </c>
      <c r="L58" s="1"/>
      <c r="M58" s="1">
        <v>2080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1" customFormat="1" spans="1:50">
      <c r="A59" s="11">
        <v>57</v>
      </c>
      <c r="D59" s="11" t="s">
        <v>77</v>
      </c>
      <c r="E59" s="21" t="s">
        <v>79</v>
      </c>
      <c r="F59" s="15">
        <f t="shared" si="3"/>
        <v>25000</v>
      </c>
      <c r="G59" s="15">
        <f t="shared" si="4"/>
        <v>20800</v>
      </c>
      <c r="H59" s="29">
        <v>5000</v>
      </c>
      <c r="I59" s="1">
        <v>5200</v>
      </c>
      <c r="J59" s="1"/>
      <c r="K59" s="1"/>
      <c r="L59" s="1"/>
      <c r="M59" s="1"/>
      <c r="N59" s="1"/>
      <c r="O59" s="1">
        <v>5200</v>
      </c>
      <c r="P59" s="1"/>
      <c r="Q59" s="1">
        <v>5200</v>
      </c>
      <c r="R59" s="1"/>
      <c r="S59" s="1"/>
      <c r="T59" s="1">
        <v>5200</v>
      </c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1" customFormat="1" spans="1:50">
      <c r="A60" s="11">
        <v>58</v>
      </c>
      <c r="D60" s="11" t="s">
        <v>77</v>
      </c>
      <c r="E60" s="21" t="s">
        <v>80</v>
      </c>
      <c r="F60" s="15">
        <f t="shared" si="3"/>
        <v>15000</v>
      </c>
      <c r="G60" s="15">
        <f t="shared" si="4"/>
        <v>15600</v>
      </c>
      <c r="H60" s="29">
        <v>0</v>
      </c>
      <c r="I60" s="1"/>
      <c r="J60" s="1">
        <v>5200</v>
      </c>
      <c r="K60" s="1"/>
      <c r="L60" s="1"/>
      <c r="M60" s="1"/>
      <c r="N60" s="1"/>
      <c r="O60" s="1"/>
      <c r="P60" s="1">
        <v>5200</v>
      </c>
      <c r="Q60" s="1"/>
      <c r="R60" s="1"/>
      <c r="S60" s="1"/>
      <c r="T60" s="1">
        <v>5200</v>
      </c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1" customFormat="1" spans="1:50">
      <c r="A61" s="11">
        <v>59</v>
      </c>
      <c r="D61" s="11" t="s">
        <v>77</v>
      </c>
      <c r="E61" s="21" t="s">
        <v>81</v>
      </c>
      <c r="F61" s="15">
        <f t="shared" si="3"/>
        <v>2000</v>
      </c>
      <c r="G61" s="15">
        <f t="shared" si="4"/>
        <v>2080</v>
      </c>
      <c r="H61" s="29">
        <v>0</v>
      </c>
      <c r="I61" s="1"/>
      <c r="J61" s="1"/>
      <c r="K61" s="1">
        <v>2080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1" customFormat="1" spans="1:50">
      <c r="A62" s="11">
        <v>60</v>
      </c>
      <c r="B62" s="30"/>
      <c r="D62" s="11" t="s">
        <v>82</v>
      </c>
      <c r="E62" s="31" t="s">
        <v>83</v>
      </c>
      <c r="F62" s="15">
        <f t="shared" si="3"/>
        <v>17000</v>
      </c>
      <c r="G62" s="15">
        <f t="shared" si="4"/>
        <v>15600</v>
      </c>
      <c r="H62" s="29">
        <v>2000</v>
      </c>
      <c r="I62" s="1"/>
      <c r="J62" s="1">
        <v>5200</v>
      </c>
      <c r="K62" s="1"/>
      <c r="L62" s="1"/>
      <c r="M62" s="1"/>
      <c r="N62" s="1"/>
      <c r="O62" s="1">
        <v>5200</v>
      </c>
      <c r="P62" s="1"/>
      <c r="Q62" s="1"/>
      <c r="R62" s="1">
        <v>5200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1" customFormat="1" spans="1:50">
      <c r="A63" s="11">
        <v>61</v>
      </c>
      <c r="B63" s="30"/>
      <c r="D63" s="11" t="s">
        <v>82</v>
      </c>
      <c r="E63" s="31" t="s">
        <v>84</v>
      </c>
      <c r="F63" s="15">
        <f t="shared" si="3"/>
        <v>1100</v>
      </c>
      <c r="G63" s="15">
        <f t="shared" si="4"/>
        <v>0</v>
      </c>
      <c r="H63" s="29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1" customFormat="1" spans="1:50">
      <c r="A64" s="11">
        <v>62</v>
      </c>
      <c r="B64" s="11" t="s">
        <v>85</v>
      </c>
      <c r="C64" s="11" t="s">
        <v>86</v>
      </c>
      <c r="D64" s="11" t="s">
        <v>82</v>
      </c>
      <c r="E64" s="21" t="s">
        <v>87</v>
      </c>
      <c r="F64" s="15">
        <f t="shared" si="3"/>
        <v>0</v>
      </c>
      <c r="G64" s="15">
        <f t="shared" si="4"/>
        <v>0</v>
      </c>
      <c r="H64" s="29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1" customFormat="1" spans="1:50">
      <c r="A65" s="11">
        <v>63</v>
      </c>
      <c r="C65" s="11">
        <v>685671039</v>
      </c>
      <c r="D65" s="11" t="s">
        <v>88</v>
      </c>
      <c r="E65" s="11" t="s">
        <v>89</v>
      </c>
      <c r="F65" s="15">
        <f t="shared" si="3"/>
        <v>6000</v>
      </c>
      <c r="G65" s="15">
        <f t="shared" si="4"/>
        <v>6240</v>
      </c>
      <c r="H65" s="24">
        <v>0</v>
      </c>
      <c r="I65" s="1"/>
      <c r="J65" s="1">
        <v>2080</v>
      </c>
      <c r="K65" s="1"/>
      <c r="L65" s="1"/>
      <c r="M65" s="1"/>
      <c r="N65" s="1">
        <v>2080</v>
      </c>
      <c r="O65" s="1"/>
      <c r="P65" s="1"/>
      <c r="Q65" s="1"/>
      <c r="R65" s="1"/>
      <c r="S65" s="1"/>
      <c r="T65" s="1">
        <v>2080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1" customFormat="1" spans="1:50">
      <c r="A66" s="11">
        <v>64</v>
      </c>
      <c r="B66" s="30"/>
      <c r="D66" s="11" t="s">
        <v>88</v>
      </c>
      <c r="E66" s="31" t="s">
        <v>90</v>
      </c>
      <c r="F66" s="15">
        <f t="shared" si="3"/>
        <v>13000</v>
      </c>
      <c r="G66" s="15">
        <f t="shared" si="4"/>
        <v>7280</v>
      </c>
      <c r="H66" s="29">
        <v>6000</v>
      </c>
      <c r="I66" s="1">
        <v>1040</v>
      </c>
      <c r="J66" s="1"/>
      <c r="K66" s="1">
        <v>1040</v>
      </c>
      <c r="L66" s="1"/>
      <c r="M66" s="1"/>
      <c r="N66" s="34">
        <v>1040</v>
      </c>
      <c r="O66" s="1">
        <v>2080</v>
      </c>
      <c r="P66" s="1"/>
      <c r="Q66" s="1"/>
      <c r="R66" s="1"/>
      <c r="S66" s="1"/>
      <c r="T66" s="1">
        <v>2080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1" customFormat="1" spans="1:50">
      <c r="A67" s="11">
        <v>65</v>
      </c>
      <c r="B67" s="30"/>
      <c r="D67" s="11" t="s">
        <v>91</v>
      </c>
      <c r="E67" s="31" t="s">
        <v>92</v>
      </c>
      <c r="F67" s="15">
        <f t="shared" si="3"/>
        <v>5000</v>
      </c>
      <c r="G67" s="15">
        <f t="shared" si="4"/>
        <v>2080</v>
      </c>
      <c r="H67" s="29">
        <v>3000</v>
      </c>
      <c r="I67" s="1"/>
      <c r="J67" s="1"/>
      <c r="K67" s="1"/>
      <c r="L67" s="1"/>
      <c r="M67" s="1"/>
      <c r="N67" s="1"/>
      <c r="O67" s="1"/>
      <c r="P67" s="1"/>
      <c r="Q67" s="1"/>
      <c r="R67" s="1">
        <v>2080</v>
      </c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1" customFormat="1" spans="1:50">
      <c r="A68" s="11">
        <v>66</v>
      </c>
      <c r="D68" s="11" t="s">
        <v>93</v>
      </c>
      <c r="E68" s="21" t="s">
        <v>94</v>
      </c>
      <c r="F68" s="15">
        <f t="shared" ref="F68:F96" si="5">G68/1.04+H68</f>
        <v>10000</v>
      </c>
      <c r="G68" s="15">
        <f t="shared" ref="G68:G96" si="6">SUM(I68:AM68)</f>
        <v>6240</v>
      </c>
      <c r="H68" s="29">
        <v>4000</v>
      </c>
      <c r="I68" s="1"/>
      <c r="J68" s="1"/>
      <c r="K68" s="1">
        <v>2080</v>
      </c>
      <c r="L68" s="1"/>
      <c r="M68" s="1"/>
      <c r="N68" s="1"/>
      <c r="O68" s="1">
        <v>2080</v>
      </c>
      <c r="P68" s="1"/>
      <c r="Q68" s="1"/>
      <c r="R68" s="1"/>
      <c r="S68" s="1"/>
      <c r="T68" s="1"/>
      <c r="U68" s="1">
        <v>2080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1" customFormat="1" spans="1:50">
      <c r="A69" s="11">
        <v>67</v>
      </c>
      <c r="D69" s="11" t="s">
        <v>93</v>
      </c>
      <c r="E69" s="21" t="s">
        <v>95</v>
      </c>
      <c r="F69" s="15">
        <f t="shared" si="5"/>
        <v>4000</v>
      </c>
      <c r="G69" s="15">
        <f t="shared" si="6"/>
        <v>4160</v>
      </c>
      <c r="H69" s="29">
        <v>0</v>
      </c>
      <c r="I69" s="1"/>
      <c r="J69" s="1"/>
      <c r="K69" s="1"/>
      <c r="L69" s="1"/>
      <c r="M69" s="1">
        <v>2080</v>
      </c>
      <c r="N69" s="1"/>
      <c r="O69" s="1"/>
      <c r="P69" s="1"/>
      <c r="Q69" s="1"/>
      <c r="R69" s="1"/>
      <c r="S69" s="1">
        <v>2080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1" customFormat="1" spans="1:50">
      <c r="A70" s="11">
        <v>68</v>
      </c>
      <c r="D70" s="11" t="s">
        <v>93</v>
      </c>
      <c r="E70" s="21" t="s">
        <v>96</v>
      </c>
      <c r="F70" s="15">
        <f t="shared" si="5"/>
        <v>2000</v>
      </c>
      <c r="G70" s="15">
        <f t="shared" si="6"/>
        <v>2080</v>
      </c>
      <c r="H70" s="29">
        <v>0</v>
      </c>
      <c r="I70" s="1"/>
      <c r="J70" s="1">
        <v>2080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1" customFormat="1" spans="1:50">
      <c r="A71" s="11">
        <v>69</v>
      </c>
      <c r="D71" s="11" t="s">
        <v>93</v>
      </c>
      <c r="E71" s="21" t="s">
        <v>97</v>
      </c>
      <c r="F71" s="15">
        <f t="shared" si="5"/>
        <v>2000</v>
      </c>
      <c r="G71" s="15">
        <f t="shared" si="6"/>
        <v>2080</v>
      </c>
      <c r="H71" s="29">
        <v>0</v>
      </c>
      <c r="I71" s="1"/>
      <c r="J71" s="1"/>
      <c r="K71" s="1"/>
      <c r="L71" s="1"/>
      <c r="M71" s="1"/>
      <c r="N71" s="1"/>
      <c r="O71" s="1"/>
      <c r="P71" s="1"/>
      <c r="Q71" s="1">
        <v>2080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1" customFormat="1" spans="1:50">
      <c r="A72" s="11">
        <v>70</v>
      </c>
      <c r="D72" s="11" t="s">
        <v>93</v>
      </c>
      <c r="E72" s="21" t="s">
        <v>98</v>
      </c>
      <c r="F72" s="15">
        <f t="shared" si="5"/>
        <v>25000</v>
      </c>
      <c r="G72" s="15">
        <f t="shared" si="6"/>
        <v>26000</v>
      </c>
      <c r="H72" s="29">
        <v>0</v>
      </c>
      <c r="I72" s="1"/>
      <c r="J72" s="1">
        <v>5200</v>
      </c>
      <c r="K72" s="1"/>
      <c r="L72" s="1">
        <v>5200</v>
      </c>
      <c r="M72" s="1"/>
      <c r="N72" s="1"/>
      <c r="O72" s="1">
        <v>5200</v>
      </c>
      <c r="P72" s="1"/>
      <c r="Q72" s="1">
        <v>5200</v>
      </c>
      <c r="R72" s="1"/>
      <c r="S72" s="1">
        <v>5200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1" customFormat="1" spans="1:50">
      <c r="A73" s="11">
        <v>71</v>
      </c>
      <c r="D73" s="11" t="s">
        <v>93</v>
      </c>
      <c r="E73" s="21" t="s">
        <v>99</v>
      </c>
      <c r="F73" s="15">
        <f t="shared" si="5"/>
        <v>12000</v>
      </c>
      <c r="G73" s="15">
        <f t="shared" si="6"/>
        <v>10400</v>
      </c>
      <c r="H73" s="29">
        <v>2000</v>
      </c>
      <c r="I73" s="1">
        <v>2080</v>
      </c>
      <c r="J73" s="1"/>
      <c r="K73" s="1">
        <v>2080</v>
      </c>
      <c r="L73" s="1"/>
      <c r="M73" s="1"/>
      <c r="N73" s="1">
        <v>2080</v>
      </c>
      <c r="O73" s="1"/>
      <c r="P73" s="1">
        <v>2080</v>
      </c>
      <c r="Q73" s="1">
        <v>2080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1" customFormat="1" spans="1:50">
      <c r="A74" s="11">
        <v>72</v>
      </c>
      <c r="B74" s="30"/>
      <c r="D74" s="11" t="s">
        <v>93</v>
      </c>
      <c r="E74" s="31" t="s">
        <v>100</v>
      </c>
      <c r="F74" s="15">
        <f t="shared" si="5"/>
        <v>14000</v>
      </c>
      <c r="G74" s="15">
        <f t="shared" si="6"/>
        <v>8320</v>
      </c>
      <c r="H74" s="29">
        <v>6000</v>
      </c>
      <c r="I74" s="1"/>
      <c r="J74" s="1"/>
      <c r="K74" s="1">
        <v>2080</v>
      </c>
      <c r="L74" s="1"/>
      <c r="M74" s="1"/>
      <c r="N74" s="1">
        <v>2080</v>
      </c>
      <c r="O74" s="1"/>
      <c r="P74" s="1">
        <v>2080</v>
      </c>
      <c r="Q74" s="1"/>
      <c r="R74" s="1"/>
      <c r="S74" s="1"/>
      <c r="T74" s="1">
        <v>2080</v>
      </c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1" customFormat="1" spans="1:50">
      <c r="A75" s="11">
        <v>73</v>
      </c>
      <c r="C75" s="11">
        <v>683909558</v>
      </c>
      <c r="D75" s="11" t="s">
        <v>93</v>
      </c>
      <c r="E75" s="21" t="s">
        <v>101</v>
      </c>
      <c r="F75" s="15">
        <f t="shared" si="5"/>
        <v>0</v>
      </c>
      <c r="G75" s="15">
        <f t="shared" si="6"/>
        <v>0</v>
      </c>
      <c r="H75" s="29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1" customFormat="1" spans="1:50">
      <c r="A76" s="11">
        <v>74</v>
      </c>
      <c r="B76" s="30"/>
      <c r="D76" s="11" t="s">
        <v>93</v>
      </c>
      <c r="E76" s="31" t="s">
        <v>102</v>
      </c>
      <c r="F76" s="15">
        <f t="shared" si="5"/>
        <v>3000</v>
      </c>
      <c r="G76" s="15">
        <f t="shared" si="6"/>
        <v>2080</v>
      </c>
      <c r="H76" s="29">
        <v>1000</v>
      </c>
      <c r="I76" s="1"/>
      <c r="J76" s="1">
        <v>2080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1" customFormat="1" spans="1:50">
      <c r="A77" s="11">
        <v>75</v>
      </c>
      <c r="D77" s="11" t="s">
        <v>103</v>
      </c>
      <c r="E77" s="21" t="s">
        <v>104</v>
      </c>
      <c r="F77" s="15">
        <f t="shared" si="5"/>
        <v>14300</v>
      </c>
      <c r="G77" s="15">
        <f t="shared" si="6"/>
        <v>6240</v>
      </c>
      <c r="H77" s="29">
        <v>8300</v>
      </c>
      <c r="I77" s="1">
        <v>2080</v>
      </c>
      <c r="J77" s="1"/>
      <c r="K77" s="1"/>
      <c r="L77" s="1"/>
      <c r="M77" s="1"/>
      <c r="N77" s="1">
        <v>2080</v>
      </c>
      <c r="O77" s="1"/>
      <c r="P77" s="1"/>
      <c r="Q77" s="1">
        <v>2080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1" customFormat="1" spans="1:50">
      <c r="A78" s="11">
        <v>76</v>
      </c>
      <c r="D78" s="11" t="s">
        <v>103</v>
      </c>
      <c r="E78" s="21" t="s">
        <v>105</v>
      </c>
      <c r="F78" s="15">
        <f t="shared" si="5"/>
        <v>15000</v>
      </c>
      <c r="G78" s="15">
        <f t="shared" si="6"/>
        <v>10400</v>
      </c>
      <c r="H78" s="29">
        <v>5000</v>
      </c>
      <c r="I78" s="1"/>
      <c r="J78" s="1"/>
      <c r="K78" s="1"/>
      <c r="L78" s="1"/>
      <c r="M78" s="1"/>
      <c r="N78" s="1">
        <v>5200</v>
      </c>
      <c r="O78" s="1"/>
      <c r="P78" s="1"/>
      <c r="Q78" s="1"/>
      <c r="R78" s="1">
        <v>5200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1" customFormat="1" spans="1:50">
      <c r="A79" s="11">
        <v>77</v>
      </c>
      <c r="D79" s="11" t="s">
        <v>103</v>
      </c>
      <c r="E79" s="21" t="s">
        <v>106</v>
      </c>
      <c r="F79" s="15">
        <f t="shared" si="5"/>
        <v>7000</v>
      </c>
      <c r="G79" s="15">
        <f t="shared" si="6"/>
        <v>6240</v>
      </c>
      <c r="H79" s="29">
        <v>1000</v>
      </c>
      <c r="I79" s="1"/>
      <c r="J79" s="1"/>
      <c r="K79" s="1"/>
      <c r="L79" s="1">
        <v>2080</v>
      </c>
      <c r="M79" s="1">
        <v>2080</v>
      </c>
      <c r="N79" s="1"/>
      <c r="O79" s="1"/>
      <c r="P79" s="1"/>
      <c r="Q79" s="1">
        <v>2080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1" customFormat="1" spans="1:50">
      <c r="A80" s="11">
        <v>78</v>
      </c>
      <c r="B80" s="30"/>
      <c r="E80" s="31" t="s">
        <v>107</v>
      </c>
      <c r="F80" s="15">
        <f t="shared" si="5"/>
        <v>67000</v>
      </c>
      <c r="G80" s="15">
        <f t="shared" si="6"/>
        <v>0</v>
      </c>
      <c r="H80" s="29">
        <v>67000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1" customFormat="1" spans="1:50">
      <c r="A81" s="11">
        <v>79</v>
      </c>
      <c r="B81" s="30"/>
      <c r="D81" s="11" t="s">
        <v>108</v>
      </c>
      <c r="E81" s="31" t="s">
        <v>109</v>
      </c>
      <c r="F81" s="15">
        <f t="shared" si="5"/>
        <v>4000</v>
      </c>
      <c r="G81" s="15">
        <f t="shared" si="6"/>
        <v>2080</v>
      </c>
      <c r="H81" s="29">
        <v>2000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>
        <v>2080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1" customFormat="1" spans="1:50">
      <c r="A82" s="11">
        <v>80</v>
      </c>
      <c r="B82" s="30"/>
      <c r="E82" s="31" t="s">
        <v>110</v>
      </c>
      <c r="F82" s="15">
        <f t="shared" si="5"/>
        <v>0</v>
      </c>
      <c r="G82" s="15">
        <f t="shared" si="6"/>
        <v>0</v>
      </c>
      <c r="H82" s="29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1" customFormat="1" spans="1:50">
      <c r="A83" s="11">
        <v>81</v>
      </c>
      <c r="B83" s="30"/>
      <c r="D83" s="11" t="s">
        <v>111</v>
      </c>
      <c r="E83" s="31" t="s">
        <v>112</v>
      </c>
      <c r="F83" s="15">
        <f t="shared" si="5"/>
        <v>4000</v>
      </c>
      <c r="G83" s="15">
        <f t="shared" si="6"/>
        <v>2080</v>
      </c>
      <c r="H83" s="29">
        <v>2000</v>
      </c>
      <c r="I83" s="1"/>
      <c r="J83" s="1"/>
      <c r="K83" s="1"/>
      <c r="L83" s="1"/>
      <c r="M83" s="1">
        <v>2080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1" customFormat="1" spans="1:50">
      <c r="A84" s="11">
        <v>82</v>
      </c>
      <c r="B84" s="30"/>
      <c r="E84" s="31" t="s">
        <v>113</v>
      </c>
      <c r="F84" s="15">
        <f t="shared" si="5"/>
        <v>0</v>
      </c>
      <c r="G84" s="15">
        <f t="shared" si="6"/>
        <v>0</v>
      </c>
      <c r="H84" s="29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1" customFormat="1" spans="1:50">
      <c r="A85" s="11">
        <v>83</v>
      </c>
      <c r="B85" s="30"/>
      <c r="D85" s="11" t="s">
        <v>114</v>
      </c>
      <c r="E85" s="31" t="s">
        <v>115</v>
      </c>
      <c r="F85" s="15">
        <f t="shared" si="5"/>
        <v>20000</v>
      </c>
      <c r="G85" s="15">
        <f t="shared" si="6"/>
        <v>15600</v>
      </c>
      <c r="H85" s="29">
        <v>5000</v>
      </c>
      <c r="I85" s="1"/>
      <c r="J85" s="1">
        <v>5200</v>
      </c>
      <c r="K85" s="1"/>
      <c r="L85" s="1"/>
      <c r="M85" s="1">
        <v>5200</v>
      </c>
      <c r="N85" s="1"/>
      <c r="O85" s="1"/>
      <c r="P85" s="1"/>
      <c r="Q85" s="1"/>
      <c r="R85" s="1">
        <v>5200</v>
      </c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1" customFormat="1" spans="1:50">
      <c r="A86" s="11">
        <v>84</v>
      </c>
      <c r="D86" s="11" t="s">
        <v>114</v>
      </c>
      <c r="E86" s="21" t="s">
        <v>116</v>
      </c>
      <c r="F86" s="15">
        <f t="shared" si="5"/>
        <v>5000</v>
      </c>
      <c r="G86" s="15">
        <f t="shared" si="6"/>
        <v>0</v>
      </c>
      <c r="H86" s="29"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1" customFormat="1" spans="1:50">
      <c r="A87" s="11">
        <v>85</v>
      </c>
      <c r="B87" s="30"/>
      <c r="C87" s="11">
        <v>683879115</v>
      </c>
      <c r="D87" s="11" t="s">
        <v>114</v>
      </c>
      <c r="E87" s="31" t="s">
        <v>117</v>
      </c>
      <c r="F87" s="15">
        <f t="shared" si="5"/>
        <v>0</v>
      </c>
      <c r="G87" s="15">
        <f t="shared" si="6"/>
        <v>0</v>
      </c>
      <c r="H87" s="29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1" customFormat="1" spans="1:50">
      <c r="A88" s="11">
        <v>86</v>
      </c>
      <c r="B88" s="30"/>
      <c r="D88" s="11" t="s">
        <v>118</v>
      </c>
      <c r="E88" s="31" t="s">
        <v>119</v>
      </c>
      <c r="F88" s="15">
        <f t="shared" si="5"/>
        <v>2000</v>
      </c>
      <c r="G88" s="15">
        <f t="shared" si="6"/>
        <v>2080</v>
      </c>
      <c r="H88" s="29"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>
        <v>2080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1" customFormat="1" spans="1:50">
      <c r="A89" s="11">
        <v>87</v>
      </c>
      <c r="B89" s="30"/>
      <c r="E89" s="31" t="s">
        <v>120</v>
      </c>
      <c r="F89" s="15">
        <f t="shared" si="5"/>
        <v>0</v>
      </c>
      <c r="G89" s="15">
        <f t="shared" si="6"/>
        <v>0</v>
      </c>
      <c r="H89" s="29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1" customFormat="1" spans="1:50">
      <c r="A90" s="11">
        <v>88</v>
      </c>
      <c r="B90" s="30"/>
      <c r="E90" s="31" t="s">
        <v>121</v>
      </c>
      <c r="F90" s="15">
        <f t="shared" si="5"/>
        <v>5000</v>
      </c>
      <c r="G90" s="15">
        <f t="shared" si="6"/>
        <v>4160</v>
      </c>
      <c r="H90" s="29">
        <v>1000</v>
      </c>
      <c r="I90" s="1"/>
      <c r="J90" s="1"/>
      <c r="K90" s="1"/>
      <c r="L90" s="1">
        <v>2080</v>
      </c>
      <c r="M90" s="1"/>
      <c r="N90" s="1"/>
      <c r="O90" s="1"/>
      <c r="P90" s="1"/>
      <c r="Q90" s="1"/>
      <c r="R90" s="1"/>
      <c r="S90" s="1">
        <v>2080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1" customFormat="1" spans="1:50">
      <c r="A91" s="11">
        <v>89</v>
      </c>
      <c r="B91" s="30"/>
      <c r="E91" s="31" t="s">
        <v>122</v>
      </c>
      <c r="F91" s="15">
        <f t="shared" si="5"/>
        <v>1000</v>
      </c>
      <c r="G91" s="15">
        <f t="shared" si="6"/>
        <v>1040</v>
      </c>
      <c r="H91" s="29">
        <v>0</v>
      </c>
      <c r="I91" s="1"/>
      <c r="J91" s="1">
        <v>1040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1" customFormat="1" spans="1:50">
      <c r="A92" s="11">
        <v>90</v>
      </c>
      <c r="E92" s="21" t="s">
        <v>123</v>
      </c>
      <c r="F92" s="15">
        <f t="shared" si="5"/>
        <v>4000</v>
      </c>
      <c r="G92" s="15">
        <f t="shared" si="6"/>
        <v>2080</v>
      </c>
      <c r="H92" s="29">
        <v>2000</v>
      </c>
      <c r="I92" s="1">
        <v>2080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1" customFormat="1" spans="1:50">
      <c r="A93" s="11">
        <v>91</v>
      </c>
      <c r="E93" s="21" t="s">
        <v>124</v>
      </c>
      <c r="F93" s="15">
        <f t="shared" si="5"/>
        <v>0</v>
      </c>
      <c r="G93" s="15">
        <f t="shared" si="6"/>
        <v>0</v>
      </c>
      <c r="H93" s="29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1" customFormat="1" spans="1:50">
      <c r="A94" s="11">
        <v>92</v>
      </c>
      <c r="D94" s="11" t="s">
        <v>125</v>
      </c>
      <c r="E94" s="21" t="s">
        <v>126</v>
      </c>
      <c r="F94" s="15">
        <f t="shared" si="5"/>
        <v>5000</v>
      </c>
      <c r="G94" s="15">
        <f t="shared" si="6"/>
        <v>2080</v>
      </c>
      <c r="H94" s="29">
        <v>3000</v>
      </c>
      <c r="I94" s="1"/>
      <c r="J94" s="1"/>
      <c r="K94" s="1">
        <v>1040</v>
      </c>
      <c r="L94" s="1"/>
      <c r="M94" s="1"/>
      <c r="N94" s="1"/>
      <c r="O94" s="1">
        <v>1040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1" customFormat="1" spans="1:50">
      <c r="A95" s="11">
        <v>93</v>
      </c>
      <c r="E95" s="21" t="s">
        <v>127</v>
      </c>
      <c r="F95" s="15">
        <f t="shared" si="5"/>
        <v>0</v>
      </c>
      <c r="G95" s="15">
        <f t="shared" si="6"/>
        <v>0</v>
      </c>
      <c r="H95" s="29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1" customFormat="1" spans="1:50">
      <c r="A96" s="11">
        <v>94</v>
      </c>
      <c r="E96" s="21" t="s">
        <v>128</v>
      </c>
      <c r="F96" s="15">
        <f t="shared" si="5"/>
        <v>0</v>
      </c>
      <c r="G96" s="15">
        <f t="shared" si="6"/>
        <v>0</v>
      </c>
      <c r="H96" s="29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1" customFormat="1" spans="8:50">
      <c r="H97" s="2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1" customFormat="1" spans="8:50">
      <c r="H98" s="2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1" customFormat="1" spans="8:50">
      <c r="H99" s="2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1" customFormat="1" spans="8:50">
      <c r="H100" s="2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1" customFormat="1" spans="8:50">
      <c r="H101" s="2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1" customFormat="1" spans="8:50">
      <c r="H102" s="2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1" customFormat="1" spans="8:50">
      <c r="H103" s="2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1" customFormat="1" spans="8:50">
      <c r="H104" s="2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1" customFormat="1" spans="8:50">
      <c r="H105" s="2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1" customFormat="1" spans="8:50">
      <c r="H106" s="2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1" customFormat="1" spans="8:50">
      <c r="H107" s="2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1" customFormat="1" spans="8:50">
      <c r="H108" s="2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1" customFormat="1" spans="8:50">
      <c r="H109" s="2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1" customFormat="1" spans="8:39">
      <c r="H110" s="2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1" customFormat="1" spans="8:39">
      <c r="H111" s="24"/>
      <c r="AM111" s="1"/>
    </row>
    <row r="112" s="11" customFormat="1" spans="8:39">
      <c r="H112" s="24"/>
      <c r="AM112" s="1"/>
    </row>
    <row r="113" s="11" customFormat="1" spans="8:39">
      <c r="H113" s="24"/>
      <c r="AM113" s="1"/>
    </row>
    <row r="114" s="11" customFormat="1" spans="8:39">
      <c r="H114" s="24"/>
      <c r="AM114" s="1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12"/>
  <sheetViews>
    <sheetView topLeftCell="C1" workbookViewId="0">
      <pane xSplit="6" ySplit="2" topLeftCell="N80" activePane="bottomRight" state="frozen"/>
      <selection/>
      <selection pane="topRight"/>
      <selection pane="bottomLeft"/>
      <selection pane="bottomRight" activeCell="T100" sqref="T100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8" width="7.14285714285714" style="11" customWidth="1"/>
    <col min="39" max="39" width="7.14285714285714" style="1" customWidth="1"/>
    <col min="40" max="16384" width="9.14285714285714" style="11"/>
  </cols>
  <sheetData>
    <row r="1" s="15" customFormat="1" spans="1:39">
      <c r="A1" s="16" t="s">
        <v>0</v>
      </c>
      <c r="B1" s="16" t="s">
        <v>1</v>
      </c>
      <c r="C1" s="16" t="s">
        <v>0</v>
      </c>
      <c r="D1" s="16" t="s">
        <v>1</v>
      </c>
      <c r="E1" s="16" t="s">
        <v>129</v>
      </c>
      <c r="F1" s="16" t="s">
        <v>3</v>
      </c>
      <c r="G1" s="16" t="s">
        <v>4</v>
      </c>
      <c r="H1" s="16" t="s">
        <v>130</v>
      </c>
      <c r="I1" s="22">
        <v>44348</v>
      </c>
      <c r="J1" s="22">
        <v>44349</v>
      </c>
      <c r="K1" s="22">
        <v>44350</v>
      </c>
      <c r="L1" s="22">
        <v>44351</v>
      </c>
      <c r="M1" s="22">
        <v>44352</v>
      </c>
      <c r="N1" s="22">
        <v>44353</v>
      </c>
      <c r="O1" s="22">
        <v>44354</v>
      </c>
      <c r="P1" s="22">
        <v>44355</v>
      </c>
      <c r="Q1" s="22">
        <v>44356</v>
      </c>
      <c r="R1" s="22">
        <v>44357</v>
      </c>
      <c r="S1" s="22">
        <v>44358</v>
      </c>
      <c r="T1" s="22">
        <v>44359</v>
      </c>
      <c r="U1" s="22">
        <v>44360</v>
      </c>
      <c r="V1" s="22">
        <v>44361</v>
      </c>
      <c r="W1" s="22">
        <v>44362</v>
      </c>
      <c r="X1" s="22">
        <v>44363</v>
      </c>
      <c r="Y1" s="22">
        <v>44364</v>
      </c>
      <c r="Z1" s="22">
        <v>44365</v>
      </c>
      <c r="AA1" s="22">
        <v>44366</v>
      </c>
      <c r="AB1" s="22">
        <v>44367</v>
      </c>
      <c r="AC1" s="22">
        <v>44368</v>
      </c>
      <c r="AD1" s="22">
        <v>44369</v>
      </c>
      <c r="AE1" s="22">
        <v>44370</v>
      </c>
      <c r="AF1" s="22">
        <v>44371</v>
      </c>
      <c r="AG1" s="22">
        <v>44372</v>
      </c>
      <c r="AH1" s="22">
        <v>44373</v>
      </c>
      <c r="AI1" s="22">
        <v>44374</v>
      </c>
      <c r="AJ1" s="22">
        <v>44375</v>
      </c>
      <c r="AK1" s="22">
        <v>44376</v>
      </c>
      <c r="AL1" s="22">
        <v>44377</v>
      </c>
      <c r="AM1" s="1"/>
    </row>
    <row r="2" s="15" customFormat="1" spans="1:39">
      <c r="A2" s="17"/>
      <c r="B2" s="17"/>
      <c r="C2" s="17"/>
      <c r="D2" s="17"/>
      <c r="E2" s="17"/>
      <c r="F2" s="18">
        <f>SUM(H3:H121)</f>
        <v>557200</v>
      </c>
      <c r="G2" s="19" t="s">
        <v>8</v>
      </c>
      <c r="H2" s="20">
        <f t="shared" ref="H2:H35" si="0">SUM(I2:AM2)</f>
        <v>557200</v>
      </c>
      <c r="I2" s="15">
        <f t="shared" ref="I2:AL2" si="1">SUM(I3:I121)</f>
        <v>54000</v>
      </c>
      <c r="J2" s="15">
        <f t="shared" si="1"/>
        <v>43500</v>
      </c>
      <c r="K2" s="15">
        <f t="shared" si="1"/>
        <v>54500</v>
      </c>
      <c r="L2" s="15">
        <f t="shared" si="1"/>
        <v>64500</v>
      </c>
      <c r="M2" s="15">
        <f t="shared" si="1"/>
        <v>48700</v>
      </c>
      <c r="N2" s="15">
        <f t="shared" si="1"/>
        <v>12800</v>
      </c>
      <c r="O2" s="15">
        <f t="shared" si="1"/>
        <v>34200</v>
      </c>
      <c r="P2" s="15">
        <f t="shared" si="1"/>
        <v>82500</v>
      </c>
      <c r="Q2" s="15">
        <f t="shared" si="1"/>
        <v>37000</v>
      </c>
      <c r="R2" s="15">
        <f t="shared" si="1"/>
        <v>44000</v>
      </c>
      <c r="S2" s="15">
        <f t="shared" si="1"/>
        <v>36000</v>
      </c>
      <c r="T2" s="15">
        <f t="shared" si="1"/>
        <v>45500</v>
      </c>
      <c r="U2" s="15">
        <f t="shared" si="1"/>
        <v>0</v>
      </c>
      <c r="V2" s="15">
        <f t="shared" si="1"/>
        <v>0</v>
      </c>
      <c r="W2" s="15">
        <f t="shared" si="1"/>
        <v>0</v>
      </c>
      <c r="X2" s="15">
        <f t="shared" si="1"/>
        <v>0</v>
      </c>
      <c r="Y2" s="15">
        <f t="shared" si="1"/>
        <v>0</v>
      </c>
      <c r="Z2" s="15">
        <f t="shared" si="1"/>
        <v>0</v>
      </c>
      <c r="AA2" s="15">
        <f t="shared" si="1"/>
        <v>0</v>
      </c>
      <c r="AB2" s="15">
        <f t="shared" si="1"/>
        <v>0</v>
      </c>
      <c r="AC2" s="15">
        <f t="shared" si="1"/>
        <v>0</v>
      </c>
      <c r="AD2" s="15">
        <f t="shared" si="1"/>
        <v>0</v>
      </c>
      <c r="AE2" s="15">
        <f t="shared" si="1"/>
        <v>0</v>
      </c>
      <c r="AF2" s="15">
        <f t="shared" si="1"/>
        <v>0</v>
      </c>
      <c r="AG2" s="15">
        <f t="shared" si="1"/>
        <v>0</v>
      </c>
      <c r="AH2" s="15">
        <f t="shared" si="1"/>
        <v>0</v>
      </c>
      <c r="AI2" s="15">
        <f t="shared" si="1"/>
        <v>0</v>
      </c>
      <c r="AJ2" s="15">
        <f t="shared" si="1"/>
        <v>0</v>
      </c>
      <c r="AK2" s="15">
        <f t="shared" si="1"/>
        <v>0</v>
      </c>
      <c r="AL2" s="15">
        <f t="shared" si="1"/>
        <v>0</v>
      </c>
      <c r="AM2" s="1"/>
    </row>
    <row r="3" s="11" customFormat="1" spans="1:4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21" t="s">
        <v>10</v>
      </c>
      <c r="H3" s="15">
        <f t="shared" si="0"/>
        <v>2000</v>
      </c>
      <c r="I3" s="1"/>
      <c r="J3" s="1"/>
      <c r="K3" s="1"/>
      <c r="L3" s="1"/>
      <c r="M3" s="1"/>
      <c r="N3" s="1"/>
      <c r="O3" s="23">
        <v>2000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="11" customFormat="1" spans="1:4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21" t="s">
        <v>11</v>
      </c>
      <c r="H4" s="15">
        <f t="shared" si="0"/>
        <v>2000</v>
      </c>
      <c r="I4" s="1"/>
      <c r="J4" s="1"/>
      <c r="K4" s="1"/>
      <c r="L4" s="1"/>
      <c r="M4" s="1"/>
      <c r="N4" s="1"/>
      <c r="O4" s="1"/>
      <c r="P4" s="1"/>
      <c r="Q4" s="1"/>
      <c r="R4" s="1"/>
      <c r="S4" s="23">
        <v>2000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="11" customFormat="1" spans="1:48">
      <c r="A5" s="11">
        <v>3</v>
      </c>
      <c r="C5" s="11">
        <v>3</v>
      </c>
      <c r="E5" s="11">
        <v>8340365412</v>
      </c>
      <c r="F5" s="11" t="s">
        <v>9</v>
      </c>
      <c r="G5" s="21" t="s">
        <v>13</v>
      </c>
      <c r="H5" s="15">
        <f t="shared" si="0"/>
        <v>4000</v>
      </c>
      <c r="I5" s="1"/>
      <c r="J5" s="1"/>
      <c r="K5" s="1"/>
      <c r="L5" s="1"/>
      <c r="M5" s="1"/>
      <c r="N5" s="1"/>
      <c r="O5" s="1"/>
      <c r="P5" s="1"/>
      <c r="Q5" s="1"/>
      <c r="R5" s="23">
        <v>4000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="11" customFormat="1" spans="1:4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21" t="s">
        <v>15</v>
      </c>
      <c r="H6" s="15">
        <f t="shared" si="0"/>
        <v>8000</v>
      </c>
      <c r="I6" s="1"/>
      <c r="J6" s="1"/>
      <c r="K6" s="1"/>
      <c r="L6" s="23">
        <v>2000</v>
      </c>
      <c r="M6" s="1"/>
      <c r="N6" s="1"/>
      <c r="O6" s="1"/>
      <c r="P6" s="1"/>
      <c r="Q6" s="23">
        <v>4000</v>
      </c>
      <c r="R6" s="23">
        <v>2000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="11" customFormat="1" spans="1:48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21" t="s">
        <v>17</v>
      </c>
      <c r="H7" s="15">
        <f t="shared" si="0"/>
        <v>24000</v>
      </c>
      <c r="I7" s="1"/>
      <c r="J7" s="1"/>
      <c r="K7" s="1">
        <v>2000</v>
      </c>
      <c r="L7" s="23">
        <v>10000</v>
      </c>
      <c r="M7" s="1"/>
      <c r="N7" s="1"/>
      <c r="O7" s="1"/>
      <c r="P7" s="23">
        <v>5000</v>
      </c>
      <c r="Q7" s="1"/>
      <c r="R7" s="1"/>
      <c r="S7" s="23">
        <v>7000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="11" customFormat="1" spans="1:48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21" t="s">
        <v>19</v>
      </c>
      <c r="H8" s="15">
        <f t="shared" si="0"/>
        <v>4000</v>
      </c>
      <c r="I8" s="1"/>
      <c r="J8" s="1"/>
      <c r="K8" s="23">
        <v>2000</v>
      </c>
      <c r="L8" s="1"/>
      <c r="M8" s="1"/>
      <c r="N8" s="1"/>
      <c r="O8" s="1"/>
      <c r="P8" s="1"/>
      <c r="Q8" s="1">
        <v>2000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="11" customFormat="1" spans="1:48">
      <c r="A9" s="11">
        <v>7</v>
      </c>
      <c r="C9" s="11">
        <v>7</v>
      </c>
      <c r="D9" s="1" t="s">
        <v>138</v>
      </c>
      <c r="E9" s="11">
        <v>8340201321</v>
      </c>
      <c r="F9" s="11" t="s">
        <v>9</v>
      </c>
      <c r="G9" s="21" t="s">
        <v>20</v>
      </c>
      <c r="H9" s="15">
        <f t="shared" si="0"/>
        <v>2000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>
        <v>2000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="11" customFormat="1" spans="1:48">
      <c r="A10" s="11">
        <v>8</v>
      </c>
      <c r="C10" s="11">
        <v>8</v>
      </c>
      <c r="D10" s="11" t="s">
        <v>139</v>
      </c>
      <c r="E10" s="11">
        <v>7004365158</v>
      </c>
      <c r="F10" s="11" t="s">
        <v>9</v>
      </c>
      <c r="G10" s="21" t="s">
        <v>22</v>
      </c>
      <c r="H10" s="15">
        <f t="shared" si="0"/>
        <v>15000</v>
      </c>
      <c r="I10" s="1"/>
      <c r="J10" s="1"/>
      <c r="K10" s="1">
        <v>5000</v>
      </c>
      <c r="L10" s="1"/>
      <c r="M10" s="1"/>
      <c r="N10" s="1"/>
      <c r="O10" s="1">
        <v>5000</v>
      </c>
      <c r="P10" s="1"/>
      <c r="Q10" s="1">
        <v>5000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="11" customFormat="1" spans="1:48">
      <c r="A11" s="11">
        <v>9</v>
      </c>
      <c r="B11" s="11" t="s">
        <v>140</v>
      </c>
      <c r="C11" s="11">
        <v>9</v>
      </c>
      <c r="D11" s="11" t="s">
        <v>140</v>
      </c>
      <c r="E11" s="11">
        <v>9973022718</v>
      </c>
      <c r="F11" s="11" t="s">
        <v>23</v>
      </c>
      <c r="G11" s="21" t="s">
        <v>24</v>
      </c>
      <c r="H11" s="15">
        <f t="shared" si="0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="11" customFormat="1" spans="1:48">
      <c r="A12" s="11">
        <v>10</v>
      </c>
      <c r="C12" s="11">
        <v>10</v>
      </c>
      <c r="E12" s="11">
        <v>7004923653</v>
      </c>
      <c r="F12" s="11" t="s">
        <v>23</v>
      </c>
      <c r="G12" s="21" t="s">
        <v>25</v>
      </c>
      <c r="H12" s="15">
        <f t="shared" si="0"/>
        <v>1500</v>
      </c>
      <c r="I12" s="1"/>
      <c r="J12" s="1"/>
      <c r="K12" s="1">
        <v>1500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="11" customFormat="1" spans="1:48">
      <c r="A13" s="11">
        <v>11</v>
      </c>
      <c r="C13" s="11">
        <v>11</v>
      </c>
      <c r="D13" s="11" t="s">
        <v>141</v>
      </c>
      <c r="E13" s="11">
        <v>8340182577</v>
      </c>
      <c r="F13" s="11" t="s">
        <v>23</v>
      </c>
      <c r="G13" s="21" t="s">
        <v>26</v>
      </c>
      <c r="H13" s="15">
        <f t="shared" si="0"/>
        <v>20000</v>
      </c>
      <c r="I13" s="1"/>
      <c r="J13" s="1"/>
      <c r="K13" s="1">
        <v>5000</v>
      </c>
      <c r="L13" s="1"/>
      <c r="M13" s="23">
        <v>5000</v>
      </c>
      <c r="N13" s="1"/>
      <c r="O13" s="1"/>
      <c r="P13" s="1"/>
      <c r="Q13" s="1"/>
      <c r="R13" s="1">
        <v>5000</v>
      </c>
      <c r="S13" s="1"/>
      <c r="T13" s="23">
        <v>5000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="11" customFormat="1" spans="1:48">
      <c r="A14" s="11">
        <v>12</v>
      </c>
      <c r="B14" s="11" t="s">
        <v>142</v>
      </c>
      <c r="C14" s="11">
        <v>12</v>
      </c>
      <c r="D14" s="11" t="s">
        <v>143</v>
      </c>
      <c r="E14" s="11">
        <v>7004740439</v>
      </c>
      <c r="F14" s="11" t="s">
        <v>23</v>
      </c>
      <c r="G14" s="21" t="s">
        <v>27</v>
      </c>
      <c r="H14" s="15">
        <f t="shared" si="0"/>
        <v>14300</v>
      </c>
      <c r="I14" s="1"/>
      <c r="J14" s="1"/>
      <c r="K14" s="1"/>
      <c r="L14" s="1">
        <v>3500</v>
      </c>
      <c r="M14" s="1"/>
      <c r="N14" s="23">
        <v>3800</v>
      </c>
      <c r="O14" s="1"/>
      <c r="P14" s="1"/>
      <c r="Q14" s="1">
        <v>4000</v>
      </c>
      <c r="R14" s="1"/>
      <c r="S14" s="1"/>
      <c r="T14" s="23">
        <v>3000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="11" customFormat="1" spans="1:4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21" t="s">
        <v>29</v>
      </c>
      <c r="H15" s="15">
        <f t="shared" si="0"/>
        <v>2000</v>
      </c>
      <c r="I15" s="1"/>
      <c r="J15" s="1"/>
      <c r="K15" s="1">
        <v>2000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="11" customFormat="1" spans="1:48">
      <c r="A16" s="11">
        <v>14</v>
      </c>
      <c r="B16" s="11" t="s">
        <v>144</v>
      </c>
      <c r="C16" s="11">
        <v>14</v>
      </c>
      <c r="D16" s="11" t="s">
        <v>144</v>
      </c>
      <c r="E16" s="11">
        <v>7321004323</v>
      </c>
      <c r="F16" s="11" t="s">
        <v>23</v>
      </c>
      <c r="G16" s="21" t="s">
        <v>30</v>
      </c>
      <c r="H16" s="15">
        <f t="shared" si="0"/>
        <v>1000</v>
      </c>
      <c r="I16" s="1"/>
      <c r="J16" s="1"/>
      <c r="K16" s="1"/>
      <c r="L16" s="1"/>
      <c r="M16" s="1"/>
      <c r="N16" s="1"/>
      <c r="O16" s="1"/>
      <c r="P16" s="23">
        <v>1000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="11" customFormat="1" spans="1:48">
      <c r="A17" s="11">
        <v>15</v>
      </c>
      <c r="C17" s="11">
        <v>15</v>
      </c>
      <c r="D17" s="11" t="s">
        <v>145</v>
      </c>
      <c r="E17" s="11">
        <v>7903378748</v>
      </c>
      <c r="F17" s="11" t="s">
        <v>23</v>
      </c>
      <c r="G17" s="21" t="s">
        <v>32</v>
      </c>
      <c r="H17" s="15">
        <f t="shared" si="0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="11" customFormat="1" spans="1:48">
      <c r="A18" s="11">
        <v>16</v>
      </c>
      <c r="C18" s="11">
        <v>16</v>
      </c>
      <c r="D18" s="11" t="s">
        <v>33</v>
      </c>
      <c r="F18" s="11" t="s">
        <v>23</v>
      </c>
      <c r="G18" s="21" t="s">
        <v>34</v>
      </c>
      <c r="H18" s="15">
        <f t="shared" si="0"/>
        <v>1000</v>
      </c>
      <c r="I18" s="1"/>
      <c r="J18" s="1"/>
      <c r="K18" s="1"/>
      <c r="L18" s="1"/>
      <c r="M18" s="1"/>
      <c r="N18" s="1"/>
      <c r="O18" s="1"/>
      <c r="P18" s="23">
        <v>1000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="11" customFormat="1" spans="1:48">
      <c r="A19" s="11">
        <v>17</v>
      </c>
      <c r="B19" s="11" t="s">
        <v>146</v>
      </c>
      <c r="C19" s="11">
        <v>17</v>
      </c>
      <c r="D19" s="11" t="s">
        <v>146</v>
      </c>
      <c r="E19" s="11">
        <v>9608475282</v>
      </c>
      <c r="F19" s="11" t="s">
        <v>23</v>
      </c>
      <c r="G19" s="21" t="s">
        <v>35</v>
      </c>
      <c r="H19" s="15">
        <f t="shared" si="0"/>
        <v>3000</v>
      </c>
      <c r="I19" s="1"/>
      <c r="J19" s="1"/>
      <c r="K19" s="1"/>
      <c r="L19" s="1"/>
      <c r="M19" s="1"/>
      <c r="N19" s="1"/>
      <c r="O19" s="23">
        <v>3000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="11" customFormat="1" spans="1:48">
      <c r="A20" s="11">
        <v>18</v>
      </c>
      <c r="B20" s="11" t="s">
        <v>147</v>
      </c>
      <c r="C20" s="11">
        <v>18</v>
      </c>
      <c r="D20" s="11" t="s">
        <v>148</v>
      </c>
      <c r="E20" s="11">
        <v>9661555592</v>
      </c>
      <c r="F20" s="11" t="s">
        <v>36</v>
      </c>
      <c r="G20" s="21" t="s">
        <v>37</v>
      </c>
      <c r="H20" s="15">
        <f t="shared" si="0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="11" customFormat="1" spans="1:48">
      <c r="A21" s="11">
        <v>19</v>
      </c>
      <c r="B21" s="11" t="s">
        <v>149</v>
      </c>
      <c r="C21" s="11">
        <v>19</v>
      </c>
      <c r="D21" s="11" t="s">
        <v>149</v>
      </c>
      <c r="E21" s="11">
        <v>8340523512</v>
      </c>
      <c r="F21" s="11" t="s">
        <v>36</v>
      </c>
      <c r="G21" s="21" t="s">
        <v>38</v>
      </c>
      <c r="H21" s="15">
        <f t="shared" si="0"/>
        <v>6000</v>
      </c>
      <c r="I21" s="1"/>
      <c r="J21" s="1"/>
      <c r="K21" s="23">
        <v>2000</v>
      </c>
      <c r="L21" s="1">
        <v>2000</v>
      </c>
      <c r="M21" s="1"/>
      <c r="N21" s="1"/>
      <c r="O21" s="1"/>
      <c r="P21" s="1"/>
      <c r="Q21" s="1"/>
      <c r="R21" s="1"/>
      <c r="S21" s="1">
        <v>2000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="11" customFormat="1" spans="1:48">
      <c r="A22" s="11">
        <v>20</v>
      </c>
      <c r="C22" s="11">
        <v>20</v>
      </c>
      <c r="D22" s="11" t="s">
        <v>150</v>
      </c>
      <c r="E22" s="11">
        <v>8825310472</v>
      </c>
      <c r="F22" s="11" t="s">
        <v>36</v>
      </c>
      <c r="G22" s="21" t="s">
        <v>39</v>
      </c>
      <c r="H22" s="15">
        <f t="shared" si="0"/>
        <v>1000</v>
      </c>
      <c r="I22" s="1"/>
      <c r="J22" s="1"/>
      <c r="K22" s="1"/>
      <c r="L22" s="1"/>
      <c r="M22" s="23">
        <v>1000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="11" customFormat="1" spans="1:48">
      <c r="A23" s="11">
        <v>21</v>
      </c>
      <c r="B23" s="11" t="s">
        <v>151</v>
      </c>
      <c r="C23" s="11">
        <v>21</v>
      </c>
      <c r="D23" s="11" t="s">
        <v>151</v>
      </c>
      <c r="E23" s="11">
        <v>7004478123</v>
      </c>
      <c r="F23" s="11" t="s">
        <v>36</v>
      </c>
      <c r="G23" s="21" t="s">
        <v>40</v>
      </c>
      <c r="H23" s="15">
        <f t="shared" si="0"/>
        <v>18000</v>
      </c>
      <c r="I23" s="1"/>
      <c r="J23" s="1"/>
      <c r="K23" s="23">
        <v>8000</v>
      </c>
      <c r="L23" s="1"/>
      <c r="M23" s="1">
        <v>4000</v>
      </c>
      <c r="N23" s="1"/>
      <c r="O23" s="1"/>
      <c r="P23" s="1"/>
      <c r="Q23" s="1"/>
      <c r="R23" s="1"/>
      <c r="S23" s="1"/>
      <c r="T23" s="23">
        <v>6000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="11" customFormat="1" spans="1:48">
      <c r="A24" s="11">
        <v>22</v>
      </c>
      <c r="C24" s="11">
        <v>22</v>
      </c>
      <c r="E24" s="11">
        <v>7667895364</v>
      </c>
      <c r="F24" s="11" t="s">
        <v>36</v>
      </c>
      <c r="G24" s="21" t="s">
        <v>41</v>
      </c>
      <c r="H24" s="15">
        <f t="shared" si="0"/>
        <v>4000</v>
      </c>
      <c r="I24" s="1"/>
      <c r="J24" s="1"/>
      <c r="K24" s="1"/>
      <c r="L24" s="1">
        <v>2000</v>
      </c>
      <c r="M24" s="1"/>
      <c r="N24" s="1"/>
      <c r="O24" s="1"/>
      <c r="P24" s="1"/>
      <c r="Q24" s="1">
        <v>1000</v>
      </c>
      <c r="R24" s="1">
        <v>1000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="11" customFormat="1" spans="1:48">
      <c r="A25" s="11">
        <v>23</v>
      </c>
      <c r="B25" s="11" t="s">
        <v>152</v>
      </c>
      <c r="C25" s="11">
        <v>23</v>
      </c>
      <c r="D25" s="11" t="s">
        <v>152</v>
      </c>
      <c r="E25" s="11">
        <v>7006041121</v>
      </c>
      <c r="F25" s="11" t="s">
        <v>36</v>
      </c>
      <c r="G25" s="21" t="s">
        <v>42</v>
      </c>
      <c r="H25" s="15">
        <f t="shared" si="0"/>
        <v>6000</v>
      </c>
      <c r="I25" s="1"/>
      <c r="J25" s="1">
        <v>2000</v>
      </c>
      <c r="K25" s="1"/>
      <c r="L25" s="1"/>
      <c r="M25" s="1">
        <v>2000</v>
      </c>
      <c r="N25" s="1"/>
      <c r="O25" s="1"/>
      <c r="P25" s="1"/>
      <c r="Q25" s="1">
        <v>2000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="11" customFormat="1" spans="1:48">
      <c r="A26" s="11">
        <v>24</v>
      </c>
      <c r="B26" s="11" t="s">
        <v>153</v>
      </c>
      <c r="C26" s="11">
        <v>24</v>
      </c>
      <c r="D26" s="11" t="s">
        <v>153</v>
      </c>
      <c r="E26" s="11">
        <v>8709658240</v>
      </c>
      <c r="F26" s="11" t="s">
        <v>36</v>
      </c>
      <c r="G26" s="21" t="s">
        <v>43</v>
      </c>
      <c r="H26" s="15">
        <f t="shared" si="0"/>
        <v>18000</v>
      </c>
      <c r="I26" s="1"/>
      <c r="J26" s="23">
        <v>4000</v>
      </c>
      <c r="K26" s="1"/>
      <c r="L26" s="23">
        <v>4000</v>
      </c>
      <c r="M26" s="23">
        <v>5000</v>
      </c>
      <c r="N26" s="1"/>
      <c r="O26" s="1"/>
      <c r="P26" s="1"/>
      <c r="Q26" s="1"/>
      <c r="R26" s="23">
        <v>5000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="11" customFormat="1" spans="1:48">
      <c r="A27" s="11">
        <v>25</v>
      </c>
      <c r="C27" s="11">
        <v>25</v>
      </c>
      <c r="E27" s="11">
        <v>8709612020</v>
      </c>
      <c r="F27" s="11" t="s">
        <v>36</v>
      </c>
      <c r="G27" s="21" t="s">
        <v>44</v>
      </c>
      <c r="H27" s="15">
        <f t="shared" si="0"/>
        <v>3000</v>
      </c>
      <c r="I27" s="1"/>
      <c r="J27" s="1"/>
      <c r="K27" s="1"/>
      <c r="L27" s="1"/>
      <c r="M27" s="1"/>
      <c r="N27" s="1"/>
      <c r="O27" s="1"/>
      <c r="P27" s="1"/>
      <c r="Q27" s="1">
        <v>3000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="11" customFormat="1" spans="1:48">
      <c r="A28" s="11">
        <v>26</v>
      </c>
      <c r="C28" s="11">
        <v>26</v>
      </c>
      <c r="D28" s="11" t="s">
        <v>154</v>
      </c>
      <c r="E28" s="11">
        <v>9973040600</v>
      </c>
      <c r="F28" s="11" t="s">
        <v>36</v>
      </c>
      <c r="G28" s="21" t="s">
        <v>45</v>
      </c>
      <c r="H28" s="15">
        <f t="shared" si="0"/>
        <v>3000</v>
      </c>
      <c r="I28" s="1"/>
      <c r="J28" s="1">
        <v>1000</v>
      </c>
      <c r="K28" s="1"/>
      <c r="L28" s="1"/>
      <c r="M28" s="1"/>
      <c r="N28" s="1"/>
      <c r="O28" s="1"/>
      <c r="P28" s="1">
        <v>2000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="11" customFormat="1" spans="1:48">
      <c r="A29" s="11">
        <v>27</v>
      </c>
      <c r="C29" s="11">
        <v>27</v>
      </c>
      <c r="D29" s="11" t="s">
        <v>155</v>
      </c>
      <c r="E29" s="11">
        <v>9973345687</v>
      </c>
      <c r="F29" s="11" t="s">
        <v>36</v>
      </c>
      <c r="G29" s="21" t="s">
        <v>46</v>
      </c>
      <c r="H29" s="15">
        <f t="shared" si="0"/>
        <v>4000</v>
      </c>
      <c r="I29" s="1"/>
      <c r="J29" s="1"/>
      <c r="K29" s="1"/>
      <c r="L29" s="23">
        <v>2000</v>
      </c>
      <c r="M29" s="1"/>
      <c r="N29" s="1"/>
      <c r="O29" s="1"/>
      <c r="P29" s="1"/>
      <c r="Q29" s="1"/>
      <c r="R29" s="1"/>
      <c r="S29" s="23">
        <v>2000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="11" customFormat="1" spans="1:48">
      <c r="A30" s="11">
        <v>28</v>
      </c>
      <c r="C30" s="11">
        <v>28</v>
      </c>
      <c r="E30" s="11">
        <v>9631391206</v>
      </c>
      <c r="F30" s="11" t="s">
        <v>36</v>
      </c>
      <c r="G30" s="21" t="s">
        <v>47</v>
      </c>
      <c r="H30" s="15">
        <f t="shared" si="0"/>
        <v>6000</v>
      </c>
      <c r="I30" s="1"/>
      <c r="J30" s="1">
        <v>4000</v>
      </c>
      <c r="K30" s="1"/>
      <c r="L30" s="1"/>
      <c r="M30" s="1"/>
      <c r="N30" s="1"/>
      <c r="O30" s="1"/>
      <c r="P30" s="1"/>
      <c r="Q30" s="1"/>
      <c r="R30" s="1"/>
      <c r="S30" s="1">
        <v>2000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="11" customFormat="1" spans="1:48">
      <c r="A31" s="11">
        <v>29</v>
      </c>
      <c r="B31" s="11" t="s">
        <v>156</v>
      </c>
      <c r="C31" s="11">
        <v>29</v>
      </c>
      <c r="D31" s="11" t="s">
        <v>157</v>
      </c>
      <c r="F31" s="11" t="s">
        <v>36</v>
      </c>
      <c r="G31" s="21" t="s">
        <v>48</v>
      </c>
      <c r="H31" s="15">
        <f t="shared" si="0"/>
        <v>4000</v>
      </c>
      <c r="I31" s="1"/>
      <c r="J31" s="1"/>
      <c r="K31" s="1"/>
      <c r="L31" s="23">
        <v>2000</v>
      </c>
      <c r="M31" s="1"/>
      <c r="N31" s="1"/>
      <c r="O31" s="1"/>
      <c r="P31" s="1"/>
      <c r="Q31" s="1"/>
      <c r="R31" s="23">
        <v>2000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="11" customFormat="1" spans="1:48">
      <c r="A32" s="11">
        <v>30</v>
      </c>
      <c r="B32" s="11" t="s">
        <v>158</v>
      </c>
      <c r="C32" s="11">
        <v>30</v>
      </c>
      <c r="D32" s="11" t="s">
        <v>159</v>
      </c>
      <c r="F32" s="11" t="s">
        <v>36</v>
      </c>
      <c r="G32" s="21" t="s">
        <v>49</v>
      </c>
      <c r="H32" s="15">
        <f t="shared" si="0"/>
        <v>25000</v>
      </c>
      <c r="I32" s="23">
        <v>10000</v>
      </c>
      <c r="J32" s="1"/>
      <c r="K32" s="1"/>
      <c r="L32" s="1"/>
      <c r="M32" s="23">
        <v>5000</v>
      </c>
      <c r="N32" s="1"/>
      <c r="O32" s="23">
        <v>5000</v>
      </c>
      <c r="P32" s="1"/>
      <c r="Q32" s="1"/>
      <c r="R32" s="23">
        <v>5000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="11" customFormat="1" spans="1:48">
      <c r="A33" s="11">
        <v>31</v>
      </c>
      <c r="C33" s="11">
        <v>31</v>
      </c>
      <c r="F33" s="11" t="s">
        <v>36</v>
      </c>
      <c r="G33" s="21" t="s">
        <v>50</v>
      </c>
      <c r="H33" s="15">
        <f t="shared" si="0"/>
        <v>8000</v>
      </c>
      <c r="I33" s="1"/>
      <c r="J33" s="1">
        <v>3000</v>
      </c>
      <c r="K33" s="1"/>
      <c r="L33" s="1">
        <v>2000</v>
      </c>
      <c r="M33" s="1"/>
      <c r="N33" s="1"/>
      <c r="O33" s="1"/>
      <c r="P33" s="1"/>
      <c r="Q33" s="1"/>
      <c r="R33" s="1"/>
      <c r="S33" s="1"/>
      <c r="T33" s="1">
        <v>3000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="11" customFormat="1" spans="1:48">
      <c r="A34" s="11">
        <v>32</v>
      </c>
      <c r="B34" s="11" t="s">
        <v>160</v>
      </c>
      <c r="C34" s="11">
        <v>32</v>
      </c>
      <c r="D34" s="11" t="s">
        <v>160</v>
      </c>
      <c r="F34" s="11" t="s">
        <v>51</v>
      </c>
      <c r="G34" s="21" t="s">
        <v>52</v>
      </c>
      <c r="H34" s="15">
        <f t="shared" si="0"/>
        <v>8000</v>
      </c>
      <c r="I34" s="1">
        <v>4000</v>
      </c>
      <c r="J34" s="1"/>
      <c r="K34" s="1"/>
      <c r="L34" s="1"/>
      <c r="M34" s="1"/>
      <c r="N34" s="1"/>
      <c r="O34" s="1"/>
      <c r="P34" s="1">
        <v>2000</v>
      </c>
      <c r="Q34" s="1"/>
      <c r="R34" s="1"/>
      <c r="S34" s="1">
        <v>2000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="11" customFormat="1" spans="1:48">
      <c r="A35" s="11">
        <v>33</v>
      </c>
      <c r="C35" s="11">
        <v>33</v>
      </c>
      <c r="D35" s="11" t="s">
        <v>161</v>
      </c>
      <c r="F35" s="11" t="s">
        <v>51</v>
      </c>
      <c r="G35" s="21" t="s">
        <v>53</v>
      </c>
      <c r="H35" s="15">
        <f t="shared" si="0"/>
        <v>11000</v>
      </c>
      <c r="I35" s="1">
        <v>3000</v>
      </c>
      <c r="J35" s="1"/>
      <c r="K35" s="1"/>
      <c r="L35" s="1">
        <v>1000</v>
      </c>
      <c r="M35" s="23">
        <v>2000</v>
      </c>
      <c r="N35" s="1"/>
      <c r="O35" s="1">
        <v>1000</v>
      </c>
      <c r="P35" s="23">
        <v>2000</v>
      </c>
      <c r="Q35" s="1"/>
      <c r="R35" s="1"/>
      <c r="S35" s="1"/>
      <c r="T35" s="23">
        <v>2000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="11" customFormat="1" spans="1:48">
      <c r="A36" s="11">
        <v>34</v>
      </c>
      <c r="C36" s="11">
        <v>34</v>
      </c>
      <c r="D36" s="11" t="s">
        <v>162</v>
      </c>
      <c r="E36" s="11">
        <v>7654800030</v>
      </c>
      <c r="F36" s="11" t="s">
        <v>51</v>
      </c>
      <c r="G36" s="21" t="s">
        <v>54</v>
      </c>
      <c r="H36" s="15">
        <f t="shared" ref="H36:H67" si="2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="11" customFormat="1" spans="1:48">
      <c r="A37" s="11">
        <v>35</v>
      </c>
      <c r="C37" s="11">
        <v>35</v>
      </c>
      <c r="D37" s="11" t="s">
        <v>163</v>
      </c>
      <c r="F37" s="11" t="s">
        <v>51</v>
      </c>
      <c r="G37" s="21" t="s">
        <v>55</v>
      </c>
      <c r="H37" s="15">
        <f t="shared" si="2"/>
        <v>17000</v>
      </c>
      <c r="I37" s="1"/>
      <c r="J37" s="1"/>
      <c r="K37" s="1"/>
      <c r="L37" s="1"/>
      <c r="M37" s="1"/>
      <c r="N37" s="23">
        <v>6000</v>
      </c>
      <c r="O37" s="1"/>
      <c r="P37" s="23">
        <v>2000</v>
      </c>
      <c r="Q37" s="23">
        <v>4000</v>
      </c>
      <c r="R37" s="1"/>
      <c r="S37" s="1">
        <v>5000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="11" customFormat="1" spans="1:48">
      <c r="A38" s="11">
        <v>36</v>
      </c>
      <c r="C38" s="11">
        <v>36</v>
      </c>
      <c r="F38" s="11" t="s">
        <v>51</v>
      </c>
      <c r="G38" s="21" t="s">
        <v>56</v>
      </c>
      <c r="H38" s="15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="11" customFormat="1" spans="1:48">
      <c r="A39" s="11">
        <v>37</v>
      </c>
      <c r="B39" s="11" t="s">
        <v>164</v>
      </c>
      <c r="C39" s="11">
        <v>37</v>
      </c>
      <c r="D39" s="11" t="s">
        <v>164</v>
      </c>
      <c r="F39" s="11" t="s">
        <v>51</v>
      </c>
      <c r="G39" s="21" t="s">
        <v>57</v>
      </c>
      <c r="H39" s="15">
        <f t="shared" si="2"/>
        <v>10000</v>
      </c>
      <c r="I39" s="1"/>
      <c r="J39" s="1"/>
      <c r="K39" s="1"/>
      <c r="L39" s="23">
        <v>5000</v>
      </c>
      <c r="M39" s="1"/>
      <c r="N39" s="1"/>
      <c r="O39" s="1"/>
      <c r="P39" s="1"/>
      <c r="Q39" s="1"/>
      <c r="R39" s="1"/>
      <c r="S39" s="1"/>
      <c r="T39" s="23">
        <v>5000</v>
      </c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="11" customFormat="1" spans="1:48">
      <c r="A40" s="11">
        <v>38</v>
      </c>
      <c r="B40" s="11" t="s">
        <v>165</v>
      </c>
      <c r="C40" s="11">
        <v>38</v>
      </c>
      <c r="D40" s="11" t="s">
        <v>165</v>
      </c>
      <c r="E40" s="11" t="s">
        <v>166</v>
      </c>
      <c r="F40" s="11" t="s">
        <v>51</v>
      </c>
      <c r="G40" s="21" t="s">
        <v>58</v>
      </c>
      <c r="H40" s="15">
        <f t="shared" si="2"/>
        <v>6000</v>
      </c>
      <c r="I40" s="1"/>
      <c r="J40" s="1"/>
      <c r="K40" s="23">
        <v>2000</v>
      </c>
      <c r="L40" s="1"/>
      <c r="M40" s="1"/>
      <c r="N40" s="1"/>
      <c r="O40" s="1"/>
      <c r="P40" s="23">
        <v>2000</v>
      </c>
      <c r="Q40" s="1"/>
      <c r="R40" s="1"/>
      <c r="S40" s="1"/>
      <c r="T40" s="23">
        <v>2000</v>
      </c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="11" customFormat="1" spans="1:48">
      <c r="A41" s="11">
        <v>39</v>
      </c>
      <c r="C41" s="11">
        <v>39</v>
      </c>
      <c r="D41" s="11" t="s">
        <v>167</v>
      </c>
      <c r="F41" s="11" t="s">
        <v>51</v>
      </c>
      <c r="G41" s="21" t="s">
        <v>59</v>
      </c>
      <c r="H41" s="15">
        <f t="shared" si="2"/>
        <v>2000</v>
      </c>
      <c r="I41" s="1"/>
      <c r="J41" s="1"/>
      <c r="K41" s="1"/>
      <c r="L41" s="1">
        <v>2000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="11" customFormat="1" spans="1:48">
      <c r="A42" s="11">
        <v>40</v>
      </c>
      <c r="C42" s="11">
        <v>40</v>
      </c>
      <c r="D42" s="11" t="s">
        <v>168</v>
      </c>
      <c r="F42" s="11" t="s">
        <v>51</v>
      </c>
      <c r="G42" s="21" t="s">
        <v>60</v>
      </c>
      <c r="H42" s="15">
        <f t="shared" si="2"/>
        <v>6000</v>
      </c>
      <c r="I42" s="1">
        <v>2000</v>
      </c>
      <c r="J42" s="1"/>
      <c r="K42" s="1"/>
      <c r="L42" s="23">
        <v>2000</v>
      </c>
      <c r="M42" s="1"/>
      <c r="N42" s="1"/>
      <c r="O42" s="1"/>
      <c r="P42" s="23">
        <v>2000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="11" customFormat="1" spans="1:48">
      <c r="A43" s="11">
        <v>41</v>
      </c>
      <c r="C43" s="11">
        <v>41</v>
      </c>
      <c r="D43" s="11" t="s">
        <v>169</v>
      </c>
      <c r="E43" s="11">
        <v>8210095108</v>
      </c>
      <c r="F43" s="11" t="s">
        <v>51</v>
      </c>
      <c r="G43" s="21" t="s">
        <v>61</v>
      </c>
      <c r="H43" s="15">
        <f t="shared" si="2"/>
        <v>16000</v>
      </c>
      <c r="I43" s="1">
        <v>4000</v>
      </c>
      <c r="J43" s="1"/>
      <c r="K43" s="1"/>
      <c r="L43" s="1">
        <v>4000</v>
      </c>
      <c r="M43" s="1"/>
      <c r="N43" s="1"/>
      <c r="O43" s="1">
        <v>2000</v>
      </c>
      <c r="P43" s="1">
        <v>2000</v>
      </c>
      <c r="Q43" s="1"/>
      <c r="R43" s="1">
        <v>2000</v>
      </c>
      <c r="S43" s="1">
        <v>2000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="11" customFormat="1" spans="1:48">
      <c r="A44" s="11">
        <v>42</v>
      </c>
      <c r="C44" s="11">
        <v>42</v>
      </c>
      <c r="D44" s="11" t="s">
        <v>170</v>
      </c>
      <c r="F44" s="11" t="s">
        <v>51</v>
      </c>
      <c r="G44" s="21" t="s">
        <v>62</v>
      </c>
      <c r="H44" s="15">
        <f t="shared" si="2"/>
        <v>4000</v>
      </c>
      <c r="I44" s="1"/>
      <c r="J44" s="23">
        <v>2000</v>
      </c>
      <c r="K44" s="1"/>
      <c r="L44" s="1"/>
      <c r="M44" s="1"/>
      <c r="N44" s="1"/>
      <c r="O44" s="1"/>
      <c r="P44" s="23">
        <v>2000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="11" customFormat="1" spans="1:48">
      <c r="A45" s="11">
        <v>43</v>
      </c>
      <c r="C45" s="11">
        <v>43</v>
      </c>
      <c r="D45" s="11" t="s">
        <v>171</v>
      </c>
      <c r="F45" s="11" t="s">
        <v>51</v>
      </c>
      <c r="G45" s="21" t="s">
        <v>63</v>
      </c>
      <c r="H45" s="15">
        <f t="shared" si="2"/>
        <v>10000</v>
      </c>
      <c r="I45" s="1"/>
      <c r="J45" s="1"/>
      <c r="K45" s="1"/>
      <c r="L45" s="23">
        <v>5000</v>
      </c>
      <c r="M45" s="1"/>
      <c r="N45" s="1"/>
      <c r="O45" s="1"/>
      <c r="P45" s="1"/>
      <c r="Q45" s="1"/>
      <c r="R45" s="23">
        <v>5000</v>
      </c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="11" customFormat="1" spans="1:48">
      <c r="A46" s="11">
        <v>44</v>
      </c>
      <c r="B46" s="11" t="s">
        <v>172</v>
      </c>
      <c r="C46" s="11">
        <v>44</v>
      </c>
      <c r="D46" s="11" t="s">
        <v>172</v>
      </c>
      <c r="F46" s="11" t="s">
        <v>64</v>
      </c>
      <c r="G46" s="21" t="s">
        <v>65</v>
      </c>
      <c r="H46" s="15">
        <f t="shared" si="2"/>
        <v>19000</v>
      </c>
      <c r="I46" s="1">
        <v>7000</v>
      </c>
      <c r="J46" s="1">
        <v>2000</v>
      </c>
      <c r="K46" s="1"/>
      <c r="L46" s="1"/>
      <c r="M46" s="1"/>
      <c r="N46" s="1"/>
      <c r="O46" s="1"/>
      <c r="P46" s="23">
        <v>6000</v>
      </c>
      <c r="Q46" s="1"/>
      <c r="R46" s="1"/>
      <c r="S46" s="1"/>
      <c r="T46" s="1">
        <v>4000</v>
      </c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="11" customFormat="1" spans="1:48">
      <c r="A47" s="11">
        <v>45</v>
      </c>
      <c r="C47" s="11">
        <v>45</v>
      </c>
      <c r="D47" s="11" t="s">
        <v>173</v>
      </c>
      <c r="F47" s="11" t="s">
        <v>64</v>
      </c>
      <c r="G47" s="21" t="s">
        <v>66</v>
      </c>
      <c r="H47" s="15">
        <f t="shared" si="2"/>
        <v>10000</v>
      </c>
      <c r="I47" s="1"/>
      <c r="J47" s="1"/>
      <c r="K47" s="23">
        <v>4000</v>
      </c>
      <c r="L47" s="1"/>
      <c r="M47" s="1"/>
      <c r="N47" s="1"/>
      <c r="O47" s="23">
        <v>2000</v>
      </c>
      <c r="P47" s="1"/>
      <c r="Q47" s="1"/>
      <c r="R47" s="1"/>
      <c r="S47" s="23">
        <v>4000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="11" customFormat="1" spans="1:48">
      <c r="A48" s="11">
        <v>46</v>
      </c>
      <c r="B48" s="11" t="s">
        <v>174</v>
      </c>
      <c r="C48" s="11">
        <v>46</v>
      </c>
      <c r="D48" s="11" t="s">
        <v>174</v>
      </c>
      <c r="E48" s="11">
        <v>7004729703</v>
      </c>
      <c r="F48" s="11" t="s">
        <v>64</v>
      </c>
      <c r="G48" s="21" t="s">
        <v>67</v>
      </c>
      <c r="H48" s="15">
        <f t="shared" si="2"/>
        <v>2000</v>
      </c>
      <c r="I48" s="1"/>
      <c r="J48" s="1"/>
      <c r="K48" s="1"/>
      <c r="L48" s="1"/>
      <c r="M48" s="1"/>
      <c r="N48" s="1"/>
      <c r="O48" s="1"/>
      <c r="P48" s="23">
        <v>2000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="11" customFormat="1" spans="1:48">
      <c r="A49" s="11">
        <v>47</v>
      </c>
      <c r="B49" s="11" t="s">
        <v>175</v>
      </c>
      <c r="C49" s="11">
        <v>47</v>
      </c>
      <c r="D49" s="11" t="s">
        <v>175</v>
      </c>
      <c r="E49" s="11">
        <v>8863097933</v>
      </c>
      <c r="F49" s="11" t="s">
        <v>64</v>
      </c>
      <c r="G49" s="21" t="s">
        <v>68</v>
      </c>
      <c r="H49" s="15">
        <f t="shared" si="2"/>
        <v>18000</v>
      </c>
      <c r="I49" s="1">
        <v>8000</v>
      </c>
      <c r="J49" s="1">
        <v>2000</v>
      </c>
      <c r="K49" s="1"/>
      <c r="L49" s="1"/>
      <c r="M49" s="1">
        <v>6000</v>
      </c>
      <c r="N49" s="1"/>
      <c r="O49" s="1"/>
      <c r="P49" s="1">
        <v>2000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="11" customFormat="1" spans="1:48">
      <c r="A50" s="11">
        <v>48</v>
      </c>
      <c r="B50" s="11" t="s">
        <v>176</v>
      </c>
      <c r="C50" s="11">
        <v>48</v>
      </c>
      <c r="D50" s="11" t="s">
        <v>176</v>
      </c>
      <c r="E50" s="11">
        <v>9835443096</v>
      </c>
      <c r="F50" s="11" t="s">
        <v>64</v>
      </c>
      <c r="G50" s="21" t="s">
        <v>69</v>
      </c>
      <c r="H50" s="15">
        <f t="shared" si="2"/>
        <v>7000</v>
      </c>
      <c r="I50" s="1"/>
      <c r="J50" s="1"/>
      <c r="K50" s="1"/>
      <c r="L50" s="1"/>
      <c r="M50" s="1"/>
      <c r="N50" s="1"/>
      <c r="O50" s="1"/>
      <c r="P50" s="23">
        <v>7000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="11" customFormat="1" spans="1:48">
      <c r="A51" s="11">
        <v>49</v>
      </c>
      <c r="B51" s="11" t="s">
        <v>177</v>
      </c>
      <c r="C51" s="11">
        <v>49</v>
      </c>
      <c r="D51" s="11" t="s">
        <v>178</v>
      </c>
      <c r="F51" s="11" t="s">
        <v>64</v>
      </c>
      <c r="G51" s="21" t="s">
        <v>70</v>
      </c>
      <c r="H51" s="15">
        <f t="shared" si="2"/>
        <v>6000</v>
      </c>
      <c r="I51" s="1"/>
      <c r="J51" s="1">
        <v>2000</v>
      </c>
      <c r="K51" s="1"/>
      <c r="L51" s="1"/>
      <c r="M51" s="1"/>
      <c r="N51" s="1"/>
      <c r="O51" s="23">
        <v>3000</v>
      </c>
      <c r="P51" s="1"/>
      <c r="Q51" s="1"/>
      <c r="R51" s="1"/>
      <c r="S51" s="1"/>
      <c r="T51" s="1">
        <v>1000</v>
      </c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="11" customFormat="1" spans="1:48">
      <c r="A52" s="11">
        <v>50</v>
      </c>
      <c r="C52" s="11">
        <v>50</v>
      </c>
      <c r="F52" s="11" t="s">
        <v>64</v>
      </c>
      <c r="G52" s="21" t="s">
        <v>71</v>
      </c>
      <c r="H52" s="15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="11" customFormat="1" spans="1:48">
      <c r="A53" s="11">
        <v>51</v>
      </c>
      <c r="B53" s="11" t="s">
        <v>179</v>
      </c>
      <c r="C53" s="11">
        <v>51</v>
      </c>
      <c r="D53" s="11" t="s">
        <v>179</v>
      </c>
      <c r="F53" s="11" t="s">
        <v>64</v>
      </c>
      <c r="G53" s="21" t="s">
        <v>72</v>
      </c>
      <c r="H53" s="15">
        <f t="shared" si="2"/>
        <v>12000</v>
      </c>
      <c r="I53" s="23">
        <v>4000</v>
      </c>
      <c r="J53" s="1"/>
      <c r="K53" s="1"/>
      <c r="L53" s="1"/>
      <c r="M53" s="1"/>
      <c r="N53" s="1"/>
      <c r="O53" s="1"/>
      <c r="P53" s="1"/>
      <c r="Q53" s="23">
        <v>4000</v>
      </c>
      <c r="R53" s="1"/>
      <c r="S53" s="1"/>
      <c r="T53" s="23">
        <v>4000</v>
      </c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="11" customFormat="1" spans="1:48">
      <c r="A54" s="11">
        <v>52</v>
      </c>
      <c r="C54" s="11">
        <v>52</v>
      </c>
      <c r="F54" s="11" t="s">
        <v>64</v>
      </c>
      <c r="G54" s="21" t="s">
        <v>73</v>
      </c>
      <c r="H54" s="15">
        <f t="shared" si="2"/>
        <v>16000</v>
      </c>
      <c r="I54" s="1">
        <v>4000</v>
      </c>
      <c r="J54" s="1">
        <v>2000</v>
      </c>
      <c r="K54" s="1"/>
      <c r="L54" s="1"/>
      <c r="M54" s="1"/>
      <c r="N54" s="1"/>
      <c r="O54" s="1"/>
      <c r="P54" s="23">
        <v>6000</v>
      </c>
      <c r="Q54" s="1"/>
      <c r="R54" s="1"/>
      <c r="S54" s="1"/>
      <c r="T54" s="1">
        <v>4000</v>
      </c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="11" customFormat="1" spans="1:48">
      <c r="A55" s="11">
        <v>53</v>
      </c>
      <c r="B55" s="11" t="s">
        <v>180</v>
      </c>
      <c r="C55" s="11">
        <v>53</v>
      </c>
      <c r="D55" s="11" t="s">
        <v>180</v>
      </c>
      <c r="F55" s="11" t="s">
        <v>64</v>
      </c>
      <c r="G55" s="21" t="s">
        <v>74</v>
      </c>
      <c r="H55" s="15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="11" customFormat="1" spans="1:48">
      <c r="A56" s="11">
        <v>54</v>
      </c>
      <c r="B56" s="11" t="s">
        <v>181</v>
      </c>
      <c r="C56" s="11">
        <v>54</v>
      </c>
      <c r="D56" s="11" t="s">
        <v>181</v>
      </c>
      <c r="F56" s="11" t="s">
        <v>64</v>
      </c>
      <c r="G56" s="21" t="s">
        <v>75</v>
      </c>
      <c r="H56" s="15">
        <f t="shared" si="2"/>
        <v>1500</v>
      </c>
      <c r="I56" s="1"/>
      <c r="J56" s="1"/>
      <c r="K56" s="1"/>
      <c r="L56" s="1"/>
      <c r="M56" s="1"/>
      <c r="N56" s="1"/>
      <c r="O56" s="1"/>
      <c r="P56" s="1">
        <v>1500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="11" customFormat="1" spans="1:48">
      <c r="A57" s="11">
        <v>55</v>
      </c>
      <c r="C57" s="11">
        <v>55</v>
      </c>
      <c r="E57" s="11">
        <v>6202424016</v>
      </c>
      <c r="F57" s="11" t="s">
        <v>64</v>
      </c>
      <c r="G57" s="21" t="s">
        <v>76</v>
      </c>
      <c r="H57" s="15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="11" customFormat="1" spans="1:48">
      <c r="A58" s="11">
        <v>56</v>
      </c>
      <c r="C58" s="11">
        <v>56</v>
      </c>
      <c r="D58" s="11" t="s">
        <v>182</v>
      </c>
      <c r="E58" s="11">
        <v>7004211364</v>
      </c>
      <c r="F58" s="11" t="s">
        <v>77</v>
      </c>
      <c r="G58" s="21" t="s">
        <v>78</v>
      </c>
      <c r="H58" s="15">
        <f t="shared" si="2"/>
        <v>6000</v>
      </c>
      <c r="I58" s="1"/>
      <c r="J58" s="1">
        <v>4000</v>
      </c>
      <c r="K58" s="1"/>
      <c r="L58" s="1">
        <v>2000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="11" customFormat="1" spans="1:48">
      <c r="A59" s="11">
        <v>57</v>
      </c>
      <c r="B59" s="11" t="s">
        <v>183</v>
      </c>
      <c r="C59" s="11">
        <v>57</v>
      </c>
      <c r="D59" s="11" t="s">
        <v>184</v>
      </c>
      <c r="F59" s="11" t="s">
        <v>77</v>
      </c>
      <c r="G59" s="21" t="s">
        <v>79</v>
      </c>
      <c r="H59" s="15">
        <f t="shared" si="2"/>
        <v>20000</v>
      </c>
      <c r="I59" s="1"/>
      <c r="J59" s="1"/>
      <c r="K59" s="1"/>
      <c r="L59" s="1">
        <v>10000</v>
      </c>
      <c r="M59" s="1"/>
      <c r="N59" s="1"/>
      <c r="O59" s="1"/>
      <c r="P59" s="1"/>
      <c r="Q59" s="1"/>
      <c r="R59" s="1">
        <v>10000</v>
      </c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="11" customFormat="1" spans="1:48">
      <c r="A60" s="11">
        <v>58</v>
      </c>
      <c r="C60" s="11">
        <v>58</v>
      </c>
      <c r="D60" s="11" t="s">
        <v>185</v>
      </c>
      <c r="F60" s="11" t="s">
        <v>77</v>
      </c>
      <c r="G60" s="21" t="s">
        <v>80</v>
      </c>
      <c r="H60" s="15">
        <f t="shared" si="2"/>
        <v>10000</v>
      </c>
      <c r="I60" s="1"/>
      <c r="J60" s="1">
        <v>5000</v>
      </c>
      <c r="K60" s="1"/>
      <c r="L60" s="1"/>
      <c r="M60" s="1"/>
      <c r="N60" s="1"/>
      <c r="O60" s="1"/>
      <c r="P60" s="23">
        <v>5000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="11" customFormat="1" spans="1:48">
      <c r="A61" s="11">
        <v>59</v>
      </c>
      <c r="C61" s="11">
        <v>59</v>
      </c>
      <c r="D61" s="11" t="s">
        <v>186</v>
      </c>
      <c r="E61" s="11">
        <v>9798805204</v>
      </c>
      <c r="F61" s="11" t="s">
        <v>77</v>
      </c>
      <c r="G61" s="21" t="s">
        <v>81</v>
      </c>
      <c r="H61" s="15">
        <f t="shared" si="2"/>
        <v>2000</v>
      </c>
      <c r="I61" s="1"/>
      <c r="J61" s="1"/>
      <c r="K61" s="1"/>
      <c r="L61" s="1"/>
      <c r="M61" s="1"/>
      <c r="N61" s="1"/>
      <c r="O61" s="1"/>
      <c r="P61" s="1"/>
      <c r="Q61" s="1"/>
      <c r="R61" s="1">
        <v>2000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="11" customFormat="1" spans="1:48">
      <c r="A62" s="11">
        <v>60</v>
      </c>
      <c r="B62" s="11" t="s">
        <v>187</v>
      </c>
      <c r="C62" s="11">
        <v>60</v>
      </c>
      <c r="D62" s="11" t="s">
        <v>187</v>
      </c>
      <c r="E62" s="11">
        <v>9504958065</v>
      </c>
      <c r="F62" s="11" t="s">
        <v>82</v>
      </c>
      <c r="G62" s="21" t="s">
        <v>83</v>
      </c>
      <c r="H62" s="15">
        <f t="shared" si="2"/>
        <v>15000</v>
      </c>
      <c r="I62" s="1">
        <v>2000</v>
      </c>
      <c r="J62" s="1"/>
      <c r="K62" s="1"/>
      <c r="L62" s="1"/>
      <c r="M62" s="1"/>
      <c r="N62" s="1"/>
      <c r="O62" s="1"/>
      <c r="P62" s="23">
        <v>5000</v>
      </c>
      <c r="Q62" s="1"/>
      <c r="R62" s="1"/>
      <c r="S62" s="23">
        <v>8000</v>
      </c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="11" customFormat="1" spans="1:48">
      <c r="A63" s="11">
        <v>61</v>
      </c>
      <c r="C63" s="11">
        <v>61</v>
      </c>
      <c r="E63" s="11">
        <v>9852299192</v>
      </c>
      <c r="F63" s="11" t="s">
        <v>82</v>
      </c>
      <c r="G63" s="21" t="s">
        <v>84</v>
      </c>
      <c r="H63" s="15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="11" customFormat="1" spans="1:48">
      <c r="A64" s="11">
        <v>62</v>
      </c>
      <c r="B64" s="11" t="s">
        <v>188</v>
      </c>
      <c r="C64" s="11">
        <v>62</v>
      </c>
      <c r="D64" s="11" t="s">
        <v>189</v>
      </c>
      <c r="E64" s="11" t="s">
        <v>190</v>
      </c>
      <c r="F64" s="11" t="s">
        <v>82</v>
      </c>
      <c r="G64" s="21" t="s">
        <v>87</v>
      </c>
      <c r="H64" s="15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="11" customFormat="1" spans="1:48">
      <c r="A65" s="11">
        <v>63</v>
      </c>
      <c r="B65" s="11" t="s">
        <v>191</v>
      </c>
      <c r="C65" s="11">
        <v>63</v>
      </c>
      <c r="D65" s="11" t="s">
        <v>192</v>
      </c>
      <c r="E65" s="11">
        <v>7004399486</v>
      </c>
      <c r="F65" s="11" t="s">
        <v>88</v>
      </c>
      <c r="G65" s="11" t="s">
        <v>89</v>
      </c>
      <c r="H65" s="15">
        <f t="shared" si="2"/>
        <v>4000</v>
      </c>
      <c r="I65" s="1"/>
      <c r="J65" s="1"/>
      <c r="K65" s="1"/>
      <c r="L65" s="1"/>
      <c r="M65" s="1"/>
      <c r="N65" s="23">
        <v>2000</v>
      </c>
      <c r="O65" s="1"/>
      <c r="P65" s="1"/>
      <c r="Q65" s="1"/>
      <c r="R65" s="1"/>
      <c r="S65" s="1"/>
      <c r="T65" s="23">
        <v>2000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="11" customFormat="1" spans="1:48">
      <c r="A66" s="11">
        <v>64</v>
      </c>
      <c r="B66" s="11" t="s">
        <v>193</v>
      </c>
      <c r="C66" s="11">
        <v>64</v>
      </c>
      <c r="D66" s="11" t="s">
        <v>194</v>
      </c>
      <c r="F66" s="11" t="s">
        <v>88</v>
      </c>
      <c r="G66" s="21" t="s">
        <v>90</v>
      </c>
      <c r="H66" s="15">
        <f t="shared" si="2"/>
        <v>5000</v>
      </c>
      <c r="I66" s="23">
        <v>1000</v>
      </c>
      <c r="J66" s="1"/>
      <c r="K66" s="23">
        <v>1000</v>
      </c>
      <c r="L66" s="1"/>
      <c r="M66" s="1"/>
      <c r="N66" s="23">
        <v>1000</v>
      </c>
      <c r="O66" s="1"/>
      <c r="P66" s="1"/>
      <c r="Q66" s="23">
        <v>2000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="11" customFormat="1" spans="1:48">
      <c r="A67" s="11">
        <v>65</v>
      </c>
      <c r="C67" s="11">
        <v>65</v>
      </c>
      <c r="D67" s="11" t="s">
        <v>195</v>
      </c>
      <c r="F67" s="11" t="s">
        <v>91</v>
      </c>
      <c r="G67" s="21" t="s">
        <v>92</v>
      </c>
      <c r="H67" s="15">
        <f t="shared" si="2"/>
        <v>5000</v>
      </c>
      <c r="I67" s="1"/>
      <c r="J67" s="1">
        <v>2500</v>
      </c>
      <c r="K67" s="1"/>
      <c r="L67" s="1"/>
      <c r="M67" s="1"/>
      <c r="N67" s="1"/>
      <c r="O67" s="1"/>
      <c r="P67" s="1"/>
      <c r="Q67" s="1"/>
      <c r="R67" s="1"/>
      <c r="S67" s="1"/>
      <c r="T67" s="1">
        <v>2500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="11" customFormat="1" spans="1:48">
      <c r="A68" s="11">
        <v>66</v>
      </c>
      <c r="C68" s="11">
        <v>66</v>
      </c>
      <c r="F68" s="11" t="s">
        <v>93</v>
      </c>
      <c r="G68" s="21" t="s">
        <v>94</v>
      </c>
      <c r="H68" s="15">
        <f t="shared" ref="H68:H96" si="3">SUM(I68:AM68)</f>
        <v>6000</v>
      </c>
      <c r="I68" s="1"/>
      <c r="J68" s="1">
        <v>6000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="11" customFormat="1" spans="1:48">
      <c r="A69" s="11">
        <v>67</v>
      </c>
      <c r="C69" s="11">
        <v>67</v>
      </c>
      <c r="F69" s="11" t="s">
        <v>93</v>
      </c>
      <c r="G69" s="21" t="s">
        <v>95</v>
      </c>
      <c r="H69" s="15">
        <f t="shared" si="3"/>
        <v>2000</v>
      </c>
      <c r="I69" s="1"/>
      <c r="J69" s="1"/>
      <c r="K69" s="1"/>
      <c r="L69" s="1"/>
      <c r="M69" s="1"/>
      <c r="N69" s="1"/>
      <c r="O69" s="1"/>
      <c r="P69" s="23">
        <v>2000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="11" customFormat="1" spans="1:48">
      <c r="A70" s="11">
        <v>68</v>
      </c>
      <c r="C70" s="11">
        <v>68</v>
      </c>
      <c r="E70" s="11">
        <v>7903311240</v>
      </c>
      <c r="F70" s="11" t="s">
        <v>93</v>
      </c>
      <c r="G70" s="21" t="s">
        <v>96</v>
      </c>
      <c r="H70" s="15">
        <f t="shared" si="3"/>
        <v>2000</v>
      </c>
      <c r="I70" s="1"/>
      <c r="J70" s="1"/>
      <c r="K70" s="1"/>
      <c r="L70" s="1"/>
      <c r="M70" s="1"/>
      <c r="N70" s="1"/>
      <c r="O70" s="1"/>
      <c r="P70" s="1">
        <v>2000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="11" customFormat="1" spans="1:48">
      <c r="A71" s="11">
        <v>69</v>
      </c>
      <c r="C71" s="11">
        <v>69</v>
      </c>
      <c r="F71" s="11" t="s">
        <v>93</v>
      </c>
      <c r="G71" s="21" t="s">
        <v>97</v>
      </c>
      <c r="H71" s="15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="11" customFormat="1" spans="1:48">
      <c r="A72" s="11">
        <v>70</v>
      </c>
      <c r="C72" s="11">
        <v>70</v>
      </c>
      <c r="D72" s="11" t="s">
        <v>196</v>
      </c>
      <c r="F72" s="11" t="s">
        <v>93</v>
      </c>
      <c r="G72" s="21" t="s">
        <v>98</v>
      </c>
      <c r="H72" s="15">
        <f t="shared" si="3"/>
        <v>15000</v>
      </c>
      <c r="I72" s="1"/>
      <c r="J72" s="1"/>
      <c r="K72" s="1"/>
      <c r="L72" s="1"/>
      <c r="M72" s="23">
        <v>10000</v>
      </c>
      <c r="N72" s="1"/>
      <c r="O72" s="23">
        <v>5000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="11" customFormat="1" spans="1:48">
      <c r="A73" s="11">
        <v>71</v>
      </c>
      <c r="C73" s="11">
        <v>71</v>
      </c>
      <c r="D73" s="11" t="s">
        <v>197</v>
      </c>
      <c r="F73" s="11" t="s">
        <v>93</v>
      </c>
      <c r="G73" s="21" t="s">
        <v>99</v>
      </c>
      <c r="H73" s="15">
        <f t="shared" si="3"/>
        <v>10000</v>
      </c>
      <c r="I73" s="1"/>
      <c r="J73" s="1"/>
      <c r="K73" s="23">
        <v>6000</v>
      </c>
      <c r="L73" s="1"/>
      <c r="M73" s="1"/>
      <c r="N73" s="1"/>
      <c r="O73" s="1"/>
      <c r="P73" s="23">
        <v>4000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="11" customFormat="1" spans="1:48">
      <c r="A74" s="11">
        <v>72</v>
      </c>
      <c r="B74" s="11" t="s">
        <v>198</v>
      </c>
      <c r="C74" s="11">
        <v>72</v>
      </c>
      <c r="D74" s="11" t="s">
        <v>199</v>
      </c>
      <c r="E74" s="11">
        <v>8825370430</v>
      </c>
      <c r="F74" s="11" t="s">
        <v>93</v>
      </c>
      <c r="G74" s="21" t="s">
        <v>100</v>
      </c>
      <c r="H74" s="15">
        <f t="shared" si="3"/>
        <v>12000</v>
      </c>
      <c r="I74" s="1"/>
      <c r="J74" s="1"/>
      <c r="K74" s="23">
        <v>8000</v>
      </c>
      <c r="L74" s="1"/>
      <c r="M74" s="1"/>
      <c r="N74" s="1"/>
      <c r="O74" s="1"/>
      <c r="P74" s="1"/>
      <c r="Q74" s="23">
        <v>4000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="11" customFormat="1" spans="1:48">
      <c r="A75" s="11">
        <v>73</v>
      </c>
      <c r="C75" s="11">
        <v>73</v>
      </c>
      <c r="E75" s="11">
        <v>9631378928</v>
      </c>
      <c r="F75" s="11" t="s">
        <v>93</v>
      </c>
      <c r="G75" s="21" t="s">
        <v>101</v>
      </c>
      <c r="H75" s="15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="11" customFormat="1" spans="1:48">
      <c r="A76" s="11">
        <v>74</v>
      </c>
      <c r="C76" s="11">
        <v>74</v>
      </c>
      <c r="F76" s="11" t="s">
        <v>93</v>
      </c>
      <c r="G76" s="21" t="s">
        <v>102</v>
      </c>
      <c r="H76" s="15">
        <f t="shared" si="3"/>
        <v>2000</v>
      </c>
      <c r="I76" s="1"/>
      <c r="J76" s="1"/>
      <c r="K76" s="1"/>
      <c r="L76" s="1"/>
      <c r="M76" s="1"/>
      <c r="N76" s="1"/>
      <c r="O76" s="1"/>
      <c r="P76" s="1">
        <v>2000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="11" customFormat="1" spans="1:48">
      <c r="A77" s="11">
        <v>75</v>
      </c>
      <c r="B77" s="11" t="s">
        <v>200</v>
      </c>
      <c r="C77" s="11">
        <v>75</v>
      </c>
      <c r="D77" s="11" t="s">
        <v>200</v>
      </c>
      <c r="E77" s="11">
        <v>6200769032</v>
      </c>
      <c r="F77" s="11" t="s">
        <v>103</v>
      </c>
      <c r="G77" s="21" t="s">
        <v>104</v>
      </c>
      <c r="H77" s="15">
        <f t="shared" si="3"/>
        <v>6900</v>
      </c>
      <c r="I77" s="1"/>
      <c r="J77" s="1"/>
      <c r="K77" s="1"/>
      <c r="L77" s="1"/>
      <c r="M77" s="23">
        <v>5700</v>
      </c>
      <c r="N77" s="1"/>
      <c r="O77" s="1">
        <v>1200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="11" customFormat="1" spans="1:48">
      <c r="A78" s="11">
        <v>76</v>
      </c>
      <c r="B78" s="11" t="s">
        <v>201</v>
      </c>
      <c r="C78" s="11">
        <v>76</v>
      </c>
      <c r="D78" s="11" t="s">
        <v>202</v>
      </c>
      <c r="F78" s="11" t="s">
        <v>103</v>
      </c>
      <c r="G78" s="21" t="s">
        <v>105</v>
      </c>
      <c r="H78" s="15">
        <f t="shared" si="3"/>
        <v>10000</v>
      </c>
      <c r="I78" s="1"/>
      <c r="J78" s="1"/>
      <c r="K78" s="23">
        <v>5000</v>
      </c>
      <c r="L78" s="1"/>
      <c r="M78" s="1"/>
      <c r="N78" s="1"/>
      <c r="O78" s="23">
        <v>5000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="11" customFormat="1" spans="1:48">
      <c r="A79" s="11">
        <v>77</v>
      </c>
      <c r="B79" s="11" t="s">
        <v>203</v>
      </c>
      <c r="C79" s="11">
        <v>77</v>
      </c>
      <c r="D79" s="11" t="s">
        <v>204</v>
      </c>
      <c r="F79" s="11" t="s">
        <v>103</v>
      </c>
      <c r="G79" s="21" t="s">
        <v>106</v>
      </c>
      <c r="H79" s="15">
        <f t="shared" si="3"/>
        <v>3000</v>
      </c>
      <c r="I79" s="1"/>
      <c r="J79" s="1"/>
      <c r="K79" s="1"/>
      <c r="L79" s="1"/>
      <c r="M79" s="1">
        <v>3000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="11" customFormat="1" spans="1:48">
      <c r="A80" s="11">
        <v>78</v>
      </c>
      <c r="C80" s="11">
        <v>78</v>
      </c>
      <c r="G80" s="21" t="s">
        <v>107</v>
      </c>
      <c r="H80" s="15">
        <f t="shared" si="3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="11" customFormat="1" spans="1:48">
      <c r="A81" s="11">
        <v>79</v>
      </c>
      <c r="B81" s="11" t="s">
        <v>205</v>
      </c>
      <c r="C81" s="11">
        <v>79</v>
      </c>
      <c r="D81" s="11" t="s">
        <v>205</v>
      </c>
      <c r="E81" s="11" t="s">
        <v>206</v>
      </c>
      <c r="F81" s="11" t="s">
        <v>108</v>
      </c>
      <c r="G81" s="21" t="s">
        <v>109</v>
      </c>
      <c r="H81" s="15">
        <f t="shared" si="3"/>
        <v>2000</v>
      </c>
      <c r="I81" s="1"/>
      <c r="J81" s="1"/>
      <c r="K81" s="1"/>
      <c r="L81" s="1"/>
      <c r="M81" s="1"/>
      <c r="N81" s="1"/>
      <c r="O81" s="1"/>
      <c r="P81" s="1"/>
      <c r="Q81" s="23">
        <v>2000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="11" customFormat="1" spans="1:48">
      <c r="A82" s="11">
        <v>80</v>
      </c>
      <c r="C82" s="11">
        <v>80</v>
      </c>
      <c r="G82" s="21" t="s">
        <v>110</v>
      </c>
      <c r="H82" s="15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="11" customFormat="1" spans="1:48">
      <c r="A83" s="11">
        <v>81</v>
      </c>
      <c r="C83" s="11">
        <v>81</v>
      </c>
      <c r="F83" s="11" t="s">
        <v>111</v>
      </c>
      <c r="G83" s="21" t="s">
        <v>112</v>
      </c>
      <c r="H83" s="15">
        <f t="shared" si="3"/>
        <v>2000</v>
      </c>
      <c r="I83" s="1"/>
      <c r="J83" s="1">
        <v>2000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="11" customFormat="1" spans="1:48">
      <c r="A84" s="11">
        <v>82</v>
      </c>
      <c r="C84" s="11">
        <v>82</v>
      </c>
      <c r="G84" s="21" t="s">
        <v>113</v>
      </c>
      <c r="H84" s="15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="11" customFormat="1" spans="1:48">
      <c r="A85" s="11">
        <v>83</v>
      </c>
      <c r="B85" s="11" t="s">
        <v>207</v>
      </c>
      <c r="C85" s="11">
        <v>83</v>
      </c>
      <c r="D85" s="11" t="s">
        <v>207</v>
      </c>
      <c r="F85" s="11" t="s">
        <v>114</v>
      </c>
      <c r="G85" s="21" t="s">
        <v>115</v>
      </c>
      <c r="H85" s="15">
        <f t="shared" si="3"/>
        <v>15000</v>
      </c>
      <c r="I85" s="1">
        <v>5000</v>
      </c>
      <c r="J85" s="1"/>
      <c r="K85" s="1"/>
      <c r="L85" s="1"/>
      <c r="M85" s="1"/>
      <c r="N85" s="1"/>
      <c r="O85" s="1"/>
      <c r="P85" s="23">
        <v>10000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="11" customFormat="1" spans="1:48">
      <c r="A86" s="11">
        <v>84</v>
      </c>
      <c r="C86" s="11">
        <v>84</v>
      </c>
      <c r="E86" s="11">
        <v>9934079439</v>
      </c>
      <c r="F86" s="11" t="s">
        <v>114</v>
      </c>
      <c r="G86" s="21" t="s">
        <v>116</v>
      </c>
      <c r="H86" s="15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="11" customFormat="1" spans="1:48">
      <c r="A87" s="11">
        <v>85</v>
      </c>
      <c r="B87" s="11" t="s">
        <v>208</v>
      </c>
      <c r="C87" s="11">
        <v>85</v>
      </c>
      <c r="D87" s="11" t="s">
        <v>208</v>
      </c>
      <c r="E87" s="11">
        <v>7903552643</v>
      </c>
      <c r="F87" s="11" t="s">
        <v>114</v>
      </c>
      <c r="G87" s="21" t="s">
        <v>117</v>
      </c>
      <c r="H87" s="15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="11" customFormat="1" spans="1:48">
      <c r="A88" s="11">
        <v>86</v>
      </c>
      <c r="C88" s="11">
        <v>86</v>
      </c>
      <c r="D88" s="11" t="s">
        <v>209</v>
      </c>
      <c r="E88" s="11">
        <v>9911430509</v>
      </c>
      <c r="F88" s="11" t="s">
        <v>118</v>
      </c>
      <c r="G88" s="21" t="s">
        <v>119</v>
      </c>
      <c r="H88" s="15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="11" customFormat="1" spans="1:48">
      <c r="A89" s="11">
        <v>87</v>
      </c>
      <c r="C89" s="11">
        <v>87</v>
      </c>
      <c r="G89" s="21" t="s">
        <v>120</v>
      </c>
      <c r="H89" s="15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="11" customFormat="1" spans="1:48">
      <c r="A90" s="11">
        <v>88</v>
      </c>
      <c r="B90" s="11" t="s">
        <v>210</v>
      </c>
      <c r="C90" s="11">
        <v>88</v>
      </c>
      <c r="D90" s="11" t="s">
        <v>210</v>
      </c>
      <c r="G90" s="21" t="s">
        <v>121</v>
      </c>
      <c r="H90" s="15">
        <f t="shared" si="3"/>
        <v>2000</v>
      </c>
      <c r="I90" s="1"/>
      <c r="J90" s="1"/>
      <c r="K90" s="23">
        <v>1000</v>
      </c>
      <c r="L90" s="1"/>
      <c r="M90" s="1"/>
      <c r="N90" s="1"/>
      <c r="O90" s="1"/>
      <c r="P90" s="1"/>
      <c r="Q90" s="1"/>
      <c r="R90" s="23">
        <v>1000</v>
      </c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="11" customFormat="1" spans="1:48">
      <c r="A91" s="11">
        <v>89</v>
      </c>
      <c r="C91" s="11">
        <v>89</v>
      </c>
      <c r="G91" s="21" t="s">
        <v>122</v>
      </c>
      <c r="H91" s="15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="11" customFormat="1" spans="1:48">
      <c r="A92" s="11">
        <v>90</v>
      </c>
      <c r="C92" s="11">
        <v>90</v>
      </c>
      <c r="D92" s="11" t="s">
        <v>211</v>
      </c>
      <c r="E92" s="11">
        <v>9015378357</v>
      </c>
      <c r="F92" s="11" t="s">
        <v>212</v>
      </c>
      <c r="G92" s="21" t="s">
        <v>123</v>
      </c>
      <c r="H92" s="15">
        <f t="shared" si="3"/>
        <v>4000</v>
      </c>
      <c r="I92" s="1"/>
      <c r="J92" s="1"/>
      <c r="K92" s="1"/>
      <c r="L92" s="23">
        <v>4000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="11" customFormat="1" spans="1:48">
      <c r="A93" s="11">
        <v>91</v>
      </c>
      <c r="C93" s="11">
        <v>91</v>
      </c>
      <c r="G93" s="21" t="s">
        <v>124</v>
      </c>
      <c r="H93" s="15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="11" customFormat="1" spans="1:48">
      <c r="A94" s="11">
        <v>92</v>
      </c>
      <c r="C94" s="11">
        <v>92</v>
      </c>
      <c r="D94" s="11" t="s">
        <v>213</v>
      </c>
      <c r="F94" s="11" t="s">
        <v>125</v>
      </c>
      <c r="G94" s="21" t="s">
        <v>126</v>
      </c>
      <c r="H94" s="15">
        <f t="shared" si="3"/>
        <v>5000</v>
      </c>
      <c r="I94" s="1"/>
      <c r="J94" s="1"/>
      <c r="K94" s="1"/>
      <c r="L94" s="1"/>
      <c r="M94" s="1"/>
      <c r="N94" s="1"/>
      <c r="O94" s="1"/>
      <c r="P94" s="23">
        <v>5000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="11" customFormat="1" spans="1:48">
      <c r="A95" s="11">
        <v>93</v>
      </c>
      <c r="C95" s="11">
        <v>93</v>
      </c>
      <c r="G95" s="21" t="s">
        <v>127</v>
      </c>
      <c r="H95" s="15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="11" customFormat="1" spans="1:48">
      <c r="A96" s="11">
        <v>94</v>
      </c>
      <c r="C96" s="11">
        <v>94</v>
      </c>
      <c r="G96" s="21" t="s">
        <v>128</v>
      </c>
      <c r="H96" s="15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8:48">
      <c r="H97" s="1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8:48">
      <c r="H98" s="1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8:48">
      <c r="H99" s="1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8:48">
      <c r="H100" s="1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8:48">
      <c r="H101" s="1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8:48">
      <c r="H102" s="1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8:48">
      <c r="H103" s="1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8:48">
      <c r="H104" s="1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8:48">
      <c r="H105" s="1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8:48">
      <c r="H106" s="1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8:48">
      <c r="H107" s="1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8:48">
      <c r="H108" s="1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8:48">
      <c r="H109" s="1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8:38">
      <c r="H110" s="1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8:38">
      <c r="H111" s="1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8:8">
      <c r="H112" s="15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tabSelected="1" workbookViewId="0">
      <selection activeCell="D1" sqref="A1:D91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214</v>
      </c>
    </row>
    <row r="2" spans="1:5">
      <c r="A2" s="4"/>
      <c r="B2" s="4"/>
      <c r="C2" s="5" t="s">
        <v>8</v>
      </c>
      <c r="D2" s="6">
        <f>Orders!F2-Collection!H2</f>
        <v>243700</v>
      </c>
      <c r="E2" s="7">
        <f>SUM(D3:D96)</f>
        <v>243700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2000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2000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4000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13000</v>
      </c>
    </row>
    <row r="8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5000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4000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2500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4200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2000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7000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3000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6000</v>
      </c>
    </row>
    <row r="2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2000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5000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3000</v>
      </c>
    </row>
    <row r="29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2000</v>
      </c>
    </row>
    <row r="3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5000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2000</v>
      </c>
    </row>
    <row r="36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0</v>
      </c>
    </row>
    <row r="40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2000</v>
      </c>
    </row>
    <row r="42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2000</v>
      </c>
    </row>
    <row r="44" spans="1:4">
      <c r="A44" s="8" t="s">
        <v>51</v>
      </c>
      <c r="B44" s="8">
        <v>9525707958</v>
      </c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2000</v>
      </c>
    </row>
    <row r="48" spans="1:4">
      <c r="A48" s="8" t="s">
        <v>64</v>
      </c>
      <c r="B48" s="8">
        <v>7004729703</v>
      </c>
      <c r="C48" s="9" t="s">
        <v>67</v>
      </c>
      <c r="D48" s="10">
        <f>Orders!F48-Collection!H48</f>
        <v>2000</v>
      </c>
    </row>
    <row r="49" spans="1:4">
      <c r="A49" s="12" t="s">
        <v>64</v>
      </c>
      <c r="B49" s="12">
        <v>7479799801</v>
      </c>
      <c r="C49" s="13" t="s">
        <v>68</v>
      </c>
      <c r="D49" s="14">
        <f>Orders!F49-Collection!H49</f>
        <v>2000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2000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0</v>
      </c>
    </row>
    <row r="52" spans="1:4">
      <c r="A52" s="8" t="s">
        <v>64</v>
      </c>
      <c r="B52" s="8">
        <v>8210487942</v>
      </c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2000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2000</v>
      </c>
    </row>
    <row r="55" spans="1:4">
      <c r="A55" s="8" t="s">
        <v>64</v>
      </c>
      <c r="B55" s="8">
        <v>8873894618</v>
      </c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500</v>
      </c>
    </row>
    <row r="57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2000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5000</v>
      </c>
    </row>
    <row r="60" spans="1:4">
      <c r="A60" s="8" t="s">
        <v>77</v>
      </c>
      <c r="B60" s="8">
        <v>9304063435</v>
      </c>
      <c r="C60" s="9" t="s">
        <v>80</v>
      </c>
      <c r="D60" s="10">
        <f>Orders!F60-Collection!H60</f>
        <v>5000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2000</v>
      </c>
    </row>
    <row r="63" spans="1:4">
      <c r="A63" s="12" t="s">
        <v>82</v>
      </c>
      <c r="B63" s="12">
        <v>9852299192</v>
      </c>
      <c r="C63" s="13" t="s">
        <v>84</v>
      </c>
      <c r="D63" s="14">
        <f>Orders!F63-Collection!H63</f>
        <v>1100</v>
      </c>
    </row>
    <row r="64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8000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4000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2000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2000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10000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2000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2000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1000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7400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5000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4000</v>
      </c>
    </row>
    <row r="80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2000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2000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5000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5000</v>
      </c>
    </row>
    <row r="87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2000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 t="s">
        <v>23</v>
      </c>
      <c r="B90" s="8">
        <v>9905739212</v>
      </c>
      <c r="C90" s="9" t="s">
        <v>121</v>
      </c>
      <c r="D90" s="10">
        <f>Orders!F90-Collection!H90</f>
        <v>3000</v>
      </c>
    </row>
    <row r="91" spans="1:4">
      <c r="A91" s="8" t="s">
        <v>93</v>
      </c>
      <c r="B91" s="8">
        <v>9523357433</v>
      </c>
      <c r="C91" s="9" t="s">
        <v>122</v>
      </c>
      <c r="D91" s="10">
        <f>Orders!F91-Collection!H91</f>
        <v>1000</v>
      </c>
    </row>
    <row r="92" spans="1:4">
      <c r="A92" s="8" t="s">
        <v>215</v>
      </c>
      <c r="B92" s="8">
        <v>7992363545</v>
      </c>
      <c r="C92" s="9" t="s">
        <v>123</v>
      </c>
      <c r="D92" s="10">
        <f>Orders!F92-Collection!H92</f>
        <v>0</v>
      </c>
    </row>
    <row r="93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 t="s">
        <v>125</v>
      </c>
      <c r="B94" s="8">
        <v>7254967519</v>
      </c>
      <c r="C94" s="9" t="s">
        <v>126</v>
      </c>
      <c r="D94" s="10">
        <f>Orders!F94-Collection!H94</f>
        <v>0</v>
      </c>
    </row>
    <row r="95" spans="1:4">
      <c r="A95" s="8"/>
      <c r="B95" s="8"/>
      <c r="C95" s="9" t="s">
        <v>127</v>
      </c>
      <c r="D95" s="10">
        <f>Orders!F95-Collection!H95</f>
        <v>0</v>
      </c>
    </row>
    <row r="96" spans="1:4">
      <c r="A96" s="8"/>
      <c r="B96" s="8"/>
      <c r="C96" s="9" t="s">
        <v>128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2021-06-13T02:03:14Z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