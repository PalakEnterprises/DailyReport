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2"/>
  </bookViews>
  <sheets>
    <sheet name="Orders" sheetId="1" r:id="rId1"/>
    <sheet name="Collection" sheetId="2" r:id="rId2"/>
    <sheet name="AmtToCollect" sheetId="3" r:id="rId3"/>
  </sheets>
  <definedNames>
    <definedName name="_xlnm._FilterDatabase" localSheetId="2" hidden="1">AmtToCollect!$A$1:$D$96</definedName>
  </definedNames>
  <calcPr calcId="144525"/>
</workbook>
</file>

<file path=xl/sharedStrings.xml><?xml version="1.0" encoding="utf-8"?>
<sst xmlns="http://schemas.openxmlformats.org/spreadsheetml/2006/main" count="679" uniqueCount="215">
  <si>
    <t>S.No.</t>
  </si>
  <si>
    <t>Alias Name</t>
  </si>
  <si>
    <t>Retailer Id</t>
  </si>
  <si>
    <t>Area</t>
  </si>
  <si>
    <t>Retailer Name</t>
  </si>
  <si>
    <t>Amount To be Collect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</si>
  <si>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</si>
  <si>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</si>
  <si>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</si>
  <si>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</si>
  <si>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</si>
  <si>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</si>
  <si>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</si>
  <si>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</si>
  <si>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</si>
  <si>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</si>
  <si>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</si>
  <si>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</si>
  <si>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</si>
  <si>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</si>
  <si>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</si>
  <si>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</si>
  <si>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</si>
  <si>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</si>
  <si>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</si>
  <si>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</si>
  <si>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</si>
  <si>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</si>
  <si>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</si>
  <si>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</si>
  <si>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</si>
  <si>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Vikash Amir Bigha</t>
  </si>
  <si>
    <t>BHUMIKA ELECTRONICS(660320662)</t>
  </si>
  <si>
    <t>Amit Amir Bigha</t>
  </si>
  <si>
    <t>KRISHNA KIRANA STORE(661613674)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</si>
  <si>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</si>
  <si>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</si>
  <si>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</si>
  <si>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</si>
  <si>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</si>
  <si>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</si>
  <si>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</si>
  <si>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</si>
  <si>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</si>
  <si>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</si>
  <si>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</si>
  <si>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</si>
  <si>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</si>
  <si>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</si>
  <si>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</si>
  <si>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</si>
  <si>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</si>
  <si>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</si>
  <si>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</si>
  <si>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</si>
  <si>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</si>
  <si>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</si>
  <si>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</si>
  <si>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</si>
  <si>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</si>
  <si>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</si>
  <si>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</si>
  <si>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</si>
  <si>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</si>
  <si>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</si>
  <si>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</si>
  <si>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</si>
  <si>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</si>
  <si>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</si>
  <si>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</si>
  <si>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</si>
  <si>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</si>
  <si>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</si>
  <si>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</si>
  <si>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SHASHANK MOBILE(661969234)</t>
  </si>
  <si>
    <t>SANGAM GENERAL STORE(661644708)</t>
  </si>
  <si>
    <t>Neha Phonex(660614432)</t>
  </si>
  <si>
    <t>PARASI</t>
  </si>
  <si>
    <t>ANISH MOBILE CENTER(661474493)</t>
  </si>
  <si>
    <t>SINGH ENTERPRISES(660865703)</t>
  </si>
  <si>
    <t>SHAHAZ VASHUDHA KENDRA(661377147)</t>
  </si>
  <si>
    <t>KALER ENTERPRISES(661674410)</t>
  </si>
  <si>
    <t>BADRABAD</t>
  </si>
  <si>
    <t>ANJALI MOBILE RAMPURCHAE(661735620)</t>
  </si>
  <si>
    <t>SONU PHONE GHAR(660815245)</t>
  </si>
  <si>
    <t>Ganga communication</t>
  </si>
  <si>
    <t>0681066927/0681961014</t>
  </si>
  <si>
    <t>MAA VINDHYAVASINI MOBILE CENTE(660064218)</t>
  </si>
  <si>
    <t>ITWA</t>
  </si>
  <si>
    <t>Ananya Communication-(662161233)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</si>
  <si>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</si>
  <si>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</si>
  <si>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</si>
  <si>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</si>
  <si>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</si>
  <si>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</si>
  <si>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</si>
  <si>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</si>
  <si>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</si>
  <si>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</si>
  <si>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</si>
  <si>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RAJU PHONE GHAR(661613675)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</si>
  <si>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</si>
  <si>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</si>
  <si>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</si>
  <si>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</si>
  <si>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</si>
  <si>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</si>
  <si>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</si>
  <si>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</si>
  <si>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</si>
  <si>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</si>
  <si>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</si>
  <si>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</si>
  <si>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</si>
  <si>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RAJ PHONE HIRDYACHAK(661712682)</t>
  </si>
  <si>
    <t>Raj communication(660623659)</t>
  </si>
  <si>
    <t>SANGAM ENTERPRISES(661591706)</t>
  </si>
  <si>
    <t>Rupsagar</t>
  </si>
  <si>
    <t>sugam phone bathe(661711006)</t>
  </si>
  <si>
    <t>JANTA SEVA KENDRA(661752229)</t>
  </si>
  <si>
    <t>MUSKAN COMMUNICATION(662077126)</t>
  </si>
  <si>
    <t>SURAJ KIRANA STORE(661735618)</t>
  </si>
  <si>
    <t>SANTOSH MOBILE CENTER(660321089)</t>
  </si>
  <si>
    <t>JANTA MOBILE CENTRE(660322613)</t>
  </si>
  <si>
    <t>Gopalpur</t>
  </si>
  <si>
    <t>PRADEEP GENERAL STORE(661809210)</t>
  </si>
  <si>
    <t>6201704055(662077143)</t>
  </si>
  <si>
    <t>Manish mobile center(662157439)</t>
  </si>
  <si>
    <t>Contact</t>
  </si>
  <si>
    <t>Total</t>
  </si>
  <si>
    <t>Sanjeev Kr. Rahi</t>
  </si>
  <si>
    <t>Abhimanyu</t>
  </si>
  <si>
    <t>9123417146/7979995728</t>
  </si>
  <si>
    <t>Ganesh Lal Khatri</t>
  </si>
  <si>
    <t>Shakti</t>
  </si>
  <si>
    <t>Shakti/Ashok</t>
  </si>
  <si>
    <t>Shashi Satish</t>
  </si>
  <si>
    <t>NAVIN KUM</t>
  </si>
  <si>
    <t>SUCHENDRA</t>
  </si>
  <si>
    <t>Naveen</t>
  </si>
  <si>
    <t>Reyazul</t>
  </si>
  <si>
    <t>MD Gulam</t>
  </si>
  <si>
    <t>MD Gulam,Rina kri,SUAIB AK</t>
  </si>
  <si>
    <t>Sushil Kr.</t>
  </si>
  <si>
    <t>Vikas Amir Bigha</t>
  </si>
  <si>
    <t>Ranveer/Rina</t>
  </si>
  <si>
    <t>Sailesh</t>
  </si>
  <si>
    <t>SHAILESH</t>
  </si>
  <si>
    <t>Ajay 9939757903</t>
  </si>
  <si>
    <t>Sudhir Bandhan bank</t>
  </si>
  <si>
    <t>Aarti 9523733118</t>
  </si>
  <si>
    <t>Rajnish Kr 9708003669</t>
  </si>
  <si>
    <t>Shantnu Kr.</t>
  </si>
  <si>
    <t>Munna Kr.(PNB)/Manish</t>
  </si>
  <si>
    <t>YASHWANT</t>
  </si>
  <si>
    <t>Nitish Kr.</t>
  </si>
  <si>
    <t>Nitish Kr./SURESH SA/</t>
  </si>
  <si>
    <t>Basant Kr.</t>
  </si>
  <si>
    <t>Basant Kr./SHREE</t>
  </si>
  <si>
    <t>Binay Lal</t>
  </si>
  <si>
    <t>ABINESH</t>
  </si>
  <si>
    <t>Arman Ala</t>
  </si>
  <si>
    <t>VIKESH/ VK</t>
  </si>
  <si>
    <t>Sonu/Rupa 9708329918</t>
  </si>
  <si>
    <t>PK</t>
  </si>
  <si>
    <t>8709954402/6207783075</t>
  </si>
  <si>
    <t>SHIV PRAK</t>
  </si>
  <si>
    <t>RAJESH(Bandhan Bank)</t>
  </si>
  <si>
    <t>NAUSHAD</t>
  </si>
  <si>
    <t>HARENDRA</t>
  </si>
  <si>
    <t>CHANDAN</t>
  </si>
  <si>
    <t>Deepak 7004687745</t>
  </si>
  <si>
    <t>PINTU</t>
  </si>
  <si>
    <t>Ranjit Kr.</t>
  </si>
  <si>
    <t>Sanjeev Kr.</t>
  </si>
  <si>
    <t>Vikash Kr.</t>
  </si>
  <si>
    <t>Chandan</t>
  </si>
  <si>
    <t>Chandan/MANJEET K</t>
  </si>
  <si>
    <t>Akhilesh</t>
  </si>
  <si>
    <t>Krishna Kr</t>
  </si>
  <si>
    <t>Binod Kr. Vishwaka</t>
  </si>
  <si>
    <t>UMAKANT</t>
  </si>
  <si>
    <t>Navin Kr. Ojha</t>
  </si>
  <si>
    <t>Navin Kr. Ojha/SANTOSH SBI</t>
  </si>
  <si>
    <t>UMESH PRA</t>
  </si>
  <si>
    <t>PANKAJ</t>
  </si>
  <si>
    <t>Ranjit Kr. 9504958065</t>
  </si>
  <si>
    <t>Amresh Kr.</t>
  </si>
  <si>
    <t>Amresh Kr./HONSI/GAUTAM</t>
  </si>
  <si>
    <t>9931812966/9572985032</t>
  </si>
  <si>
    <t>Munna Kr.</t>
  </si>
  <si>
    <t>Munna Kr.(UCO)</t>
  </si>
  <si>
    <t>D.K.</t>
  </si>
  <si>
    <t>DK</t>
  </si>
  <si>
    <t>BALMIKI/ASHUTOSH</t>
  </si>
  <si>
    <t>Mr Shashi</t>
  </si>
  <si>
    <t>Ramesh</t>
  </si>
  <si>
    <t>Rajiv Kr/ Rajeev Kamal</t>
  </si>
  <si>
    <t>RAVINDRA /Rajiv Kr/ Rajeev Kamal</t>
  </si>
  <si>
    <t>Brajesh Kr.</t>
  </si>
  <si>
    <t>Chandan Kr</t>
  </si>
  <si>
    <t>Chandan Kr UCO/KARAN KU</t>
  </si>
  <si>
    <t>Sunil Kr./Gudiya</t>
  </si>
  <si>
    <t>Sunil Kr./Gudiya/Ajit Kr</t>
  </si>
  <si>
    <t>INDRJEET KUMAR</t>
  </si>
  <si>
    <t>8789783884/7061621223</t>
  </si>
  <si>
    <t>Khatri sudhir sahani</t>
  </si>
  <si>
    <t>Ajay Kr.</t>
  </si>
  <si>
    <t>Dev Kr.</t>
  </si>
  <si>
    <t>MD Aslam</t>
  </si>
  <si>
    <t>Vikas Kr</t>
  </si>
  <si>
    <t>Tawakala</t>
  </si>
  <si>
    <t>Brajesh Kr./Archana/RANJAN</t>
  </si>
  <si>
    <t>Dues Amount</t>
  </si>
</sst>
</file>

<file path=xl/styles.xml><?xml version="1.0" encoding="utf-8"?>
<styleSheet xmlns="http://schemas.openxmlformats.org/spreadsheetml/2006/main">
  <numFmts count="5">
    <numFmt numFmtId="176" formatCode="[$-409]d\-mmm;@"/>
    <numFmt numFmtId="42" formatCode="_(&quot;$&quot;* #,##0_);_(&quot;$&quot;* \(#,##0\);_(&quot;$&quot;* &quot;-&quot;_);_(@_)"/>
    <numFmt numFmtId="177" formatCode="_ * #,##0_ ;_ * \-#,##0_ ;_ * &quot;-&quot;_ ;_ @_ "/>
    <numFmt numFmtId="178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1" borderId="4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</xf>
    <xf numFmtId="0" fontId="1" fillId="5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6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76" fontId="1" fillId="5" borderId="0" xfId="0" applyNumberFormat="1" applyFont="1" applyFill="1" applyAlignment="1" applyProtection="1">
      <alignment horizontal="center" vertical="center"/>
    </xf>
    <xf numFmtId="0" fontId="0" fillId="7" borderId="0" xfId="0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" fillId="8" borderId="0" xfId="0" applyFont="1" applyFill="1" applyAlignment="1" applyProtection="1">
      <alignment horizontal="center" vertical="center"/>
    </xf>
    <xf numFmtId="0" fontId="1" fillId="4" borderId="0" xfId="0" applyNumberFormat="1" applyFont="1" applyFill="1" applyAlignment="1" applyProtection="1">
      <alignment horizontal="center" vertical="center"/>
    </xf>
    <xf numFmtId="0" fontId="1" fillId="4" borderId="0" xfId="0" applyFont="1" applyFill="1" applyAlignment="1" applyProtection="1">
      <alignment horizontal="center" vertical="center"/>
    </xf>
    <xf numFmtId="0" fontId="1" fillId="9" borderId="0" xfId="0" applyNumberFormat="1" applyFont="1" applyFill="1" applyAlignment="1" applyProtection="1">
      <alignment horizontal="center" vertical="center"/>
    </xf>
    <xf numFmtId="0" fontId="0" fillId="7" borderId="0" xfId="0" applyFill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176" fontId="1" fillId="8" borderId="0" xfId="0" applyNumberFormat="1" applyFont="1" applyFill="1" applyAlignment="1" applyProtection="1">
      <alignment horizontal="center" vertical="center"/>
    </xf>
    <xf numFmtId="176" fontId="1" fillId="0" borderId="0" xfId="0" applyNumberFormat="1" applyFont="1" applyFill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01FAF"/>
      <color rgb="00EEA2EF"/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14"/>
  <sheetViews>
    <sheetView workbookViewId="0">
      <pane xSplit="7" ySplit="2" topLeftCell="H15" activePane="bottomRight" state="frozen"/>
      <selection/>
      <selection pane="topRight"/>
      <selection pane="bottomLeft"/>
      <selection pane="bottomRight" activeCell="I35" sqref="I35"/>
    </sheetView>
  </sheetViews>
  <sheetFormatPr defaultColWidth="9.14285714285714" defaultRowHeight="15"/>
  <cols>
    <col min="1" max="1" width="5.71428571428571" style="11" customWidth="1"/>
    <col min="2" max="3" width="11.5714285714286" style="11" customWidth="1"/>
    <col min="4" max="4" width="15" style="11" customWidth="1"/>
    <col min="5" max="5" width="51.1428571428571" style="11" customWidth="1"/>
    <col min="6" max="6" width="21.8571428571429" style="11" customWidth="1"/>
    <col min="7" max="7" width="11" style="11" customWidth="1"/>
    <col min="8" max="8" width="20" style="20" customWidth="1"/>
    <col min="9" max="38" width="9.14285714285714" style="11"/>
    <col min="39" max="39" width="9.14285714285714" style="21"/>
    <col min="40" max="16384" width="9.14285714285714" style="11"/>
  </cols>
  <sheetData>
    <row r="1" s="12" customFormat="1" spans="1:4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9">
        <v>44348</v>
      </c>
      <c r="J1" s="29">
        <v>44349</v>
      </c>
      <c r="K1" s="29">
        <v>44350</v>
      </c>
      <c r="L1" s="29">
        <v>44351</v>
      </c>
      <c r="M1" s="29">
        <v>44352</v>
      </c>
      <c r="N1" s="29">
        <v>44353</v>
      </c>
      <c r="O1" s="29">
        <v>44354</v>
      </c>
      <c r="P1" s="29">
        <v>44355</v>
      </c>
      <c r="Q1" s="29">
        <v>44356</v>
      </c>
      <c r="R1" s="29">
        <v>44357</v>
      </c>
      <c r="S1" s="29">
        <v>44358</v>
      </c>
      <c r="T1" s="29">
        <v>44359</v>
      </c>
      <c r="U1" s="29">
        <v>44360</v>
      </c>
      <c r="V1" s="29">
        <v>44361</v>
      </c>
      <c r="W1" s="29">
        <v>44362</v>
      </c>
      <c r="X1" s="29">
        <v>44363</v>
      </c>
      <c r="Y1" s="29">
        <v>44364</v>
      </c>
      <c r="Z1" s="29">
        <v>44365</v>
      </c>
      <c r="AA1" s="29">
        <v>44366</v>
      </c>
      <c r="AB1" s="29">
        <v>44367</v>
      </c>
      <c r="AC1" s="29">
        <v>44368</v>
      </c>
      <c r="AD1" s="29">
        <v>44369</v>
      </c>
      <c r="AE1" s="29">
        <v>44370</v>
      </c>
      <c r="AF1" s="29">
        <v>44371</v>
      </c>
      <c r="AG1" s="29">
        <v>44372</v>
      </c>
      <c r="AH1" s="29">
        <v>44373</v>
      </c>
      <c r="AI1" s="29">
        <v>44374</v>
      </c>
      <c r="AJ1" s="29">
        <v>44375</v>
      </c>
      <c r="AK1" s="29">
        <v>44376</v>
      </c>
      <c r="AL1" s="29">
        <v>44377</v>
      </c>
      <c r="AM1" s="21"/>
      <c r="AN1" s="30"/>
      <c r="AO1" s="30"/>
      <c r="AP1" s="30"/>
      <c r="AQ1" s="30"/>
      <c r="AR1" s="30"/>
      <c r="AS1" s="30"/>
    </row>
    <row r="2" s="12" customFormat="1" spans="1:39">
      <c r="A2" s="14"/>
      <c r="B2" s="23">
        <f>SUM(F3:F121)</f>
        <v>279900</v>
      </c>
      <c r="D2" s="15">
        <f>SUM(G3:G121)</f>
        <v>10400</v>
      </c>
      <c r="E2" s="16" t="s">
        <v>8</v>
      </c>
      <c r="F2" s="24">
        <f>G2/1.04+H2</f>
        <v>279900</v>
      </c>
      <c r="G2" s="15">
        <f>SUM(I2:AM2)</f>
        <v>10400</v>
      </c>
      <c r="H2" s="25">
        <f>SUM(H3:H121)</f>
        <v>269900</v>
      </c>
      <c r="I2" s="12">
        <f>SUM(I3:I121)</f>
        <v>10400</v>
      </c>
      <c r="J2" s="12">
        <f t="shared" ref="J2:AL2" si="0">SUM(J3:J121)</f>
        <v>0</v>
      </c>
      <c r="K2" s="12">
        <f t="shared" si="0"/>
        <v>0</v>
      </c>
      <c r="L2" s="12">
        <f t="shared" si="0"/>
        <v>0</v>
      </c>
      <c r="M2" s="12">
        <f t="shared" si="0"/>
        <v>0</v>
      </c>
      <c r="N2" s="12">
        <f t="shared" si="0"/>
        <v>0</v>
      </c>
      <c r="O2" s="12">
        <f t="shared" si="0"/>
        <v>0</v>
      </c>
      <c r="P2" s="12">
        <f t="shared" si="0"/>
        <v>0</v>
      </c>
      <c r="Q2" s="12">
        <f t="shared" si="0"/>
        <v>0</v>
      </c>
      <c r="R2" s="12">
        <f t="shared" si="0"/>
        <v>0</v>
      </c>
      <c r="S2" s="12">
        <f t="shared" si="0"/>
        <v>0</v>
      </c>
      <c r="T2" s="12">
        <f t="shared" si="0"/>
        <v>0</v>
      </c>
      <c r="U2" s="12">
        <f t="shared" si="0"/>
        <v>0</v>
      </c>
      <c r="V2" s="12">
        <f t="shared" si="0"/>
        <v>0</v>
      </c>
      <c r="W2" s="12">
        <f t="shared" si="0"/>
        <v>0</v>
      </c>
      <c r="X2" s="12">
        <f t="shared" si="0"/>
        <v>0</v>
      </c>
      <c r="Y2" s="12">
        <f t="shared" si="0"/>
        <v>0</v>
      </c>
      <c r="Z2" s="12">
        <f t="shared" si="0"/>
        <v>0</v>
      </c>
      <c r="AA2" s="12">
        <f t="shared" si="0"/>
        <v>0</v>
      </c>
      <c r="AB2" s="12">
        <f t="shared" si="0"/>
        <v>0</v>
      </c>
      <c r="AC2" s="12">
        <f t="shared" si="0"/>
        <v>0</v>
      </c>
      <c r="AD2" s="12">
        <f t="shared" si="0"/>
        <v>0</v>
      </c>
      <c r="AE2" s="12">
        <f t="shared" si="0"/>
        <v>0</v>
      </c>
      <c r="AF2" s="12">
        <f t="shared" si="0"/>
        <v>0</v>
      </c>
      <c r="AG2" s="12">
        <f t="shared" si="0"/>
        <v>0</v>
      </c>
      <c r="AH2" s="12">
        <f t="shared" si="0"/>
        <v>0</v>
      </c>
      <c r="AI2" s="12">
        <f t="shared" si="0"/>
        <v>0</v>
      </c>
      <c r="AJ2" s="12">
        <f t="shared" si="0"/>
        <v>0</v>
      </c>
      <c r="AK2" s="12">
        <f t="shared" si="0"/>
        <v>0</v>
      </c>
      <c r="AL2" s="12">
        <f t="shared" si="0"/>
        <v>0</v>
      </c>
      <c r="AM2" s="21"/>
    </row>
    <row r="3" s="11" customFormat="1" spans="1:50">
      <c r="A3" s="11">
        <v>1</v>
      </c>
      <c r="D3" s="11" t="s">
        <v>9</v>
      </c>
      <c r="E3" s="18" t="s">
        <v>10</v>
      </c>
      <c r="F3" s="12">
        <f>G3/1.04+H3</f>
        <v>0</v>
      </c>
      <c r="G3" s="12">
        <f>SUM(I3:AM3)</f>
        <v>0</v>
      </c>
      <c r="H3" s="26">
        <v>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</row>
    <row r="4" s="11" customFormat="1" spans="1:50">
      <c r="A4" s="11">
        <v>2</v>
      </c>
      <c r="D4" s="11" t="s">
        <v>9</v>
      </c>
      <c r="E4" s="18" t="s">
        <v>11</v>
      </c>
      <c r="F4" s="12">
        <f t="shared" ref="F4:F35" si="1">G4/1.04+H4</f>
        <v>0</v>
      </c>
      <c r="G4" s="12">
        <f t="shared" ref="G4:G35" si="2">SUM(I4:AM4)</f>
        <v>0</v>
      </c>
      <c r="H4" s="26">
        <v>0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</row>
    <row r="5" s="11" customFormat="1" spans="1:50">
      <c r="A5" s="11">
        <v>3</v>
      </c>
      <c r="B5" s="11" t="s">
        <v>12</v>
      </c>
      <c r="D5" s="11" t="s">
        <v>9</v>
      </c>
      <c r="E5" s="18" t="s">
        <v>13</v>
      </c>
      <c r="F5" s="12">
        <f t="shared" si="1"/>
        <v>0</v>
      </c>
      <c r="G5" s="12">
        <f t="shared" si="2"/>
        <v>0</v>
      </c>
      <c r="H5" s="26">
        <v>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</row>
    <row r="6" s="11" customFormat="1" spans="1:50">
      <c r="A6" s="11">
        <v>4</v>
      </c>
      <c r="B6" s="11" t="s">
        <v>14</v>
      </c>
      <c r="D6" s="11" t="s">
        <v>9</v>
      </c>
      <c r="E6" s="18" t="s">
        <v>15</v>
      </c>
      <c r="F6" s="12">
        <f t="shared" si="1"/>
        <v>0</v>
      </c>
      <c r="G6" s="12">
        <f t="shared" si="2"/>
        <v>0</v>
      </c>
      <c r="H6" s="26">
        <v>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</row>
    <row r="7" s="11" customFormat="1" spans="1:50">
      <c r="A7" s="11">
        <v>5</v>
      </c>
      <c r="B7" s="11" t="s">
        <v>16</v>
      </c>
      <c r="D7" s="11" t="s">
        <v>9</v>
      </c>
      <c r="E7" s="18" t="s">
        <v>17</v>
      </c>
      <c r="F7" s="12">
        <f t="shared" si="1"/>
        <v>17000</v>
      </c>
      <c r="G7" s="12">
        <f t="shared" si="2"/>
        <v>0</v>
      </c>
      <c r="H7" s="26">
        <v>17000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</row>
    <row r="8" s="11" customFormat="1" spans="1:50">
      <c r="A8" s="11">
        <v>6</v>
      </c>
      <c r="B8" s="11" t="s">
        <v>18</v>
      </c>
      <c r="D8" s="11" t="s">
        <v>9</v>
      </c>
      <c r="E8" s="18" t="s">
        <v>19</v>
      </c>
      <c r="F8" s="12">
        <f t="shared" si="1"/>
        <v>0</v>
      </c>
      <c r="G8" s="12">
        <f t="shared" si="2"/>
        <v>0</v>
      </c>
      <c r="H8" s="26">
        <v>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</row>
    <row r="9" s="11" customFormat="1" spans="1:50">
      <c r="A9" s="11">
        <v>7</v>
      </c>
      <c r="D9" s="11" t="s">
        <v>9</v>
      </c>
      <c r="E9" s="18" t="s">
        <v>20</v>
      </c>
      <c r="F9" s="12">
        <f t="shared" si="1"/>
        <v>0</v>
      </c>
      <c r="G9" s="12">
        <f t="shared" si="2"/>
        <v>0</v>
      </c>
      <c r="H9" s="26">
        <v>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</row>
    <row r="10" s="11" customFormat="1" spans="1:50">
      <c r="A10" s="11">
        <v>8</v>
      </c>
      <c r="B10" s="11" t="s">
        <v>21</v>
      </c>
      <c r="D10" s="11" t="s">
        <v>9</v>
      </c>
      <c r="E10" s="18" t="s">
        <v>22</v>
      </c>
      <c r="F10" s="12">
        <f t="shared" si="1"/>
        <v>5000</v>
      </c>
      <c r="G10" s="12">
        <f t="shared" si="2"/>
        <v>0</v>
      </c>
      <c r="H10" s="26">
        <v>5000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</row>
    <row r="11" s="11" customFormat="1" spans="1:50">
      <c r="A11" s="11">
        <v>9</v>
      </c>
      <c r="D11" s="11" t="s">
        <v>23</v>
      </c>
      <c r="E11" s="18" t="s">
        <v>24</v>
      </c>
      <c r="F11" s="12">
        <f t="shared" si="1"/>
        <v>0</v>
      </c>
      <c r="G11" s="12">
        <f t="shared" si="2"/>
        <v>0</v>
      </c>
      <c r="H11" s="26">
        <v>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</row>
    <row r="12" s="11" customFormat="1" spans="1:50">
      <c r="A12" s="11">
        <v>10</v>
      </c>
      <c r="D12" s="11" t="s">
        <v>23</v>
      </c>
      <c r="E12" s="18" t="s">
        <v>25</v>
      </c>
      <c r="F12" s="12">
        <f t="shared" si="1"/>
        <v>2000</v>
      </c>
      <c r="G12" s="12">
        <f t="shared" si="2"/>
        <v>0</v>
      </c>
      <c r="H12" s="26">
        <v>2000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</row>
    <row r="13" s="11" customFormat="1" spans="1:50">
      <c r="A13" s="11">
        <v>11</v>
      </c>
      <c r="D13" s="11" t="s">
        <v>23</v>
      </c>
      <c r="E13" s="18" t="s">
        <v>26</v>
      </c>
      <c r="F13" s="12">
        <f t="shared" si="1"/>
        <v>5000</v>
      </c>
      <c r="G13" s="12">
        <f t="shared" si="2"/>
        <v>0</v>
      </c>
      <c r="H13" s="26">
        <v>5000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</row>
    <row r="14" s="11" customFormat="1" spans="1:50">
      <c r="A14" s="11">
        <v>12</v>
      </c>
      <c r="D14" s="11" t="s">
        <v>23</v>
      </c>
      <c r="E14" s="18" t="s">
        <v>27</v>
      </c>
      <c r="F14" s="12">
        <f t="shared" si="1"/>
        <v>8500</v>
      </c>
      <c r="G14" s="12">
        <f t="shared" si="2"/>
        <v>2080</v>
      </c>
      <c r="H14" s="26">
        <v>6500</v>
      </c>
      <c r="I14" s="21">
        <v>2080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</row>
    <row r="15" s="11" customFormat="1" spans="1:50">
      <c r="A15" s="11">
        <v>13</v>
      </c>
      <c r="B15" s="11" t="s">
        <v>28</v>
      </c>
      <c r="D15" s="11" t="s">
        <v>23</v>
      </c>
      <c r="E15" s="18" t="s">
        <v>29</v>
      </c>
      <c r="F15" s="12">
        <f t="shared" si="1"/>
        <v>2000</v>
      </c>
      <c r="G15" s="12">
        <f t="shared" si="2"/>
        <v>0</v>
      </c>
      <c r="H15" s="26">
        <v>2000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</row>
    <row r="16" s="11" customFormat="1" spans="1:50">
      <c r="A16" s="11">
        <v>14</v>
      </c>
      <c r="D16" s="11" t="s">
        <v>23</v>
      </c>
      <c r="E16" s="18" t="s">
        <v>30</v>
      </c>
      <c r="F16" s="12">
        <f t="shared" si="1"/>
        <v>2000</v>
      </c>
      <c r="G16" s="12">
        <f t="shared" si="2"/>
        <v>0</v>
      </c>
      <c r="H16" s="26">
        <v>2000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</row>
    <row r="17" s="11" customFormat="1" spans="1:50">
      <c r="A17" s="11">
        <v>15</v>
      </c>
      <c r="B17" s="11" t="s">
        <v>31</v>
      </c>
      <c r="D17" s="11" t="s">
        <v>23</v>
      </c>
      <c r="E17" s="18" t="s">
        <v>32</v>
      </c>
      <c r="F17" s="12">
        <f t="shared" si="1"/>
        <v>5000</v>
      </c>
      <c r="G17" s="12">
        <f t="shared" si="2"/>
        <v>0</v>
      </c>
      <c r="H17" s="26">
        <v>5000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</row>
    <row r="18" s="11" customFormat="1" spans="1:50">
      <c r="A18" s="11">
        <v>16</v>
      </c>
      <c r="B18" s="27" t="s">
        <v>33</v>
      </c>
      <c r="C18" s="11">
        <v>683909556</v>
      </c>
      <c r="D18" s="11" t="s">
        <v>23</v>
      </c>
      <c r="E18" s="28" t="s">
        <v>34</v>
      </c>
      <c r="F18" s="12">
        <f t="shared" si="1"/>
        <v>2000</v>
      </c>
      <c r="G18" s="12">
        <f t="shared" si="2"/>
        <v>0</v>
      </c>
      <c r="H18" s="26">
        <v>2000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</row>
    <row r="19" s="11" customFormat="1" spans="1:50">
      <c r="A19" s="11">
        <v>17</v>
      </c>
      <c r="D19" s="11" t="s">
        <v>23</v>
      </c>
      <c r="E19" s="18" t="s">
        <v>35</v>
      </c>
      <c r="F19" s="12">
        <f t="shared" si="1"/>
        <v>0</v>
      </c>
      <c r="G19" s="12">
        <f t="shared" si="2"/>
        <v>0</v>
      </c>
      <c r="H19" s="26">
        <v>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</row>
    <row r="20" s="11" customFormat="1" spans="1:50">
      <c r="A20" s="11">
        <v>18</v>
      </c>
      <c r="D20" s="11" t="s">
        <v>36</v>
      </c>
      <c r="E20" s="18" t="s">
        <v>37</v>
      </c>
      <c r="F20" s="12">
        <f t="shared" si="1"/>
        <v>0</v>
      </c>
      <c r="G20" s="12">
        <f t="shared" si="2"/>
        <v>0</v>
      </c>
      <c r="H20" s="26">
        <v>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</row>
    <row r="21" s="11" customFormat="1" spans="1:50">
      <c r="A21" s="11">
        <v>19</v>
      </c>
      <c r="D21" s="11" t="s">
        <v>36</v>
      </c>
      <c r="E21" s="18" t="s">
        <v>38</v>
      </c>
      <c r="F21" s="12">
        <f t="shared" si="1"/>
        <v>2000</v>
      </c>
      <c r="G21" s="12">
        <f t="shared" si="2"/>
        <v>0</v>
      </c>
      <c r="H21" s="26">
        <v>2000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</row>
    <row r="22" s="11" customFormat="1" spans="1:50">
      <c r="A22" s="11">
        <v>20</v>
      </c>
      <c r="D22" s="11" t="s">
        <v>36</v>
      </c>
      <c r="E22" s="18" t="s">
        <v>39</v>
      </c>
      <c r="F22" s="12">
        <f t="shared" si="1"/>
        <v>1000</v>
      </c>
      <c r="G22" s="12">
        <f t="shared" si="2"/>
        <v>0</v>
      </c>
      <c r="H22" s="26">
        <v>1000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</row>
    <row r="23" s="11" customFormat="1" spans="1:50">
      <c r="A23" s="11">
        <v>21</v>
      </c>
      <c r="D23" s="11" t="s">
        <v>36</v>
      </c>
      <c r="E23" s="18" t="s">
        <v>40</v>
      </c>
      <c r="F23" s="12">
        <f t="shared" si="1"/>
        <v>6000</v>
      </c>
      <c r="G23" s="12">
        <f t="shared" si="2"/>
        <v>2080</v>
      </c>
      <c r="H23" s="26">
        <v>4000</v>
      </c>
      <c r="I23" s="21">
        <v>2080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</row>
    <row r="24" s="11" customFormat="1" spans="1:50">
      <c r="A24" s="11">
        <v>22</v>
      </c>
      <c r="D24" s="11" t="s">
        <v>36</v>
      </c>
      <c r="E24" s="18" t="s">
        <v>41</v>
      </c>
      <c r="F24" s="12">
        <f t="shared" si="1"/>
        <v>0</v>
      </c>
      <c r="G24" s="12">
        <f t="shared" si="2"/>
        <v>0</v>
      </c>
      <c r="H24" s="26">
        <v>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</row>
    <row r="25" s="11" customFormat="1" spans="1:50">
      <c r="A25" s="11">
        <v>23</v>
      </c>
      <c r="D25" s="11" t="s">
        <v>36</v>
      </c>
      <c r="E25" s="18" t="s">
        <v>42</v>
      </c>
      <c r="F25" s="12">
        <f t="shared" si="1"/>
        <v>2000</v>
      </c>
      <c r="G25" s="12">
        <f t="shared" si="2"/>
        <v>0</v>
      </c>
      <c r="H25" s="26">
        <v>2000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</row>
    <row r="26" s="11" customFormat="1" spans="1:50">
      <c r="A26" s="11">
        <v>24</v>
      </c>
      <c r="D26" s="11" t="s">
        <v>36</v>
      </c>
      <c r="E26" s="18" t="s">
        <v>43</v>
      </c>
      <c r="F26" s="12">
        <f t="shared" si="1"/>
        <v>4000</v>
      </c>
      <c r="G26" s="12">
        <f t="shared" si="2"/>
        <v>2080</v>
      </c>
      <c r="H26" s="26">
        <v>2000</v>
      </c>
      <c r="I26" s="21">
        <v>2080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</row>
    <row r="27" s="11" customFormat="1" spans="1:50">
      <c r="A27" s="11">
        <v>25</v>
      </c>
      <c r="D27" s="11" t="s">
        <v>36</v>
      </c>
      <c r="E27" s="18" t="s">
        <v>44</v>
      </c>
      <c r="F27" s="12">
        <f t="shared" si="1"/>
        <v>4000</v>
      </c>
      <c r="G27" s="12">
        <f t="shared" si="2"/>
        <v>0</v>
      </c>
      <c r="H27" s="26">
        <v>4000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</row>
    <row r="28" s="11" customFormat="1" spans="1:50">
      <c r="A28" s="11">
        <v>26</v>
      </c>
      <c r="D28" s="11" t="s">
        <v>36</v>
      </c>
      <c r="E28" s="18" t="s">
        <v>45</v>
      </c>
      <c r="F28" s="12">
        <f t="shared" si="1"/>
        <v>2000</v>
      </c>
      <c r="G28" s="12">
        <f t="shared" si="2"/>
        <v>0</v>
      </c>
      <c r="H28" s="26">
        <v>2000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</row>
    <row r="29" s="11" customFormat="1" spans="1:50">
      <c r="A29" s="11">
        <v>27</v>
      </c>
      <c r="D29" s="11" t="s">
        <v>36</v>
      </c>
      <c r="E29" s="18" t="s">
        <v>46</v>
      </c>
      <c r="F29" s="12">
        <f t="shared" si="1"/>
        <v>0</v>
      </c>
      <c r="G29" s="12">
        <f t="shared" si="2"/>
        <v>0</v>
      </c>
      <c r="H29" s="26">
        <v>0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</row>
    <row r="30" s="11" customFormat="1" spans="1:50">
      <c r="A30" s="11">
        <v>28</v>
      </c>
      <c r="D30" s="11" t="s">
        <v>36</v>
      </c>
      <c r="E30" s="18" t="s">
        <v>47</v>
      </c>
      <c r="F30" s="12">
        <f t="shared" si="1"/>
        <v>4000</v>
      </c>
      <c r="G30" s="12">
        <f t="shared" si="2"/>
        <v>0</v>
      </c>
      <c r="H30" s="26">
        <v>4000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</row>
    <row r="31" s="11" customFormat="1" spans="1:50">
      <c r="A31" s="11">
        <v>29</v>
      </c>
      <c r="D31" s="11" t="s">
        <v>36</v>
      </c>
      <c r="E31" s="18" t="s">
        <v>48</v>
      </c>
      <c r="F31" s="12">
        <f t="shared" si="1"/>
        <v>0</v>
      </c>
      <c r="G31" s="12">
        <f t="shared" si="2"/>
        <v>0</v>
      </c>
      <c r="H31" s="26">
        <v>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</row>
    <row r="32" s="11" customFormat="1" spans="1:50">
      <c r="A32" s="11">
        <v>30</v>
      </c>
      <c r="D32" s="11" t="s">
        <v>36</v>
      </c>
      <c r="E32" s="18" t="s">
        <v>49</v>
      </c>
      <c r="F32" s="12">
        <f t="shared" si="1"/>
        <v>10000</v>
      </c>
      <c r="G32" s="12">
        <f t="shared" si="2"/>
        <v>0</v>
      </c>
      <c r="H32" s="26">
        <v>10000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</row>
    <row r="33" s="11" customFormat="1" spans="1:50">
      <c r="A33" s="11">
        <v>31</v>
      </c>
      <c r="D33" s="11" t="s">
        <v>36</v>
      </c>
      <c r="E33" s="18" t="s">
        <v>50</v>
      </c>
      <c r="F33" s="12">
        <f t="shared" si="1"/>
        <v>4000</v>
      </c>
      <c r="G33" s="12">
        <f t="shared" si="2"/>
        <v>0</v>
      </c>
      <c r="H33" s="26">
        <v>4000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</row>
    <row r="34" s="11" customFormat="1" spans="1:50">
      <c r="A34" s="11">
        <v>32</v>
      </c>
      <c r="D34" s="11" t="s">
        <v>51</v>
      </c>
      <c r="E34" s="18" t="s">
        <v>52</v>
      </c>
      <c r="F34" s="12">
        <f t="shared" si="1"/>
        <v>4000</v>
      </c>
      <c r="G34" s="12">
        <f t="shared" si="2"/>
        <v>2080</v>
      </c>
      <c r="H34" s="26">
        <v>2000</v>
      </c>
      <c r="I34" s="21">
        <v>2080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</row>
    <row r="35" s="11" customFormat="1" spans="1:50">
      <c r="A35" s="11">
        <v>33</v>
      </c>
      <c r="D35" s="11" t="s">
        <v>51</v>
      </c>
      <c r="E35" s="18" t="s">
        <v>53</v>
      </c>
      <c r="F35" s="12">
        <f t="shared" si="1"/>
        <v>3000</v>
      </c>
      <c r="G35" s="12">
        <f t="shared" si="2"/>
        <v>0</v>
      </c>
      <c r="H35" s="26">
        <v>3000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</row>
    <row r="36" s="11" customFormat="1" spans="1:50">
      <c r="A36" s="11">
        <v>34</v>
      </c>
      <c r="D36" s="11" t="s">
        <v>51</v>
      </c>
      <c r="E36" s="18" t="s">
        <v>54</v>
      </c>
      <c r="F36" s="12">
        <f t="shared" ref="F36:F67" si="3">G36/1.04+H36</f>
        <v>0</v>
      </c>
      <c r="G36" s="12">
        <f t="shared" ref="G36:G67" si="4">SUM(I36:AM36)</f>
        <v>0</v>
      </c>
      <c r="H36" s="26">
        <v>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</row>
    <row r="37" s="11" customFormat="1" spans="1:50">
      <c r="A37" s="11">
        <v>35</v>
      </c>
      <c r="D37" s="11" t="s">
        <v>51</v>
      </c>
      <c r="E37" s="18" t="s">
        <v>55</v>
      </c>
      <c r="F37" s="12">
        <f t="shared" si="3"/>
        <v>0</v>
      </c>
      <c r="G37" s="12">
        <f t="shared" si="4"/>
        <v>0</v>
      </c>
      <c r="H37" s="26">
        <v>0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</row>
    <row r="38" s="11" customFormat="1" spans="1:50">
      <c r="A38" s="11">
        <v>36</v>
      </c>
      <c r="D38" s="11" t="s">
        <v>51</v>
      </c>
      <c r="E38" s="18" t="s">
        <v>56</v>
      </c>
      <c r="F38" s="12">
        <f t="shared" si="3"/>
        <v>0</v>
      </c>
      <c r="G38" s="12">
        <f t="shared" si="4"/>
        <v>0</v>
      </c>
      <c r="H38" s="26">
        <v>0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</row>
    <row r="39" s="11" customFormat="1" spans="1:50">
      <c r="A39" s="11">
        <v>37</v>
      </c>
      <c r="D39" s="11" t="s">
        <v>51</v>
      </c>
      <c r="E39" s="18" t="s">
        <v>57</v>
      </c>
      <c r="F39" s="12">
        <f t="shared" si="3"/>
        <v>0</v>
      </c>
      <c r="G39" s="12">
        <f t="shared" si="4"/>
        <v>0</v>
      </c>
      <c r="H39" s="26">
        <v>0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</row>
    <row r="40" s="11" customFormat="1" spans="1:50">
      <c r="A40" s="11">
        <v>38</v>
      </c>
      <c r="C40" s="11">
        <v>684087396</v>
      </c>
      <c r="D40" s="11" t="s">
        <v>51</v>
      </c>
      <c r="E40" s="18" t="s">
        <v>58</v>
      </c>
      <c r="F40" s="12">
        <f t="shared" si="3"/>
        <v>2000</v>
      </c>
      <c r="G40" s="12">
        <f t="shared" si="4"/>
        <v>0</v>
      </c>
      <c r="H40" s="26">
        <v>2000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</row>
    <row r="41" s="11" customFormat="1" spans="1:50">
      <c r="A41" s="11">
        <v>39</v>
      </c>
      <c r="D41" s="11" t="s">
        <v>51</v>
      </c>
      <c r="E41" s="18" t="s">
        <v>59</v>
      </c>
      <c r="F41" s="12">
        <f t="shared" si="3"/>
        <v>0</v>
      </c>
      <c r="G41" s="12">
        <f t="shared" si="4"/>
        <v>0</v>
      </c>
      <c r="H41" s="26">
        <v>0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</row>
    <row r="42" s="11" customFormat="1" spans="1:50">
      <c r="A42" s="11">
        <v>40</v>
      </c>
      <c r="D42" s="11" t="s">
        <v>51</v>
      </c>
      <c r="E42" s="18" t="s">
        <v>60</v>
      </c>
      <c r="F42" s="12">
        <f t="shared" si="3"/>
        <v>2000</v>
      </c>
      <c r="G42" s="12">
        <f t="shared" si="4"/>
        <v>0</v>
      </c>
      <c r="H42" s="26">
        <v>2000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</row>
    <row r="43" s="11" customFormat="1" spans="1:50">
      <c r="A43" s="11">
        <v>41</v>
      </c>
      <c r="D43" s="11" t="s">
        <v>51</v>
      </c>
      <c r="E43" s="18" t="s">
        <v>61</v>
      </c>
      <c r="F43" s="12">
        <f t="shared" si="3"/>
        <v>4000</v>
      </c>
      <c r="G43" s="12">
        <f t="shared" si="4"/>
        <v>0</v>
      </c>
      <c r="H43" s="26">
        <v>4000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</row>
    <row r="44" s="11" customFormat="1" spans="1:50">
      <c r="A44" s="11">
        <v>42</v>
      </c>
      <c r="D44" s="11" t="s">
        <v>51</v>
      </c>
      <c r="E44" s="18" t="s">
        <v>62</v>
      </c>
      <c r="F44" s="12">
        <f t="shared" si="3"/>
        <v>2000</v>
      </c>
      <c r="G44" s="12">
        <f t="shared" si="4"/>
        <v>0</v>
      </c>
      <c r="H44" s="26">
        <v>2000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</row>
    <row r="45" s="11" customFormat="1" spans="1:50">
      <c r="A45" s="11">
        <v>43</v>
      </c>
      <c r="D45" s="11" t="s">
        <v>51</v>
      </c>
      <c r="E45" s="18" t="s">
        <v>63</v>
      </c>
      <c r="F45" s="12">
        <f t="shared" si="3"/>
        <v>0</v>
      </c>
      <c r="G45" s="12">
        <f t="shared" si="4"/>
        <v>0</v>
      </c>
      <c r="H45" s="26">
        <v>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</row>
    <row r="46" s="11" customFormat="1" spans="1:50">
      <c r="A46" s="11">
        <v>44</v>
      </c>
      <c r="D46" s="11" t="s">
        <v>64</v>
      </c>
      <c r="E46" s="18" t="s">
        <v>65</v>
      </c>
      <c r="F46" s="12">
        <f t="shared" si="3"/>
        <v>7000</v>
      </c>
      <c r="G46" s="12">
        <f t="shared" si="4"/>
        <v>0</v>
      </c>
      <c r="H46" s="26">
        <v>7000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</row>
    <row r="47" s="11" customFormat="1" spans="1:50">
      <c r="A47" s="11">
        <v>45</v>
      </c>
      <c r="D47" s="11" t="s">
        <v>64</v>
      </c>
      <c r="E47" s="18" t="s">
        <v>66</v>
      </c>
      <c r="F47" s="12">
        <f t="shared" si="3"/>
        <v>2000</v>
      </c>
      <c r="G47" s="12">
        <f t="shared" si="4"/>
        <v>0</v>
      </c>
      <c r="H47" s="26">
        <v>2000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</row>
    <row r="48" s="11" customFormat="1" spans="1:50">
      <c r="A48" s="11">
        <v>46</v>
      </c>
      <c r="D48" s="11" t="s">
        <v>64</v>
      </c>
      <c r="E48" s="18" t="s">
        <v>67</v>
      </c>
      <c r="F48" s="12">
        <f t="shared" si="3"/>
        <v>2000</v>
      </c>
      <c r="G48" s="12">
        <f t="shared" si="4"/>
        <v>0</v>
      </c>
      <c r="H48" s="26">
        <v>2000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</row>
    <row r="49" s="11" customFormat="1" spans="1:50">
      <c r="A49" s="11">
        <v>47</v>
      </c>
      <c r="D49" s="11" t="s">
        <v>64</v>
      </c>
      <c r="E49" s="18" t="s">
        <v>68</v>
      </c>
      <c r="F49" s="12">
        <f t="shared" si="3"/>
        <v>10000</v>
      </c>
      <c r="G49" s="12">
        <f t="shared" si="4"/>
        <v>0</v>
      </c>
      <c r="H49" s="26">
        <v>10000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</row>
    <row r="50" s="11" customFormat="1" spans="1:50">
      <c r="A50" s="11">
        <v>48</v>
      </c>
      <c r="D50" s="11" t="s">
        <v>64</v>
      </c>
      <c r="E50" s="18" t="s">
        <v>69</v>
      </c>
      <c r="F50" s="12">
        <f t="shared" si="3"/>
        <v>5000</v>
      </c>
      <c r="G50" s="12">
        <f t="shared" si="4"/>
        <v>0</v>
      </c>
      <c r="H50" s="26">
        <v>5000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</row>
    <row r="51" s="11" customFormat="1" spans="1:50">
      <c r="A51" s="11">
        <v>49</v>
      </c>
      <c r="D51" s="11" t="s">
        <v>64</v>
      </c>
      <c r="E51" s="18" t="s">
        <v>70</v>
      </c>
      <c r="F51" s="12">
        <f t="shared" si="3"/>
        <v>4000</v>
      </c>
      <c r="G51" s="12">
        <f t="shared" si="4"/>
        <v>0</v>
      </c>
      <c r="H51" s="26">
        <v>4000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</row>
    <row r="52" s="11" customFormat="1" spans="1:50">
      <c r="A52" s="11">
        <v>50</v>
      </c>
      <c r="D52" s="11" t="s">
        <v>64</v>
      </c>
      <c r="E52" s="18" t="s">
        <v>71</v>
      </c>
      <c r="F52" s="12">
        <f t="shared" si="3"/>
        <v>0</v>
      </c>
      <c r="G52" s="12">
        <f t="shared" si="4"/>
        <v>0</v>
      </c>
      <c r="H52" s="26">
        <v>0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</row>
    <row r="53" s="11" customFormat="1" spans="1:50">
      <c r="A53" s="11">
        <v>51</v>
      </c>
      <c r="D53" s="11" t="s">
        <v>64</v>
      </c>
      <c r="E53" s="18" t="s">
        <v>72</v>
      </c>
      <c r="F53" s="12">
        <f t="shared" si="3"/>
        <v>4000</v>
      </c>
      <c r="G53" s="12">
        <f t="shared" si="4"/>
        <v>0</v>
      </c>
      <c r="H53" s="26">
        <v>4000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</row>
    <row r="54" s="11" customFormat="1" spans="1:50">
      <c r="A54" s="11">
        <v>52</v>
      </c>
      <c r="D54" s="11" t="s">
        <v>64</v>
      </c>
      <c r="E54" s="18" t="s">
        <v>73</v>
      </c>
      <c r="F54" s="12">
        <f t="shared" si="3"/>
        <v>4000</v>
      </c>
      <c r="G54" s="12">
        <f t="shared" si="4"/>
        <v>0</v>
      </c>
      <c r="H54" s="26">
        <v>4000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</row>
    <row r="55" s="11" customFormat="1" spans="1:50">
      <c r="A55" s="11">
        <v>53</v>
      </c>
      <c r="B55" s="27"/>
      <c r="D55" s="11" t="s">
        <v>64</v>
      </c>
      <c r="E55" s="28" t="s">
        <v>74</v>
      </c>
      <c r="F55" s="12">
        <f t="shared" si="3"/>
        <v>0</v>
      </c>
      <c r="G55" s="12">
        <f t="shared" si="4"/>
        <v>0</v>
      </c>
      <c r="H55" s="26">
        <v>0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</row>
    <row r="56" s="11" customFormat="1" spans="1:50">
      <c r="A56" s="11">
        <v>54</v>
      </c>
      <c r="B56" s="27"/>
      <c r="D56" s="11" t="s">
        <v>64</v>
      </c>
      <c r="E56" s="28" t="s">
        <v>75</v>
      </c>
      <c r="F56" s="12">
        <f t="shared" si="3"/>
        <v>2000</v>
      </c>
      <c r="G56" s="12">
        <f t="shared" si="4"/>
        <v>0</v>
      </c>
      <c r="H56" s="26">
        <v>2000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</row>
    <row r="57" s="11" customFormat="1" spans="1:50">
      <c r="A57" s="11">
        <v>55</v>
      </c>
      <c r="B57" s="27"/>
      <c r="D57" s="11" t="s">
        <v>64</v>
      </c>
      <c r="E57" s="28" t="s">
        <v>76</v>
      </c>
      <c r="F57" s="12">
        <f t="shared" si="3"/>
        <v>0</v>
      </c>
      <c r="G57" s="12">
        <f t="shared" si="4"/>
        <v>0</v>
      </c>
      <c r="H57" s="26">
        <v>0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</row>
    <row r="58" s="11" customFormat="1" spans="1:50">
      <c r="A58" s="11">
        <v>56</v>
      </c>
      <c r="D58" s="11" t="s">
        <v>77</v>
      </c>
      <c r="E58" s="18" t="s">
        <v>78</v>
      </c>
      <c r="F58" s="12">
        <f t="shared" si="3"/>
        <v>2000</v>
      </c>
      <c r="G58" s="12">
        <f t="shared" si="4"/>
        <v>0</v>
      </c>
      <c r="H58" s="26">
        <v>2000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</row>
    <row r="59" s="11" customFormat="1" spans="1:50">
      <c r="A59" s="11">
        <v>57</v>
      </c>
      <c r="D59" s="11" t="s">
        <v>77</v>
      </c>
      <c r="E59" s="18" t="s">
        <v>79</v>
      </c>
      <c r="F59" s="12">
        <f t="shared" si="3"/>
        <v>5000</v>
      </c>
      <c r="G59" s="12">
        <f t="shared" si="4"/>
        <v>0</v>
      </c>
      <c r="H59" s="26">
        <v>5000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</row>
    <row r="60" s="11" customFormat="1" spans="1:50">
      <c r="A60" s="11">
        <v>58</v>
      </c>
      <c r="D60" s="11" t="s">
        <v>77</v>
      </c>
      <c r="E60" s="18" t="s">
        <v>80</v>
      </c>
      <c r="F60" s="12">
        <f t="shared" si="3"/>
        <v>0</v>
      </c>
      <c r="G60" s="12">
        <f t="shared" si="4"/>
        <v>0</v>
      </c>
      <c r="H60" s="26">
        <v>0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</row>
    <row r="61" s="11" customFormat="1" spans="1:50">
      <c r="A61" s="11">
        <v>59</v>
      </c>
      <c r="D61" s="11" t="s">
        <v>77</v>
      </c>
      <c r="E61" s="18" t="s">
        <v>81</v>
      </c>
      <c r="F61" s="12">
        <f t="shared" si="3"/>
        <v>0</v>
      </c>
      <c r="G61" s="12">
        <f t="shared" si="4"/>
        <v>0</v>
      </c>
      <c r="H61" s="26">
        <v>0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</row>
    <row r="62" s="11" customFormat="1" spans="1:50">
      <c r="A62" s="11">
        <v>60</v>
      </c>
      <c r="B62" s="27"/>
      <c r="D62" s="11" t="s">
        <v>82</v>
      </c>
      <c r="E62" s="28" t="s">
        <v>83</v>
      </c>
      <c r="F62" s="12">
        <f t="shared" si="3"/>
        <v>2000</v>
      </c>
      <c r="G62" s="12">
        <f t="shared" si="4"/>
        <v>0</v>
      </c>
      <c r="H62" s="26">
        <v>2000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</row>
    <row r="63" s="11" customFormat="1" spans="1:50">
      <c r="A63" s="11">
        <v>61</v>
      </c>
      <c r="B63" s="27"/>
      <c r="D63" s="11" t="s">
        <v>82</v>
      </c>
      <c r="E63" s="28" t="s">
        <v>84</v>
      </c>
      <c r="F63" s="12">
        <f t="shared" si="3"/>
        <v>1100</v>
      </c>
      <c r="G63" s="12">
        <f t="shared" si="4"/>
        <v>0</v>
      </c>
      <c r="H63" s="26">
        <v>1100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</row>
    <row r="64" s="11" customFormat="1" spans="1:50">
      <c r="A64" s="11">
        <v>62</v>
      </c>
      <c r="B64" s="11" t="s">
        <v>85</v>
      </c>
      <c r="C64" s="11" t="s">
        <v>86</v>
      </c>
      <c r="D64" s="11" t="s">
        <v>82</v>
      </c>
      <c r="E64" s="18" t="s">
        <v>87</v>
      </c>
      <c r="F64" s="12">
        <f t="shared" si="3"/>
        <v>0</v>
      </c>
      <c r="G64" s="12">
        <f t="shared" si="4"/>
        <v>0</v>
      </c>
      <c r="H64" s="26">
        <v>0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</row>
    <row r="65" s="11" customFormat="1" spans="1:50">
      <c r="A65" s="11">
        <v>63</v>
      </c>
      <c r="C65" s="11">
        <v>685671039</v>
      </c>
      <c r="D65" s="11" t="s">
        <v>88</v>
      </c>
      <c r="E65" s="11" t="s">
        <v>89</v>
      </c>
      <c r="F65" s="12">
        <f t="shared" si="3"/>
        <v>0</v>
      </c>
      <c r="G65" s="12">
        <f t="shared" si="4"/>
        <v>0</v>
      </c>
      <c r="H65" s="20">
        <v>0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</row>
    <row r="66" s="11" customFormat="1" spans="1:50">
      <c r="A66" s="11">
        <v>64</v>
      </c>
      <c r="B66" s="27"/>
      <c r="D66" s="11" t="s">
        <v>88</v>
      </c>
      <c r="E66" s="28" t="s">
        <v>90</v>
      </c>
      <c r="F66" s="12">
        <f t="shared" si="3"/>
        <v>6000</v>
      </c>
      <c r="G66" s="12">
        <f t="shared" si="4"/>
        <v>0</v>
      </c>
      <c r="H66" s="26">
        <v>6000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</row>
    <row r="67" s="11" customFormat="1" spans="1:50">
      <c r="A67" s="11">
        <v>65</v>
      </c>
      <c r="B67" s="27"/>
      <c r="D67" s="11" t="s">
        <v>91</v>
      </c>
      <c r="E67" s="28" t="s">
        <v>92</v>
      </c>
      <c r="F67" s="12">
        <f t="shared" si="3"/>
        <v>3000</v>
      </c>
      <c r="G67" s="12">
        <f t="shared" si="4"/>
        <v>0</v>
      </c>
      <c r="H67" s="26">
        <v>3000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</row>
    <row r="68" s="11" customFormat="1" spans="1:50">
      <c r="A68" s="11">
        <v>66</v>
      </c>
      <c r="D68" s="11" t="s">
        <v>93</v>
      </c>
      <c r="E68" s="18" t="s">
        <v>94</v>
      </c>
      <c r="F68" s="12">
        <f t="shared" ref="F68:F96" si="5">G68/1.04+H68</f>
        <v>4000</v>
      </c>
      <c r="G68" s="12">
        <f t="shared" ref="G68:G96" si="6">SUM(I68:AM68)</f>
        <v>0</v>
      </c>
      <c r="H68" s="26">
        <v>4000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</row>
    <row r="69" s="11" customFormat="1" spans="1:50">
      <c r="A69" s="11">
        <v>67</v>
      </c>
      <c r="D69" s="11" t="s">
        <v>93</v>
      </c>
      <c r="E69" s="18" t="s">
        <v>95</v>
      </c>
      <c r="F69" s="12">
        <f t="shared" si="5"/>
        <v>0</v>
      </c>
      <c r="G69" s="12">
        <f t="shared" si="6"/>
        <v>0</v>
      </c>
      <c r="H69" s="26">
        <v>0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</row>
    <row r="70" s="11" customFormat="1" spans="1:50">
      <c r="A70" s="11">
        <v>68</v>
      </c>
      <c r="D70" s="11" t="s">
        <v>93</v>
      </c>
      <c r="E70" s="18" t="s">
        <v>96</v>
      </c>
      <c r="F70" s="12">
        <f t="shared" si="5"/>
        <v>0</v>
      </c>
      <c r="G70" s="12">
        <f t="shared" si="6"/>
        <v>0</v>
      </c>
      <c r="H70" s="26">
        <v>0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</row>
    <row r="71" s="11" customFormat="1" spans="1:50">
      <c r="A71" s="11">
        <v>69</v>
      </c>
      <c r="D71" s="11" t="s">
        <v>93</v>
      </c>
      <c r="E71" s="18" t="s">
        <v>97</v>
      </c>
      <c r="F71" s="12">
        <f t="shared" si="5"/>
        <v>0</v>
      </c>
      <c r="G71" s="12">
        <f t="shared" si="6"/>
        <v>0</v>
      </c>
      <c r="H71" s="26">
        <v>0</v>
      </c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</row>
    <row r="72" s="11" customFormat="1" spans="1:50">
      <c r="A72" s="11">
        <v>70</v>
      </c>
      <c r="D72" s="11" t="s">
        <v>93</v>
      </c>
      <c r="E72" s="18" t="s">
        <v>98</v>
      </c>
      <c r="F72" s="12">
        <f t="shared" si="5"/>
        <v>0</v>
      </c>
      <c r="G72" s="12">
        <f t="shared" si="6"/>
        <v>0</v>
      </c>
      <c r="H72" s="26">
        <v>0</v>
      </c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</row>
    <row r="73" s="11" customFormat="1" spans="1:50">
      <c r="A73" s="11">
        <v>71</v>
      </c>
      <c r="D73" s="11" t="s">
        <v>93</v>
      </c>
      <c r="E73" s="18" t="s">
        <v>99</v>
      </c>
      <c r="F73" s="12">
        <f t="shared" si="5"/>
        <v>2000</v>
      </c>
      <c r="G73" s="12">
        <f t="shared" si="6"/>
        <v>0</v>
      </c>
      <c r="H73" s="26">
        <v>2000</v>
      </c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</row>
    <row r="74" s="11" customFormat="1" spans="1:50">
      <c r="A74" s="11">
        <v>72</v>
      </c>
      <c r="B74" s="27"/>
      <c r="D74" s="11" t="s">
        <v>93</v>
      </c>
      <c r="E74" s="28" t="s">
        <v>100</v>
      </c>
      <c r="F74" s="12">
        <f t="shared" si="5"/>
        <v>6000</v>
      </c>
      <c r="G74" s="12">
        <f t="shared" si="6"/>
        <v>0</v>
      </c>
      <c r="H74" s="26">
        <v>6000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</row>
    <row r="75" s="11" customFormat="1" spans="1:50">
      <c r="A75" s="11">
        <v>73</v>
      </c>
      <c r="C75" s="11">
        <v>683909558</v>
      </c>
      <c r="D75" s="11" t="s">
        <v>93</v>
      </c>
      <c r="E75" s="18" t="s">
        <v>101</v>
      </c>
      <c r="F75" s="12">
        <f t="shared" si="5"/>
        <v>0</v>
      </c>
      <c r="G75" s="12">
        <f t="shared" si="6"/>
        <v>0</v>
      </c>
      <c r="H75" s="26">
        <v>0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</row>
    <row r="76" s="11" customFormat="1" spans="1:50">
      <c r="A76" s="11">
        <v>74</v>
      </c>
      <c r="B76" s="27"/>
      <c r="D76" s="11" t="s">
        <v>93</v>
      </c>
      <c r="E76" s="28" t="s">
        <v>102</v>
      </c>
      <c r="F76" s="12">
        <f t="shared" si="5"/>
        <v>1000</v>
      </c>
      <c r="G76" s="12">
        <f t="shared" si="6"/>
        <v>0</v>
      </c>
      <c r="H76" s="26">
        <v>1000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</row>
    <row r="77" s="11" customFormat="1" spans="1:50">
      <c r="A77" s="11">
        <v>75</v>
      </c>
      <c r="D77" s="11" t="s">
        <v>103</v>
      </c>
      <c r="E77" s="18" t="s">
        <v>104</v>
      </c>
      <c r="F77" s="12">
        <f t="shared" si="5"/>
        <v>8300</v>
      </c>
      <c r="G77" s="12">
        <f t="shared" si="6"/>
        <v>0</v>
      </c>
      <c r="H77" s="26">
        <v>8300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</row>
    <row r="78" s="11" customFormat="1" spans="1:50">
      <c r="A78" s="11">
        <v>76</v>
      </c>
      <c r="D78" s="11" t="s">
        <v>103</v>
      </c>
      <c r="E78" s="18" t="s">
        <v>105</v>
      </c>
      <c r="F78" s="12">
        <f t="shared" si="5"/>
        <v>5000</v>
      </c>
      <c r="G78" s="12">
        <f t="shared" si="6"/>
        <v>0</v>
      </c>
      <c r="H78" s="26">
        <v>5000</v>
      </c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</row>
    <row r="79" s="11" customFormat="1" spans="1:50">
      <c r="A79" s="11">
        <v>77</v>
      </c>
      <c r="D79" s="11" t="s">
        <v>103</v>
      </c>
      <c r="E79" s="18" t="s">
        <v>106</v>
      </c>
      <c r="F79" s="12">
        <f t="shared" si="5"/>
        <v>1000</v>
      </c>
      <c r="G79" s="12">
        <f t="shared" si="6"/>
        <v>0</v>
      </c>
      <c r="H79" s="26">
        <v>1000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</row>
    <row r="80" s="11" customFormat="1" spans="1:50">
      <c r="A80" s="11">
        <v>78</v>
      </c>
      <c r="B80" s="27"/>
      <c r="E80" s="28" t="s">
        <v>107</v>
      </c>
      <c r="F80" s="12">
        <f t="shared" si="5"/>
        <v>67000</v>
      </c>
      <c r="G80" s="12">
        <f t="shared" si="6"/>
        <v>0</v>
      </c>
      <c r="H80" s="26">
        <v>67000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</row>
    <row r="81" s="11" customFormat="1" spans="1:50">
      <c r="A81" s="11">
        <v>79</v>
      </c>
      <c r="B81" s="27"/>
      <c r="D81" s="11" t="s">
        <v>108</v>
      </c>
      <c r="E81" s="28" t="s">
        <v>109</v>
      </c>
      <c r="F81" s="12">
        <f t="shared" si="5"/>
        <v>2000</v>
      </c>
      <c r="G81" s="12">
        <f t="shared" si="6"/>
        <v>0</v>
      </c>
      <c r="H81" s="26">
        <v>2000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</row>
    <row r="82" s="11" customFormat="1" spans="1:50">
      <c r="A82" s="11">
        <v>80</v>
      </c>
      <c r="B82" s="27"/>
      <c r="E82" s="28" t="s">
        <v>110</v>
      </c>
      <c r="F82" s="12">
        <f t="shared" si="5"/>
        <v>0</v>
      </c>
      <c r="G82" s="12">
        <f t="shared" si="6"/>
        <v>0</v>
      </c>
      <c r="H82" s="26">
        <v>0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</row>
    <row r="83" s="11" customFormat="1" spans="1:50">
      <c r="A83" s="11">
        <v>81</v>
      </c>
      <c r="B83" s="27"/>
      <c r="D83" s="11" t="s">
        <v>111</v>
      </c>
      <c r="E83" s="28" t="s">
        <v>112</v>
      </c>
      <c r="F83" s="12">
        <f t="shared" si="5"/>
        <v>2000</v>
      </c>
      <c r="G83" s="12">
        <f t="shared" si="6"/>
        <v>0</v>
      </c>
      <c r="H83" s="26">
        <v>2000</v>
      </c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</row>
    <row r="84" s="11" customFormat="1" spans="1:50">
      <c r="A84" s="11">
        <v>82</v>
      </c>
      <c r="B84" s="27"/>
      <c r="E84" s="28" t="s">
        <v>113</v>
      </c>
      <c r="F84" s="12">
        <f t="shared" si="5"/>
        <v>0</v>
      </c>
      <c r="G84" s="12">
        <f t="shared" si="6"/>
        <v>0</v>
      </c>
      <c r="H84" s="26">
        <v>0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</row>
    <row r="85" s="11" customFormat="1" spans="1:50">
      <c r="A85" s="11">
        <v>83</v>
      </c>
      <c r="B85" s="27"/>
      <c r="D85" s="11" t="s">
        <v>114</v>
      </c>
      <c r="E85" s="28" t="s">
        <v>115</v>
      </c>
      <c r="F85" s="12">
        <f t="shared" si="5"/>
        <v>5000</v>
      </c>
      <c r="G85" s="12">
        <f t="shared" si="6"/>
        <v>0</v>
      </c>
      <c r="H85" s="26">
        <v>5000</v>
      </c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</row>
    <row r="86" s="11" customFormat="1" spans="1:50">
      <c r="A86" s="11">
        <v>84</v>
      </c>
      <c r="D86" s="11" t="s">
        <v>114</v>
      </c>
      <c r="E86" s="18" t="s">
        <v>116</v>
      </c>
      <c r="F86" s="12">
        <f t="shared" si="5"/>
        <v>5000</v>
      </c>
      <c r="G86" s="12">
        <f t="shared" si="6"/>
        <v>0</v>
      </c>
      <c r="H86" s="26">
        <v>5000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</row>
    <row r="87" s="11" customFormat="1" spans="1:50">
      <c r="A87" s="11">
        <v>85</v>
      </c>
      <c r="B87" s="27"/>
      <c r="C87" s="11">
        <v>683879115</v>
      </c>
      <c r="D87" s="11" t="s">
        <v>114</v>
      </c>
      <c r="E87" s="28" t="s">
        <v>117</v>
      </c>
      <c r="F87" s="12">
        <f t="shared" si="5"/>
        <v>0</v>
      </c>
      <c r="G87" s="12">
        <f t="shared" si="6"/>
        <v>0</v>
      </c>
      <c r="H87" s="26">
        <v>0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</row>
    <row r="88" s="11" customFormat="1" spans="1:50">
      <c r="A88" s="11">
        <v>86</v>
      </c>
      <c r="B88" s="27"/>
      <c r="D88" s="11" t="s">
        <v>118</v>
      </c>
      <c r="E88" s="28" t="s">
        <v>119</v>
      </c>
      <c r="F88" s="12">
        <f t="shared" si="5"/>
        <v>0</v>
      </c>
      <c r="G88" s="12">
        <f t="shared" si="6"/>
        <v>0</v>
      </c>
      <c r="H88" s="26">
        <v>0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</row>
    <row r="89" s="11" customFormat="1" spans="1:50">
      <c r="A89" s="11">
        <v>87</v>
      </c>
      <c r="B89" s="27"/>
      <c r="E89" s="28" t="s">
        <v>120</v>
      </c>
      <c r="F89" s="12">
        <f t="shared" si="5"/>
        <v>0</v>
      </c>
      <c r="G89" s="12">
        <f t="shared" si="6"/>
        <v>0</v>
      </c>
      <c r="H89" s="26">
        <v>0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</row>
    <row r="90" s="11" customFormat="1" spans="1:50">
      <c r="A90" s="11">
        <v>88</v>
      </c>
      <c r="B90" s="27"/>
      <c r="E90" s="28" t="s">
        <v>121</v>
      </c>
      <c r="F90" s="12">
        <f t="shared" si="5"/>
        <v>1000</v>
      </c>
      <c r="G90" s="12">
        <f t="shared" si="6"/>
        <v>0</v>
      </c>
      <c r="H90" s="26">
        <v>1000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</row>
    <row r="91" s="11" customFormat="1" spans="1:50">
      <c r="A91" s="11">
        <v>89</v>
      </c>
      <c r="B91" s="27"/>
      <c r="E91" s="28" t="s">
        <v>122</v>
      </c>
      <c r="F91" s="12">
        <f t="shared" si="5"/>
        <v>0</v>
      </c>
      <c r="G91" s="12">
        <f t="shared" si="6"/>
        <v>0</v>
      </c>
      <c r="H91" s="26">
        <v>0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</row>
    <row r="92" s="11" customFormat="1" spans="1:50">
      <c r="A92" s="11">
        <v>90</v>
      </c>
      <c r="E92" s="18" t="s">
        <v>123</v>
      </c>
      <c r="F92" s="12">
        <f t="shared" si="5"/>
        <v>4000</v>
      </c>
      <c r="G92" s="12">
        <f t="shared" si="6"/>
        <v>2080</v>
      </c>
      <c r="H92" s="26">
        <v>2000</v>
      </c>
      <c r="I92" s="21">
        <v>2080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</row>
    <row r="93" s="11" customFormat="1" spans="1:50">
      <c r="A93" s="11">
        <v>91</v>
      </c>
      <c r="E93" s="18" t="s">
        <v>124</v>
      </c>
      <c r="F93" s="12">
        <f t="shared" si="5"/>
        <v>0</v>
      </c>
      <c r="G93" s="12">
        <f t="shared" si="6"/>
        <v>0</v>
      </c>
      <c r="H93" s="26">
        <v>0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</row>
    <row r="94" s="11" customFormat="1" spans="1:50">
      <c r="A94" s="11">
        <v>92</v>
      </c>
      <c r="D94" s="11" t="s">
        <v>125</v>
      </c>
      <c r="E94" s="18" t="s">
        <v>126</v>
      </c>
      <c r="F94" s="12">
        <f t="shared" si="5"/>
        <v>3000</v>
      </c>
      <c r="G94" s="12">
        <f t="shared" si="6"/>
        <v>0</v>
      </c>
      <c r="H94" s="26">
        <v>3000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</row>
    <row r="95" s="11" customFormat="1" spans="1:50">
      <c r="A95" s="11">
        <v>93</v>
      </c>
      <c r="E95" s="18" t="s">
        <v>127</v>
      </c>
      <c r="F95" s="12">
        <f t="shared" si="5"/>
        <v>0</v>
      </c>
      <c r="G95" s="12">
        <f t="shared" si="6"/>
        <v>0</v>
      </c>
      <c r="H95" s="26">
        <v>0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</row>
    <row r="96" s="11" customFormat="1" spans="1:50">
      <c r="A96" s="11">
        <v>94</v>
      </c>
      <c r="E96" s="18" t="s">
        <v>128</v>
      </c>
      <c r="F96" s="12">
        <f t="shared" si="5"/>
        <v>0</v>
      </c>
      <c r="G96" s="12">
        <f t="shared" si="6"/>
        <v>0</v>
      </c>
      <c r="H96" s="26">
        <v>0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</row>
    <row r="97" s="11" customFormat="1" spans="8:50">
      <c r="H97" s="20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</row>
    <row r="98" s="11" customFormat="1" spans="8:50">
      <c r="H98" s="20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</row>
    <row r="99" s="11" customFormat="1" spans="8:50">
      <c r="H99" s="20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</row>
    <row r="100" s="11" customFormat="1" spans="8:50">
      <c r="H100" s="20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</row>
    <row r="101" s="11" customFormat="1" spans="8:50">
      <c r="H101" s="20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</row>
    <row r="102" s="11" customFormat="1" spans="8:50">
      <c r="H102" s="20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</row>
    <row r="103" s="11" customFormat="1" spans="8:50">
      <c r="H103" s="20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</row>
    <row r="104" s="11" customFormat="1" spans="8:50">
      <c r="H104" s="20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</row>
    <row r="105" s="11" customFormat="1" spans="8:50">
      <c r="H105" s="20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</row>
    <row r="106" s="11" customFormat="1" spans="8:50">
      <c r="H106" s="20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</row>
    <row r="107" s="11" customFormat="1" spans="8:50">
      <c r="H107" s="20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</row>
    <row r="108" s="11" customFormat="1" spans="8:50">
      <c r="H108" s="20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</row>
    <row r="109" s="11" customFormat="1" spans="8:50">
      <c r="H109" s="20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</row>
    <row r="110" s="11" customFormat="1" spans="8:39">
      <c r="H110" s="2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1"/>
    </row>
    <row r="111" s="11" customFormat="1" spans="8:39">
      <c r="H111" s="20"/>
      <c r="AM111" s="21"/>
    </row>
    <row r="112" s="11" customFormat="1" spans="8:39">
      <c r="H112" s="20"/>
      <c r="AM112" s="21"/>
    </row>
    <row r="113" s="11" customFormat="1" spans="8:39">
      <c r="H113" s="20"/>
      <c r="AM113" s="21"/>
    </row>
    <row r="114" s="11" customFormat="1" spans="8:39">
      <c r="H114" s="20"/>
      <c r="AM114" s="2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12"/>
  <sheetViews>
    <sheetView topLeftCell="C1" workbookViewId="0">
      <pane xSplit="6" ySplit="2" topLeftCell="AH3" activePane="bottomRight" state="frozen"/>
      <selection/>
      <selection pane="topRight"/>
      <selection pane="bottomLeft"/>
      <selection pane="bottomRight" activeCell="A2" sqref="A2"/>
    </sheetView>
  </sheetViews>
  <sheetFormatPr defaultColWidth="9.14285714285714" defaultRowHeight="15"/>
  <cols>
    <col min="1" max="1" width="6.28571428571429" style="11" customWidth="1"/>
    <col min="2" max="2" width="21.2857142857143" style="11" customWidth="1"/>
    <col min="3" max="3" width="6.28571428571429" style="11" customWidth="1"/>
    <col min="4" max="4" width="21.2857142857143" style="11" customWidth="1"/>
    <col min="5" max="5" width="11.7142857142857" style="11" customWidth="1"/>
    <col min="6" max="6" width="15" style="11" customWidth="1"/>
    <col min="7" max="7" width="51.1428571428571" style="11" customWidth="1"/>
    <col min="8" max="8" width="8.57142857142857" style="11" customWidth="1"/>
    <col min="9" max="9" width="6.14285714285714" style="11" customWidth="1"/>
    <col min="10" max="10" width="6.57142857142857" style="11" customWidth="1"/>
    <col min="11" max="17" width="6.14285714285714" style="11" customWidth="1"/>
    <col min="18" max="38" width="7.14285714285714" style="11" customWidth="1"/>
    <col min="39" max="39" width="7.14285714285714" customWidth="1"/>
    <col min="40" max="16384" width="9.14285714285714" style="11"/>
  </cols>
  <sheetData>
    <row r="1" s="12" customFormat="1" spans="1:39">
      <c r="A1" s="13" t="s">
        <v>0</v>
      </c>
      <c r="B1" s="13" t="s">
        <v>1</v>
      </c>
      <c r="C1" s="13" t="s">
        <v>0</v>
      </c>
      <c r="D1" s="13" t="s">
        <v>1</v>
      </c>
      <c r="E1" s="13" t="s">
        <v>129</v>
      </c>
      <c r="F1" s="13" t="s">
        <v>3</v>
      </c>
      <c r="G1" s="13" t="s">
        <v>4</v>
      </c>
      <c r="H1" s="13" t="s">
        <v>130</v>
      </c>
      <c r="I1" s="19">
        <v>44348</v>
      </c>
      <c r="J1" s="19">
        <v>44349</v>
      </c>
      <c r="K1" s="19">
        <v>44350</v>
      </c>
      <c r="L1" s="19">
        <v>44351</v>
      </c>
      <c r="M1" s="19">
        <v>44352</v>
      </c>
      <c r="N1" s="19">
        <v>44353</v>
      </c>
      <c r="O1" s="19">
        <v>44354</v>
      </c>
      <c r="P1" s="19">
        <v>44355</v>
      </c>
      <c r="Q1" s="19">
        <v>44356</v>
      </c>
      <c r="R1" s="19">
        <v>44357</v>
      </c>
      <c r="S1" s="19">
        <v>44358</v>
      </c>
      <c r="T1" s="19">
        <v>44359</v>
      </c>
      <c r="U1" s="19">
        <v>44360</v>
      </c>
      <c r="V1" s="19">
        <v>44361</v>
      </c>
      <c r="W1" s="19">
        <v>44362</v>
      </c>
      <c r="X1" s="19">
        <v>44363</v>
      </c>
      <c r="Y1" s="19">
        <v>44364</v>
      </c>
      <c r="Z1" s="19">
        <v>44365</v>
      </c>
      <c r="AA1" s="19">
        <v>44366</v>
      </c>
      <c r="AB1" s="19">
        <v>44367</v>
      </c>
      <c r="AC1" s="19">
        <v>44368</v>
      </c>
      <c r="AD1" s="19">
        <v>44369</v>
      </c>
      <c r="AE1" s="19">
        <v>44370</v>
      </c>
      <c r="AF1" s="19">
        <v>44371</v>
      </c>
      <c r="AG1" s="19">
        <v>44372</v>
      </c>
      <c r="AH1" s="19">
        <v>44373</v>
      </c>
      <c r="AI1" s="19">
        <v>44374</v>
      </c>
      <c r="AJ1" s="19">
        <v>44375</v>
      </c>
      <c r="AK1" s="19">
        <v>44376</v>
      </c>
      <c r="AL1" s="19">
        <v>44377</v>
      </c>
      <c r="AM1"/>
    </row>
    <row r="2" s="12" customFormat="1" spans="1:39">
      <c r="A2" s="14"/>
      <c r="B2" s="14"/>
      <c r="C2" s="14"/>
      <c r="D2" s="14"/>
      <c r="E2" s="14"/>
      <c r="F2" s="15">
        <f>SUM(H3:H121)</f>
        <v>0</v>
      </c>
      <c r="G2" s="16" t="s">
        <v>8</v>
      </c>
      <c r="H2" s="17">
        <f>SUM(I2:AM2)</f>
        <v>0</v>
      </c>
      <c r="I2" s="12">
        <f>SUM(I3:I121)</f>
        <v>0</v>
      </c>
      <c r="J2" s="12">
        <f t="shared" ref="J2:AL2" si="0">SUM(J3:J121)</f>
        <v>0</v>
      </c>
      <c r="K2" s="12">
        <f t="shared" si="0"/>
        <v>0</v>
      </c>
      <c r="L2" s="12">
        <f t="shared" si="0"/>
        <v>0</v>
      </c>
      <c r="M2" s="12">
        <f t="shared" si="0"/>
        <v>0</v>
      </c>
      <c r="N2" s="12">
        <f t="shared" si="0"/>
        <v>0</v>
      </c>
      <c r="O2" s="12">
        <f t="shared" si="0"/>
        <v>0</v>
      </c>
      <c r="P2" s="12">
        <f t="shared" si="0"/>
        <v>0</v>
      </c>
      <c r="Q2" s="12">
        <f t="shared" si="0"/>
        <v>0</v>
      </c>
      <c r="R2" s="12">
        <f t="shared" si="0"/>
        <v>0</v>
      </c>
      <c r="S2" s="12">
        <f t="shared" si="0"/>
        <v>0</v>
      </c>
      <c r="T2" s="12">
        <f t="shared" si="0"/>
        <v>0</v>
      </c>
      <c r="U2" s="12">
        <f t="shared" si="0"/>
        <v>0</v>
      </c>
      <c r="V2" s="12">
        <f t="shared" si="0"/>
        <v>0</v>
      </c>
      <c r="W2" s="12">
        <f t="shared" si="0"/>
        <v>0</v>
      </c>
      <c r="X2" s="12">
        <f t="shared" si="0"/>
        <v>0</v>
      </c>
      <c r="Y2" s="12">
        <f t="shared" si="0"/>
        <v>0</v>
      </c>
      <c r="Z2" s="12">
        <f t="shared" si="0"/>
        <v>0</v>
      </c>
      <c r="AA2" s="12">
        <f t="shared" si="0"/>
        <v>0</v>
      </c>
      <c r="AB2" s="12">
        <f t="shared" si="0"/>
        <v>0</v>
      </c>
      <c r="AC2" s="12">
        <f t="shared" si="0"/>
        <v>0</v>
      </c>
      <c r="AD2" s="12">
        <f t="shared" si="0"/>
        <v>0</v>
      </c>
      <c r="AE2" s="12">
        <f t="shared" si="0"/>
        <v>0</v>
      </c>
      <c r="AF2" s="12">
        <f t="shared" si="0"/>
        <v>0</v>
      </c>
      <c r="AG2" s="12">
        <f t="shared" si="0"/>
        <v>0</v>
      </c>
      <c r="AH2" s="12">
        <f t="shared" si="0"/>
        <v>0</v>
      </c>
      <c r="AI2" s="12">
        <f t="shared" si="0"/>
        <v>0</v>
      </c>
      <c r="AJ2" s="12">
        <f t="shared" si="0"/>
        <v>0</v>
      </c>
      <c r="AK2" s="12">
        <f t="shared" si="0"/>
        <v>0</v>
      </c>
      <c r="AL2" s="12">
        <f t="shared" si="0"/>
        <v>0</v>
      </c>
      <c r="AM2"/>
    </row>
    <row r="3" s="11" customFormat="1" spans="1:48">
      <c r="A3" s="11">
        <v>1</v>
      </c>
      <c r="B3" s="11" t="s">
        <v>131</v>
      </c>
      <c r="C3" s="11">
        <v>1</v>
      </c>
      <c r="D3" s="11" t="s">
        <v>131</v>
      </c>
      <c r="E3" s="11">
        <v>9334066332</v>
      </c>
      <c r="F3" s="11" t="s">
        <v>9</v>
      </c>
      <c r="G3" s="18" t="s">
        <v>10</v>
      </c>
      <c r="H3" s="12">
        <f>SUM(I3:AM3)</f>
        <v>0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</row>
    <row r="4" s="11" customFormat="1" spans="1:48">
      <c r="A4" s="11">
        <v>2</v>
      </c>
      <c r="B4" s="11" t="s">
        <v>132</v>
      </c>
      <c r="C4" s="11">
        <v>2</v>
      </c>
      <c r="D4" s="11" t="s">
        <v>132</v>
      </c>
      <c r="E4" s="11" t="s">
        <v>133</v>
      </c>
      <c r="F4" s="11" t="s">
        <v>9</v>
      </c>
      <c r="G4" s="18" t="s">
        <v>11</v>
      </c>
      <c r="H4" s="12">
        <f t="shared" ref="H4:H35" si="1">SUM(I4:AM4)</f>
        <v>0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</row>
    <row r="5" s="11" customFormat="1" spans="1:48">
      <c r="A5" s="11">
        <v>3</v>
      </c>
      <c r="C5" s="11">
        <v>3</v>
      </c>
      <c r="E5" s="11">
        <v>8340365412</v>
      </c>
      <c r="F5" s="11" t="s">
        <v>9</v>
      </c>
      <c r="G5" s="18" t="s">
        <v>13</v>
      </c>
      <c r="H5" s="12">
        <f t="shared" si="1"/>
        <v>0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</row>
    <row r="6" s="11" customFormat="1" spans="1:48">
      <c r="A6" s="11">
        <v>4</v>
      </c>
      <c r="B6" s="11" t="s">
        <v>134</v>
      </c>
      <c r="C6" s="11">
        <v>4</v>
      </c>
      <c r="D6" s="11" t="s">
        <v>134</v>
      </c>
      <c r="E6" s="11">
        <v>9102317719</v>
      </c>
      <c r="F6" s="11" t="s">
        <v>9</v>
      </c>
      <c r="G6" s="18" t="s">
        <v>15</v>
      </c>
      <c r="H6" s="12">
        <f t="shared" si="1"/>
        <v>0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</row>
    <row r="7" s="11" customFormat="1" spans="1:48">
      <c r="A7" s="11">
        <v>5</v>
      </c>
      <c r="B7" s="11" t="s">
        <v>135</v>
      </c>
      <c r="C7" s="11">
        <v>5</v>
      </c>
      <c r="D7" s="11" t="s">
        <v>136</v>
      </c>
      <c r="E7" s="11">
        <v>8210924561</v>
      </c>
      <c r="F7" s="11" t="s">
        <v>9</v>
      </c>
      <c r="G7" s="18" t="s">
        <v>17</v>
      </c>
      <c r="H7" s="12">
        <f t="shared" si="1"/>
        <v>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="11" customFormat="1" spans="1:48">
      <c r="A8" s="11">
        <v>6</v>
      </c>
      <c r="C8" s="11">
        <v>6</v>
      </c>
      <c r="D8" s="11" t="s">
        <v>137</v>
      </c>
      <c r="E8" s="11">
        <v>9110978139</v>
      </c>
      <c r="F8" s="11" t="s">
        <v>9</v>
      </c>
      <c r="G8" s="18" t="s">
        <v>19</v>
      </c>
      <c r="H8" s="12">
        <f t="shared" si="1"/>
        <v>0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="11" customFormat="1" spans="1:48">
      <c r="A9" s="11">
        <v>7</v>
      </c>
      <c r="C9" s="11">
        <v>7</v>
      </c>
      <c r="D9" s="1" t="s">
        <v>138</v>
      </c>
      <c r="E9" s="11">
        <v>8340201321</v>
      </c>
      <c r="F9" s="11" t="s">
        <v>9</v>
      </c>
      <c r="G9" s="18" t="s">
        <v>20</v>
      </c>
      <c r="H9" s="12">
        <f t="shared" si="1"/>
        <v>0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="11" customFormat="1" spans="1:48">
      <c r="A10" s="11">
        <v>8</v>
      </c>
      <c r="C10" s="11">
        <v>8</v>
      </c>
      <c r="D10" s="11" t="s">
        <v>139</v>
      </c>
      <c r="E10" s="11">
        <v>7004365158</v>
      </c>
      <c r="F10" s="11" t="s">
        <v>9</v>
      </c>
      <c r="G10" s="18" t="s">
        <v>22</v>
      </c>
      <c r="H10" s="12">
        <f t="shared" si="1"/>
        <v>0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="11" customFormat="1" spans="1:48">
      <c r="A11" s="11">
        <v>9</v>
      </c>
      <c r="B11" s="11" t="s">
        <v>140</v>
      </c>
      <c r="C11" s="11">
        <v>9</v>
      </c>
      <c r="D11" s="11" t="s">
        <v>140</v>
      </c>
      <c r="E11" s="11">
        <v>9973022718</v>
      </c>
      <c r="F11" s="11" t="s">
        <v>23</v>
      </c>
      <c r="G11" s="18" t="s">
        <v>24</v>
      </c>
      <c r="H11" s="12">
        <f t="shared" si="1"/>
        <v>0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="11" customFormat="1" spans="1:48">
      <c r="A12" s="11">
        <v>10</v>
      </c>
      <c r="C12" s="11">
        <v>10</v>
      </c>
      <c r="E12" s="11">
        <v>7004923653</v>
      </c>
      <c r="F12" s="11" t="s">
        <v>23</v>
      </c>
      <c r="G12" s="18" t="s">
        <v>25</v>
      </c>
      <c r="H12" s="12">
        <f t="shared" si="1"/>
        <v>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="11" customFormat="1" spans="1:48">
      <c r="A13" s="11">
        <v>11</v>
      </c>
      <c r="C13" s="11">
        <v>11</v>
      </c>
      <c r="D13" s="11" t="s">
        <v>141</v>
      </c>
      <c r="E13" s="11">
        <v>8340182577</v>
      </c>
      <c r="F13" s="11" t="s">
        <v>23</v>
      </c>
      <c r="G13" s="18" t="s">
        <v>26</v>
      </c>
      <c r="H13" s="12">
        <f t="shared" si="1"/>
        <v>0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="11" customFormat="1" spans="1:48">
      <c r="A14" s="11">
        <v>12</v>
      </c>
      <c r="B14" s="11" t="s">
        <v>142</v>
      </c>
      <c r="C14" s="11">
        <v>12</v>
      </c>
      <c r="D14" s="11" t="s">
        <v>143</v>
      </c>
      <c r="E14" s="11">
        <v>7004740439</v>
      </c>
      <c r="F14" s="11" t="s">
        <v>23</v>
      </c>
      <c r="G14" s="18" t="s">
        <v>27</v>
      </c>
      <c r="H14" s="12">
        <f t="shared" si="1"/>
        <v>0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="11" customFormat="1" spans="1:48">
      <c r="A15" s="11">
        <v>13</v>
      </c>
      <c r="B15" s="11" t="s">
        <v>28</v>
      </c>
      <c r="C15" s="11">
        <v>13</v>
      </c>
      <c r="D15" s="11" t="s">
        <v>28</v>
      </c>
      <c r="F15" s="11" t="s">
        <v>23</v>
      </c>
      <c r="G15" s="18" t="s">
        <v>29</v>
      </c>
      <c r="H15" s="12">
        <f t="shared" si="1"/>
        <v>0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="11" customFormat="1" spans="1:48">
      <c r="A16" s="11">
        <v>14</v>
      </c>
      <c r="B16" s="11" t="s">
        <v>144</v>
      </c>
      <c r="C16" s="11">
        <v>14</v>
      </c>
      <c r="D16" s="11" t="s">
        <v>144</v>
      </c>
      <c r="E16" s="11">
        <v>7321004323</v>
      </c>
      <c r="F16" s="11" t="s">
        <v>23</v>
      </c>
      <c r="G16" s="18" t="s">
        <v>30</v>
      </c>
      <c r="H16" s="12">
        <f t="shared" si="1"/>
        <v>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="11" customFormat="1" spans="1:48">
      <c r="A17" s="11">
        <v>15</v>
      </c>
      <c r="C17" s="11">
        <v>15</v>
      </c>
      <c r="D17" s="11" t="s">
        <v>145</v>
      </c>
      <c r="E17" s="11">
        <v>7903378748</v>
      </c>
      <c r="F17" s="11" t="s">
        <v>23</v>
      </c>
      <c r="G17" s="18" t="s">
        <v>32</v>
      </c>
      <c r="H17" s="12">
        <f t="shared" si="1"/>
        <v>0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18" s="11" customFormat="1" spans="1:48">
      <c r="A18" s="11">
        <v>16</v>
      </c>
      <c r="C18" s="11">
        <v>16</v>
      </c>
      <c r="D18" s="11" t="s">
        <v>33</v>
      </c>
      <c r="F18" s="11" t="s">
        <v>23</v>
      </c>
      <c r="G18" s="18" t="s">
        <v>34</v>
      </c>
      <c r="H18" s="12">
        <f t="shared" si="1"/>
        <v>0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</row>
    <row r="19" s="11" customFormat="1" spans="1:48">
      <c r="A19" s="11">
        <v>17</v>
      </c>
      <c r="B19" s="11" t="s">
        <v>146</v>
      </c>
      <c r="C19" s="11">
        <v>17</v>
      </c>
      <c r="D19" s="11" t="s">
        <v>146</v>
      </c>
      <c r="E19" s="11">
        <v>9608475282</v>
      </c>
      <c r="F19" s="11" t="s">
        <v>23</v>
      </c>
      <c r="G19" s="18" t="s">
        <v>35</v>
      </c>
      <c r="H19" s="12">
        <f t="shared" si="1"/>
        <v>0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</row>
    <row r="20" s="11" customFormat="1" spans="1:48">
      <c r="A20" s="11">
        <v>18</v>
      </c>
      <c r="B20" s="11" t="s">
        <v>147</v>
      </c>
      <c r="C20" s="11">
        <v>18</v>
      </c>
      <c r="D20" s="11" t="s">
        <v>148</v>
      </c>
      <c r="E20" s="11">
        <v>9661555592</v>
      </c>
      <c r="F20" s="11" t="s">
        <v>36</v>
      </c>
      <c r="G20" s="18" t="s">
        <v>37</v>
      </c>
      <c r="H20" s="12">
        <f t="shared" si="1"/>
        <v>0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="11" customFormat="1" spans="1:48">
      <c r="A21" s="11">
        <v>19</v>
      </c>
      <c r="B21" s="11" t="s">
        <v>149</v>
      </c>
      <c r="C21" s="11">
        <v>19</v>
      </c>
      <c r="D21" s="11" t="s">
        <v>149</v>
      </c>
      <c r="E21" s="11">
        <v>8340523512</v>
      </c>
      <c r="F21" s="11" t="s">
        <v>36</v>
      </c>
      <c r="G21" s="18" t="s">
        <v>38</v>
      </c>
      <c r="H21" s="12">
        <f t="shared" si="1"/>
        <v>0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</row>
    <row r="22" s="11" customFormat="1" spans="1:48">
      <c r="A22" s="11">
        <v>20</v>
      </c>
      <c r="C22" s="11">
        <v>20</v>
      </c>
      <c r="D22" s="11" t="s">
        <v>150</v>
      </c>
      <c r="E22" s="11">
        <v>8825310472</v>
      </c>
      <c r="F22" s="11" t="s">
        <v>36</v>
      </c>
      <c r="G22" s="18" t="s">
        <v>39</v>
      </c>
      <c r="H22" s="12">
        <f t="shared" si="1"/>
        <v>0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</row>
    <row r="23" s="11" customFormat="1" spans="1:48">
      <c r="A23" s="11">
        <v>21</v>
      </c>
      <c r="B23" s="11" t="s">
        <v>151</v>
      </c>
      <c r="C23" s="11">
        <v>21</v>
      </c>
      <c r="D23" s="11" t="s">
        <v>151</v>
      </c>
      <c r="E23" s="11">
        <v>7004478123</v>
      </c>
      <c r="F23" s="11" t="s">
        <v>36</v>
      </c>
      <c r="G23" s="18" t="s">
        <v>40</v>
      </c>
      <c r="H23" s="12">
        <f t="shared" si="1"/>
        <v>0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</row>
    <row r="24" s="11" customFormat="1" spans="1:48">
      <c r="A24" s="11">
        <v>22</v>
      </c>
      <c r="C24" s="11">
        <v>22</v>
      </c>
      <c r="E24" s="11">
        <v>7667895364</v>
      </c>
      <c r="F24" s="11" t="s">
        <v>36</v>
      </c>
      <c r="G24" s="18" t="s">
        <v>41</v>
      </c>
      <c r="H24" s="12">
        <f t="shared" si="1"/>
        <v>0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</row>
    <row r="25" s="11" customFormat="1" spans="1:48">
      <c r="A25" s="11">
        <v>23</v>
      </c>
      <c r="B25" s="11" t="s">
        <v>152</v>
      </c>
      <c r="C25" s="11">
        <v>23</v>
      </c>
      <c r="D25" s="11" t="s">
        <v>152</v>
      </c>
      <c r="E25" s="11">
        <v>7006041121</v>
      </c>
      <c r="F25" s="11" t="s">
        <v>36</v>
      </c>
      <c r="G25" s="18" t="s">
        <v>42</v>
      </c>
      <c r="H25" s="12">
        <f t="shared" si="1"/>
        <v>0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</row>
    <row r="26" s="11" customFormat="1" spans="1:48">
      <c r="A26" s="11">
        <v>24</v>
      </c>
      <c r="B26" s="11" t="s">
        <v>153</v>
      </c>
      <c r="C26" s="11">
        <v>24</v>
      </c>
      <c r="D26" s="11" t="s">
        <v>153</v>
      </c>
      <c r="E26" s="11">
        <v>8709658240</v>
      </c>
      <c r="F26" s="11" t="s">
        <v>36</v>
      </c>
      <c r="G26" s="18" t="s">
        <v>43</v>
      </c>
      <c r="H26" s="12">
        <f t="shared" si="1"/>
        <v>0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</row>
    <row r="27" s="11" customFormat="1" spans="1:48">
      <c r="A27" s="11">
        <v>25</v>
      </c>
      <c r="C27" s="11">
        <v>25</v>
      </c>
      <c r="E27" s="11">
        <v>8709612020</v>
      </c>
      <c r="F27" s="11" t="s">
        <v>36</v>
      </c>
      <c r="G27" s="18" t="s">
        <v>44</v>
      </c>
      <c r="H27" s="12">
        <f t="shared" si="1"/>
        <v>0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</row>
    <row r="28" s="11" customFormat="1" spans="1:48">
      <c r="A28" s="11">
        <v>26</v>
      </c>
      <c r="C28" s="11">
        <v>26</v>
      </c>
      <c r="D28" s="11" t="s">
        <v>154</v>
      </c>
      <c r="E28" s="11">
        <v>9973040600</v>
      </c>
      <c r="F28" s="11" t="s">
        <v>36</v>
      </c>
      <c r="G28" s="18" t="s">
        <v>45</v>
      </c>
      <c r="H28" s="12">
        <f t="shared" si="1"/>
        <v>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</row>
    <row r="29" s="11" customFormat="1" spans="1:48">
      <c r="A29" s="11">
        <v>27</v>
      </c>
      <c r="C29" s="11">
        <v>27</v>
      </c>
      <c r="D29" s="11" t="s">
        <v>155</v>
      </c>
      <c r="E29" s="11">
        <v>9973345687</v>
      </c>
      <c r="F29" s="11" t="s">
        <v>36</v>
      </c>
      <c r="G29" s="18" t="s">
        <v>46</v>
      </c>
      <c r="H29" s="12">
        <f t="shared" si="1"/>
        <v>0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</row>
    <row r="30" s="11" customFormat="1" spans="1:48">
      <c r="A30" s="11">
        <v>28</v>
      </c>
      <c r="C30" s="11">
        <v>28</v>
      </c>
      <c r="E30" s="11">
        <v>9631391206</v>
      </c>
      <c r="F30" s="11" t="s">
        <v>36</v>
      </c>
      <c r="G30" s="18" t="s">
        <v>47</v>
      </c>
      <c r="H30" s="12">
        <f t="shared" si="1"/>
        <v>0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</row>
    <row r="31" s="11" customFormat="1" spans="1:48">
      <c r="A31" s="11">
        <v>29</v>
      </c>
      <c r="B31" s="11" t="s">
        <v>156</v>
      </c>
      <c r="C31" s="11">
        <v>29</v>
      </c>
      <c r="D31" s="11" t="s">
        <v>157</v>
      </c>
      <c r="F31" s="11" t="s">
        <v>36</v>
      </c>
      <c r="G31" s="18" t="s">
        <v>48</v>
      </c>
      <c r="H31" s="12">
        <f t="shared" si="1"/>
        <v>0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</row>
    <row r="32" s="11" customFormat="1" spans="1:48">
      <c r="A32" s="11">
        <v>30</v>
      </c>
      <c r="B32" s="11" t="s">
        <v>158</v>
      </c>
      <c r="C32" s="11">
        <v>30</v>
      </c>
      <c r="D32" s="11" t="s">
        <v>159</v>
      </c>
      <c r="F32" s="11" t="s">
        <v>36</v>
      </c>
      <c r="G32" s="18" t="s">
        <v>49</v>
      </c>
      <c r="H32" s="12">
        <f t="shared" si="1"/>
        <v>0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</row>
    <row r="33" s="11" customFormat="1" spans="1:48">
      <c r="A33" s="11">
        <v>31</v>
      </c>
      <c r="C33" s="11">
        <v>31</v>
      </c>
      <c r="F33" s="11" t="s">
        <v>36</v>
      </c>
      <c r="G33" s="18" t="s">
        <v>50</v>
      </c>
      <c r="H33" s="12">
        <f t="shared" si="1"/>
        <v>0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</row>
    <row r="34" s="11" customFormat="1" spans="1:48">
      <c r="A34" s="11">
        <v>32</v>
      </c>
      <c r="B34" s="11" t="s">
        <v>160</v>
      </c>
      <c r="C34" s="11">
        <v>32</v>
      </c>
      <c r="D34" s="11" t="s">
        <v>160</v>
      </c>
      <c r="F34" s="11" t="s">
        <v>51</v>
      </c>
      <c r="G34" s="18" t="s">
        <v>52</v>
      </c>
      <c r="H34" s="12">
        <f t="shared" si="1"/>
        <v>0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</row>
    <row r="35" s="11" customFormat="1" spans="1:48">
      <c r="A35" s="11">
        <v>33</v>
      </c>
      <c r="C35" s="11">
        <v>33</v>
      </c>
      <c r="D35" s="11" t="s">
        <v>161</v>
      </c>
      <c r="F35" s="11" t="s">
        <v>51</v>
      </c>
      <c r="G35" s="18" t="s">
        <v>53</v>
      </c>
      <c r="H35" s="12">
        <f t="shared" si="1"/>
        <v>0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</row>
    <row r="36" s="11" customFormat="1" spans="1:48">
      <c r="A36" s="11">
        <v>34</v>
      </c>
      <c r="C36" s="11">
        <v>34</v>
      </c>
      <c r="D36" s="11" t="s">
        <v>162</v>
      </c>
      <c r="E36" s="11">
        <v>7654800030</v>
      </c>
      <c r="F36" s="11" t="s">
        <v>51</v>
      </c>
      <c r="G36" s="18" t="s">
        <v>54</v>
      </c>
      <c r="H36" s="12">
        <f t="shared" ref="H36:H67" si="2">SUM(I36:AM36)</f>
        <v>0</v>
      </c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</row>
    <row r="37" s="11" customFormat="1" spans="1:48">
      <c r="A37" s="11">
        <v>35</v>
      </c>
      <c r="C37" s="11">
        <v>35</v>
      </c>
      <c r="D37" s="11" t="s">
        <v>163</v>
      </c>
      <c r="F37" s="11" t="s">
        <v>51</v>
      </c>
      <c r="G37" s="18" t="s">
        <v>55</v>
      </c>
      <c r="H37" s="12">
        <f t="shared" si="2"/>
        <v>0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</row>
    <row r="38" s="11" customFormat="1" spans="1:48">
      <c r="A38" s="11">
        <v>36</v>
      </c>
      <c r="C38" s="11">
        <v>36</v>
      </c>
      <c r="F38" s="11" t="s">
        <v>51</v>
      </c>
      <c r="G38" s="18" t="s">
        <v>56</v>
      </c>
      <c r="H38" s="12">
        <f t="shared" si="2"/>
        <v>0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</row>
    <row r="39" s="11" customFormat="1" spans="1:48">
      <c r="A39" s="11">
        <v>37</v>
      </c>
      <c r="B39" s="11" t="s">
        <v>164</v>
      </c>
      <c r="C39" s="11">
        <v>37</v>
      </c>
      <c r="D39" s="11" t="s">
        <v>164</v>
      </c>
      <c r="F39" s="11" t="s">
        <v>51</v>
      </c>
      <c r="G39" s="18" t="s">
        <v>57</v>
      </c>
      <c r="H39" s="12">
        <f t="shared" si="2"/>
        <v>0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</row>
    <row r="40" s="11" customFormat="1" spans="1:48">
      <c r="A40" s="11">
        <v>38</v>
      </c>
      <c r="B40" s="11" t="s">
        <v>165</v>
      </c>
      <c r="C40" s="11">
        <v>38</v>
      </c>
      <c r="D40" s="11" t="s">
        <v>165</v>
      </c>
      <c r="E40" s="11" t="s">
        <v>166</v>
      </c>
      <c r="F40" s="11" t="s">
        <v>51</v>
      </c>
      <c r="G40" s="18" t="s">
        <v>58</v>
      </c>
      <c r="H40" s="12">
        <f t="shared" si="2"/>
        <v>0</v>
      </c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</row>
    <row r="41" s="11" customFormat="1" spans="1:48">
      <c r="A41" s="11">
        <v>39</v>
      </c>
      <c r="C41" s="11">
        <v>39</v>
      </c>
      <c r="D41" s="11" t="s">
        <v>167</v>
      </c>
      <c r="F41" s="11" t="s">
        <v>51</v>
      </c>
      <c r="G41" s="18" t="s">
        <v>59</v>
      </c>
      <c r="H41" s="12">
        <f t="shared" si="2"/>
        <v>0</v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</row>
    <row r="42" s="11" customFormat="1" spans="1:48">
      <c r="A42" s="11">
        <v>40</v>
      </c>
      <c r="C42" s="11">
        <v>40</v>
      </c>
      <c r="D42" s="11" t="s">
        <v>168</v>
      </c>
      <c r="F42" s="11" t="s">
        <v>51</v>
      </c>
      <c r="G42" s="18" t="s">
        <v>60</v>
      </c>
      <c r="H42" s="12">
        <f t="shared" si="2"/>
        <v>0</v>
      </c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</row>
    <row r="43" s="11" customFormat="1" spans="1:48">
      <c r="A43" s="11">
        <v>41</v>
      </c>
      <c r="C43" s="11">
        <v>41</v>
      </c>
      <c r="D43" s="11" t="s">
        <v>169</v>
      </c>
      <c r="E43" s="11">
        <v>8210095108</v>
      </c>
      <c r="F43" s="11" t="s">
        <v>51</v>
      </c>
      <c r="G43" s="18" t="s">
        <v>61</v>
      </c>
      <c r="H43" s="12">
        <f t="shared" si="2"/>
        <v>0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</row>
    <row r="44" s="11" customFormat="1" spans="1:48">
      <c r="A44" s="11">
        <v>42</v>
      </c>
      <c r="C44" s="11">
        <v>42</v>
      </c>
      <c r="D44" s="11" t="s">
        <v>170</v>
      </c>
      <c r="F44" s="11" t="s">
        <v>51</v>
      </c>
      <c r="G44" s="18" t="s">
        <v>62</v>
      </c>
      <c r="H44" s="12">
        <f t="shared" si="2"/>
        <v>0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</row>
    <row r="45" s="11" customFormat="1" spans="1:48">
      <c r="A45" s="11">
        <v>43</v>
      </c>
      <c r="C45" s="11">
        <v>43</v>
      </c>
      <c r="D45" s="11" t="s">
        <v>171</v>
      </c>
      <c r="F45" s="11" t="s">
        <v>51</v>
      </c>
      <c r="G45" s="18" t="s">
        <v>63</v>
      </c>
      <c r="H45" s="12">
        <f t="shared" si="2"/>
        <v>0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</row>
    <row r="46" s="11" customFormat="1" spans="1:48">
      <c r="A46" s="11">
        <v>44</v>
      </c>
      <c r="B46" s="11" t="s">
        <v>172</v>
      </c>
      <c r="C46" s="11">
        <v>44</v>
      </c>
      <c r="D46" s="11" t="s">
        <v>172</v>
      </c>
      <c r="F46" s="11" t="s">
        <v>64</v>
      </c>
      <c r="G46" s="18" t="s">
        <v>65</v>
      </c>
      <c r="H46" s="12">
        <f t="shared" si="2"/>
        <v>0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</row>
    <row r="47" s="11" customFormat="1" spans="1:48">
      <c r="A47" s="11">
        <v>45</v>
      </c>
      <c r="C47" s="11">
        <v>45</v>
      </c>
      <c r="D47" s="11" t="s">
        <v>173</v>
      </c>
      <c r="F47" s="11" t="s">
        <v>64</v>
      </c>
      <c r="G47" s="18" t="s">
        <v>66</v>
      </c>
      <c r="H47" s="12">
        <f t="shared" si="2"/>
        <v>0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</row>
    <row r="48" s="11" customFormat="1" spans="1:48">
      <c r="A48" s="11">
        <v>46</v>
      </c>
      <c r="B48" s="11" t="s">
        <v>174</v>
      </c>
      <c r="C48" s="11">
        <v>46</v>
      </c>
      <c r="D48" s="11" t="s">
        <v>174</v>
      </c>
      <c r="E48" s="11">
        <v>7004729703</v>
      </c>
      <c r="F48" s="11" t="s">
        <v>64</v>
      </c>
      <c r="G48" s="18" t="s">
        <v>67</v>
      </c>
      <c r="H48" s="12">
        <f t="shared" si="2"/>
        <v>0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</row>
    <row r="49" s="11" customFormat="1" spans="1:48">
      <c r="A49" s="11">
        <v>47</v>
      </c>
      <c r="B49" s="11" t="s">
        <v>175</v>
      </c>
      <c r="C49" s="11">
        <v>47</v>
      </c>
      <c r="D49" s="11" t="s">
        <v>175</v>
      </c>
      <c r="E49" s="11">
        <v>8863097933</v>
      </c>
      <c r="F49" s="11" t="s">
        <v>64</v>
      </c>
      <c r="G49" s="18" t="s">
        <v>68</v>
      </c>
      <c r="H49" s="12">
        <f t="shared" si="2"/>
        <v>0</v>
      </c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="11" customFormat="1" spans="1:48">
      <c r="A50" s="11">
        <v>48</v>
      </c>
      <c r="B50" s="11" t="s">
        <v>176</v>
      </c>
      <c r="C50" s="11">
        <v>48</v>
      </c>
      <c r="D50" s="11" t="s">
        <v>176</v>
      </c>
      <c r="E50" s="11">
        <v>9835443096</v>
      </c>
      <c r="F50" s="11" t="s">
        <v>64</v>
      </c>
      <c r="G50" s="18" t="s">
        <v>69</v>
      </c>
      <c r="H50" s="12">
        <f t="shared" si="2"/>
        <v>0</v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="11" customFormat="1" spans="1:48">
      <c r="A51" s="11">
        <v>49</v>
      </c>
      <c r="B51" s="11" t="s">
        <v>177</v>
      </c>
      <c r="C51" s="11">
        <v>49</v>
      </c>
      <c r="D51" s="11" t="s">
        <v>178</v>
      </c>
      <c r="F51" s="11" t="s">
        <v>64</v>
      </c>
      <c r="G51" s="18" t="s">
        <v>70</v>
      </c>
      <c r="H51" s="12">
        <f t="shared" si="2"/>
        <v>0</v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="11" customFormat="1" spans="1:48">
      <c r="A52" s="11">
        <v>50</v>
      </c>
      <c r="C52" s="11">
        <v>50</v>
      </c>
      <c r="F52" s="11" t="s">
        <v>64</v>
      </c>
      <c r="G52" s="18" t="s">
        <v>71</v>
      </c>
      <c r="H52" s="12">
        <f t="shared" si="2"/>
        <v>0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="11" customFormat="1" spans="1:48">
      <c r="A53" s="11">
        <v>51</v>
      </c>
      <c r="B53" s="11" t="s">
        <v>179</v>
      </c>
      <c r="C53" s="11">
        <v>51</v>
      </c>
      <c r="D53" s="11" t="s">
        <v>179</v>
      </c>
      <c r="F53" s="11" t="s">
        <v>64</v>
      </c>
      <c r="G53" s="18" t="s">
        <v>72</v>
      </c>
      <c r="H53" s="12">
        <f t="shared" si="2"/>
        <v>0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="11" customFormat="1" spans="1:48">
      <c r="A54" s="11">
        <v>52</v>
      </c>
      <c r="C54" s="11">
        <v>52</v>
      </c>
      <c r="F54" s="11" t="s">
        <v>64</v>
      </c>
      <c r="G54" s="18" t="s">
        <v>73</v>
      </c>
      <c r="H54" s="12">
        <f t="shared" si="2"/>
        <v>0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="11" customFormat="1" spans="1:48">
      <c r="A55" s="11">
        <v>53</v>
      </c>
      <c r="B55" s="11" t="s">
        <v>180</v>
      </c>
      <c r="C55" s="11">
        <v>53</v>
      </c>
      <c r="D55" s="11" t="s">
        <v>180</v>
      </c>
      <c r="F55" s="11" t="s">
        <v>64</v>
      </c>
      <c r="G55" s="18" t="s">
        <v>74</v>
      </c>
      <c r="H55" s="12">
        <f t="shared" si="2"/>
        <v>0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="11" customFormat="1" spans="1:48">
      <c r="A56" s="11">
        <v>54</v>
      </c>
      <c r="B56" s="11" t="s">
        <v>181</v>
      </c>
      <c r="C56" s="11">
        <v>54</v>
      </c>
      <c r="D56" s="11" t="s">
        <v>181</v>
      </c>
      <c r="F56" s="11" t="s">
        <v>64</v>
      </c>
      <c r="G56" s="18" t="s">
        <v>75</v>
      </c>
      <c r="H56" s="12">
        <f t="shared" si="2"/>
        <v>0</v>
      </c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="11" customFormat="1" spans="1:48">
      <c r="A57" s="11">
        <v>55</v>
      </c>
      <c r="C57" s="11">
        <v>55</v>
      </c>
      <c r="E57" s="11">
        <v>6202424016</v>
      </c>
      <c r="F57" s="11" t="s">
        <v>64</v>
      </c>
      <c r="G57" s="18" t="s">
        <v>76</v>
      </c>
      <c r="H57" s="12">
        <f t="shared" si="2"/>
        <v>0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="11" customFormat="1" spans="1:48">
      <c r="A58" s="11">
        <v>56</v>
      </c>
      <c r="C58" s="11">
        <v>56</v>
      </c>
      <c r="D58" s="11" t="s">
        <v>182</v>
      </c>
      <c r="E58" s="11">
        <v>7004211364</v>
      </c>
      <c r="F58" s="11" t="s">
        <v>77</v>
      </c>
      <c r="G58" s="18" t="s">
        <v>78</v>
      </c>
      <c r="H58" s="12">
        <f t="shared" si="2"/>
        <v>0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="11" customFormat="1" spans="1:48">
      <c r="A59" s="11">
        <v>57</v>
      </c>
      <c r="B59" s="11" t="s">
        <v>183</v>
      </c>
      <c r="C59" s="11">
        <v>57</v>
      </c>
      <c r="D59" s="11" t="s">
        <v>184</v>
      </c>
      <c r="F59" s="11" t="s">
        <v>77</v>
      </c>
      <c r="G59" s="18" t="s">
        <v>79</v>
      </c>
      <c r="H59" s="12">
        <f t="shared" si="2"/>
        <v>0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="11" customFormat="1" spans="1:48">
      <c r="A60" s="11">
        <v>58</v>
      </c>
      <c r="C60" s="11">
        <v>58</v>
      </c>
      <c r="D60" s="11" t="s">
        <v>185</v>
      </c>
      <c r="F60" s="11" t="s">
        <v>77</v>
      </c>
      <c r="G60" s="18" t="s">
        <v>80</v>
      </c>
      <c r="H60" s="12">
        <f t="shared" si="2"/>
        <v>0</v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="11" customFormat="1" spans="1:48">
      <c r="A61" s="11">
        <v>59</v>
      </c>
      <c r="C61" s="11">
        <v>59</v>
      </c>
      <c r="D61" s="11" t="s">
        <v>186</v>
      </c>
      <c r="E61" s="11">
        <v>9798805204</v>
      </c>
      <c r="F61" s="11" t="s">
        <v>77</v>
      </c>
      <c r="G61" s="18" t="s">
        <v>81</v>
      </c>
      <c r="H61" s="12">
        <f t="shared" si="2"/>
        <v>0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</row>
    <row r="62" s="11" customFormat="1" spans="1:48">
      <c r="A62" s="11">
        <v>60</v>
      </c>
      <c r="B62" s="11" t="s">
        <v>187</v>
      </c>
      <c r="C62" s="11">
        <v>60</v>
      </c>
      <c r="D62" s="11" t="s">
        <v>187</v>
      </c>
      <c r="E62" s="11">
        <v>9504958065</v>
      </c>
      <c r="F62" s="11" t="s">
        <v>82</v>
      </c>
      <c r="G62" s="18" t="s">
        <v>83</v>
      </c>
      <c r="H62" s="12">
        <f t="shared" si="2"/>
        <v>0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</row>
    <row r="63" s="11" customFormat="1" spans="1:48">
      <c r="A63" s="11">
        <v>61</v>
      </c>
      <c r="C63" s="11">
        <v>61</v>
      </c>
      <c r="E63" s="11">
        <v>9852299192</v>
      </c>
      <c r="F63" s="11" t="s">
        <v>82</v>
      </c>
      <c r="G63" s="18" t="s">
        <v>84</v>
      </c>
      <c r="H63" s="12">
        <f t="shared" si="2"/>
        <v>0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</row>
    <row r="64" s="11" customFormat="1" spans="1:48">
      <c r="A64" s="11">
        <v>62</v>
      </c>
      <c r="B64" s="11" t="s">
        <v>188</v>
      </c>
      <c r="C64" s="11">
        <v>62</v>
      </c>
      <c r="D64" s="11" t="s">
        <v>189</v>
      </c>
      <c r="E64" s="11" t="s">
        <v>190</v>
      </c>
      <c r="F64" s="11" t="s">
        <v>82</v>
      </c>
      <c r="G64" s="18" t="s">
        <v>87</v>
      </c>
      <c r="H64" s="12">
        <f t="shared" si="2"/>
        <v>0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</row>
    <row r="65" s="11" customFormat="1" spans="1:48">
      <c r="A65" s="11">
        <v>63</v>
      </c>
      <c r="B65" s="11" t="s">
        <v>191</v>
      </c>
      <c r="C65" s="11">
        <v>63</v>
      </c>
      <c r="D65" s="11" t="s">
        <v>192</v>
      </c>
      <c r="E65" s="11">
        <v>7004399486</v>
      </c>
      <c r="F65" s="11" t="s">
        <v>88</v>
      </c>
      <c r="G65" s="11" t="s">
        <v>89</v>
      </c>
      <c r="H65" s="12">
        <f t="shared" si="2"/>
        <v>0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</row>
    <row r="66" s="11" customFormat="1" spans="1:48">
      <c r="A66" s="11">
        <v>64</v>
      </c>
      <c r="B66" s="11" t="s">
        <v>193</v>
      </c>
      <c r="C66" s="11">
        <v>64</v>
      </c>
      <c r="D66" s="11" t="s">
        <v>194</v>
      </c>
      <c r="F66" s="11" t="s">
        <v>88</v>
      </c>
      <c r="G66" s="18" t="s">
        <v>90</v>
      </c>
      <c r="H66" s="12">
        <f t="shared" si="2"/>
        <v>0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</row>
    <row r="67" s="11" customFormat="1" spans="1:48">
      <c r="A67" s="11">
        <v>65</v>
      </c>
      <c r="C67" s="11">
        <v>65</v>
      </c>
      <c r="D67" s="11" t="s">
        <v>195</v>
      </c>
      <c r="F67" s="11" t="s">
        <v>91</v>
      </c>
      <c r="G67" s="18" t="s">
        <v>92</v>
      </c>
      <c r="H67" s="12">
        <f t="shared" si="2"/>
        <v>0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</row>
    <row r="68" s="11" customFormat="1" spans="1:48">
      <c r="A68" s="11">
        <v>66</v>
      </c>
      <c r="C68" s="11">
        <v>66</v>
      </c>
      <c r="F68" s="11" t="s">
        <v>93</v>
      </c>
      <c r="G68" s="18" t="s">
        <v>94</v>
      </c>
      <c r="H68" s="12">
        <f t="shared" ref="H68:H96" si="3">SUM(I68:AM68)</f>
        <v>0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</row>
    <row r="69" s="11" customFormat="1" spans="1:48">
      <c r="A69" s="11">
        <v>67</v>
      </c>
      <c r="C69" s="11">
        <v>67</v>
      </c>
      <c r="F69" s="11" t="s">
        <v>93</v>
      </c>
      <c r="G69" s="18" t="s">
        <v>95</v>
      </c>
      <c r="H69" s="12">
        <f t="shared" si="3"/>
        <v>0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</row>
    <row r="70" s="11" customFormat="1" spans="1:48">
      <c r="A70" s="11">
        <v>68</v>
      </c>
      <c r="C70" s="11">
        <v>68</v>
      </c>
      <c r="E70" s="11">
        <v>7903311240</v>
      </c>
      <c r="F70" s="11" t="s">
        <v>93</v>
      </c>
      <c r="G70" s="18" t="s">
        <v>96</v>
      </c>
      <c r="H70" s="12">
        <f t="shared" si="3"/>
        <v>0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</row>
    <row r="71" s="11" customFormat="1" spans="1:48">
      <c r="A71" s="11">
        <v>69</v>
      </c>
      <c r="C71" s="11">
        <v>69</v>
      </c>
      <c r="F71" s="11" t="s">
        <v>93</v>
      </c>
      <c r="G71" s="18" t="s">
        <v>97</v>
      </c>
      <c r="H71" s="12">
        <f t="shared" si="3"/>
        <v>0</v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</row>
    <row r="72" s="11" customFormat="1" spans="1:48">
      <c r="A72" s="11">
        <v>70</v>
      </c>
      <c r="C72" s="11">
        <v>70</v>
      </c>
      <c r="D72" s="11" t="s">
        <v>196</v>
      </c>
      <c r="F72" s="11" t="s">
        <v>93</v>
      </c>
      <c r="G72" s="18" t="s">
        <v>98</v>
      </c>
      <c r="H72" s="12">
        <f t="shared" si="3"/>
        <v>0</v>
      </c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</row>
    <row r="73" s="11" customFormat="1" spans="1:48">
      <c r="A73" s="11">
        <v>71</v>
      </c>
      <c r="C73" s="11">
        <v>71</v>
      </c>
      <c r="D73" s="11" t="s">
        <v>197</v>
      </c>
      <c r="F73" s="11" t="s">
        <v>93</v>
      </c>
      <c r="G73" s="18" t="s">
        <v>99</v>
      </c>
      <c r="H73" s="12">
        <f t="shared" si="3"/>
        <v>0</v>
      </c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</row>
    <row r="74" s="11" customFormat="1" spans="1:48">
      <c r="A74" s="11">
        <v>72</v>
      </c>
      <c r="B74" s="11" t="s">
        <v>198</v>
      </c>
      <c r="C74" s="11">
        <v>72</v>
      </c>
      <c r="D74" s="11" t="s">
        <v>199</v>
      </c>
      <c r="E74" s="11">
        <v>8825370430</v>
      </c>
      <c r="F74" s="11" t="s">
        <v>93</v>
      </c>
      <c r="G74" s="18" t="s">
        <v>100</v>
      </c>
      <c r="H74" s="12">
        <f t="shared" si="3"/>
        <v>0</v>
      </c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</row>
    <row r="75" s="11" customFormat="1" spans="1:48">
      <c r="A75" s="11">
        <v>73</v>
      </c>
      <c r="C75" s="11">
        <v>73</v>
      </c>
      <c r="E75" s="11">
        <v>9631378928</v>
      </c>
      <c r="F75" s="11" t="s">
        <v>93</v>
      </c>
      <c r="G75" s="18" t="s">
        <v>101</v>
      </c>
      <c r="H75" s="12">
        <f t="shared" si="3"/>
        <v>0</v>
      </c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</row>
    <row r="76" s="11" customFormat="1" spans="1:48">
      <c r="A76" s="11">
        <v>74</v>
      </c>
      <c r="C76" s="11">
        <v>74</v>
      </c>
      <c r="F76" s="11" t="s">
        <v>93</v>
      </c>
      <c r="G76" s="18" t="s">
        <v>102</v>
      </c>
      <c r="H76" s="12">
        <f t="shared" si="3"/>
        <v>0</v>
      </c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</row>
    <row r="77" s="11" customFormat="1" spans="1:48">
      <c r="A77" s="11">
        <v>75</v>
      </c>
      <c r="B77" s="11" t="s">
        <v>200</v>
      </c>
      <c r="C77" s="11">
        <v>75</v>
      </c>
      <c r="D77" s="11" t="s">
        <v>200</v>
      </c>
      <c r="E77" s="11">
        <v>6200769032</v>
      </c>
      <c r="F77" s="11" t="s">
        <v>103</v>
      </c>
      <c r="G77" s="18" t="s">
        <v>104</v>
      </c>
      <c r="H77" s="12">
        <f t="shared" si="3"/>
        <v>0</v>
      </c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</row>
    <row r="78" s="11" customFormat="1" spans="1:48">
      <c r="A78" s="11">
        <v>76</v>
      </c>
      <c r="B78" s="11" t="s">
        <v>201</v>
      </c>
      <c r="C78" s="11">
        <v>76</v>
      </c>
      <c r="D78" s="11" t="s">
        <v>202</v>
      </c>
      <c r="F78" s="11" t="s">
        <v>103</v>
      </c>
      <c r="G78" s="18" t="s">
        <v>105</v>
      </c>
      <c r="H78" s="12">
        <f t="shared" si="3"/>
        <v>0</v>
      </c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</row>
    <row r="79" s="11" customFormat="1" spans="1:48">
      <c r="A79" s="11">
        <v>77</v>
      </c>
      <c r="B79" s="11" t="s">
        <v>203</v>
      </c>
      <c r="C79" s="11">
        <v>77</v>
      </c>
      <c r="D79" s="11" t="s">
        <v>204</v>
      </c>
      <c r="F79" s="11" t="s">
        <v>103</v>
      </c>
      <c r="G79" s="18" t="s">
        <v>106</v>
      </c>
      <c r="H79" s="12">
        <f t="shared" si="3"/>
        <v>0</v>
      </c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</row>
    <row r="80" s="11" customFormat="1" spans="1:48">
      <c r="A80" s="11">
        <v>78</v>
      </c>
      <c r="C80" s="11">
        <v>78</v>
      </c>
      <c r="G80" s="18" t="s">
        <v>107</v>
      </c>
      <c r="H80" s="12">
        <f t="shared" si="3"/>
        <v>0</v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</row>
    <row r="81" s="11" customFormat="1" spans="1:48">
      <c r="A81" s="11">
        <v>79</v>
      </c>
      <c r="B81" s="11" t="s">
        <v>205</v>
      </c>
      <c r="C81" s="11">
        <v>79</v>
      </c>
      <c r="D81" s="11" t="s">
        <v>205</v>
      </c>
      <c r="E81" s="11" t="s">
        <v>206</v>
      </c>
      <c r="F81" s="11" t="s">
        <v>108</v>
      </c>
      <c r="G81" s="18" t="s">
        <v>109</v>
      </c>
      <c r="H81" s="12">
        <f t="shared" si="3"/>
        <v>0</v>
      </c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</row>
    <row r="82" s="11" customFormat="1" spans="1:48">
      <c r="A82" s="11">
        <v>80</v>
      </c>
      <c r="C82" s="11">
        <v>80</v>
      </c>
      <c r="G82" s="18" t="s">
        <v>110</v>
      </c>
      <c r="H82" s="12">
        <f t="shared" si="3"/>
        <v>0</v>
      </c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</row>
    <row r="83" s="11" customFormat="1" spans="1:48">
      <c r="A83" s="11">
        <v>81</v>
      </c>
      <c r="C83" s="11">
        <v>81</v>
      </c>
      <c r="F83" s="11" t="s">
        <v>111</v>
      </c>
      <c r="G83" s="18" t="s">
        <v>112</v>
      </c>
      <c r="H83" s="12">
        <f t="shared" si="3"/>
        <v>0</v>
      </c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</row>
    <row r="84" s="11" customFormat="1" spans="1:48">
      <c r="A84" s="11">
        <v>82</v>
      </c>
      <c r="C84" s="11">
        <v>82</v>
      </c>
      <c r="G84" s="18" t="s">
        <v>113</v>
      </c>
      <c r="H84" s="12">
        <f t="shared" si="3"/>
        <v>0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</row>
    <row r="85" s="11" customFormat="1" spans="1:48">
      <c r="A85" s="11">
        <v>83</v>
      </c>
      <c r="B85" s="11" t="s">
        <v>207</v>
      </c>
      <c r="C85" s="11">
        <v>83</v>
      </c>
      <c r="D85" s="11" t="s">
        <v>207</v>
      </c>
      <c r="F85" s="11" t="s">
        <v>114</v>
      </c>
      <c r="G85" s="18" t="s">
        <v>115</v>
      </c>
      <c r="H85" s="12">
        <f t="shared" si="3"/>
        <v>0</v>
      </c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</row>
    <row r="86" s="11" customFormat="1" spans="1:48">
      <c r="A86" s="11">
        <v>84</v>
      </c>
      <c r="C86" s="11">
        <v>84</v>
      </c>
      <c r="E86" s="11">
        <v>9934079439</v>
      </c>
      <c r="F86" s="11" t="s">
        <v>114</v>
      </c>
      <c r="G86" s="18" t="s">
        <v>116</v>
      </c>
      <c r="H86" s="12">
        <f t="shared" si="3"/>
        <v>0</v>
      </c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</row>
    <row r="87" s="11" customFormat="1" spans="1:48">
      <c r="A87" s="11">
        <v>85</v>
      </c>
      <c r="B87" s="11" t="s">
        <v>208</v>
      </c>
      <c r="C87" s="11">
        <v>85</v>
      </c>
      <c r="D87" s="11" t="s">
        <v>208</v>
      </c>
      <c r="E87" s="11">
        <v>7903552643</v>
      </c>
      <c r="F87" s="11" t="s">
        <v>114</v>
      </c>
      <c r="G87" s="18" t="s">
        <v>117</v>
      </c>
      <c r="H87" s="12">
        <f t="shared" si="3"/>
        <v>0</v>
      </c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</row>
    <row r="88" s="11" customFormat="1" spans="1:48">
      <c r="A88" s="11">
        <v>86</v>
      </c>
      <c r="C88" s="11">
        <v>86</v>
      </c>
      <c r="D88" s="11" t="s">
        <v>209</v>
      </c>
      <c r="E88" s="11">
        <v>9911430509</v>
      </c>
      <c r="F88" s="11" t="s">
        <v>118</v>
      </c>
      <c r="G88" s="18" t="s">
        <v>119</v>
      </c>
      <c r="H88" s="12">
        <f t="shared" si="3"/>
        <v>0</v>
      </c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</row>
    <row r="89" s="11" customFormat="1" spans="1:48">
      <c r="A89" s="11">
        <v>87</v>
      </c>
      <c r="C89" s="11">
        <v>87</v>
      </c>
      <c r="G89" s="18" t="s">
        <v>120</v>
      </c>
      <c r="H89" s="12">
        <f t="shared" si="3"/>
        <v>0</v>
      </c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</row>
    <row r="90" s="11" customFormat="1" spans="1:48">
      <c r="A90" s="11">
        <v>88</v>
      </c>
      <c r="B90" s="11" t="s">
        <v>210</v>
      </c>
      <c r="C90" s="11">
        <v>88</v>
      </c>
      <c r="D90" s="11" t="s">
        <v>210</v>
      </c>
      <c r="G90" s="18" t="s">
        <v>121</v>
      </c>
      <c r="H90" s="12">
        <f t="shared" si="3"/>
        <v>0</v>
      </c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</row>
    <row r="91" s="11" customFormat="1" spans="1:48">
      <c r="A91" s="11">
        <v>89</v>
      </c>
      <c r="C91" s="11">
        <v>89</v>
      </c>
      <c r="G91" s="18" t="s">
        <v>122</v>
      </c>
      <c r="H91" s="12">
        <f t="shared" si="3"/>
        <v>0</v>
      </c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</row>
    <row r="92" s="11" customFormat="1" spans="1:48">
      <c r="A92" s="11">
        <v>90</v>
      </c>
      <c r="C92" s="11">
        <v>90</v>
      </c>
      <c r="D92" s="11" t="s">
        <v>211</v>
      </c>
      <c r="E92" s="11">
        <v>9015378357</v>
      </c>
      <c r="F92" s="11" t="s">
        <v>212</v>
      </c>
      <c r="G92" s="18" t="s">
        <v>123</v>
      </c>
      <c r="H92" s="12">
        <f t="shared" si="3"/>
        <v>0</v>
      </c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</row>
    <row r="93" s="11" customFormat="1" spans="1:48">
      <c r="A93" s="11">
        <v>91</v>
      </c>
      <c r="C93" s="11">
        <v>91</v>
      </c>
      <c r="G93" s="18" t="s">
        <v>124</v>
      </c>
      <c r="H93" s="12">
        <f t="shared" si="3"/>
        <v>0</v>
      </c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</row>
    <row r="94" s="11" customFormat="1" spans="1:48">
      <c r="A94" s="11">
        <v>92</v>
      </c>
      <c r="C94" s="11">
        <v>92</v>
      </c>
      <c r="D94" s="11" t="s">
        <v>213</v>
      </c>
      <c r="F94" s="11" t="s">
        <v>125</v>
      </c>
      <c r="G94" s="18" t="s">
        <v>126</v>
      </c>
      <c r="H94" s="12">
        <f t="shared" si="3"/>
        <v>0</v>
      </c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</row>
    <row r="95" s="11" customFormat="1" spans="1:48">
      <c r="A95" s="11">
        <v>93</v>
      </c>
      <c r="C95" s="11">
        <v>93</v>
      </c>
      <c r="G95" s="18" t="s">
        <v>127</v>
      </c>
      <c r="H95" s="12">
        <f t="shared" si="3"/>
        <v>0</v>
      </c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</row>
    <row r="96" s="11" customFormat="1" spans="1:48">
      <c r="A96" s="11">
        <v>94</v>
      </c>
      <c r="C96" s="11">
        <v>94</v>
      </c>
      <c r="G96" s="18" t="s">
        <v>128</v>
      </c>
      <c r="H96" s="12">
        <f t="shared" si="3"/>
        <v>0</v>
      </c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</row>
    <row r="97" spans="8:48">
      <c r="H97" s="12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N97"/>
      <c r="AO97"/>
      <c r="AP97"/>
      <c r="AQ97"/>
      <c r="AR97"/>
      <c r="AS97"/>
      <c r="AT97"/>
      <c r="AU97"/>
      <c r="AV97"/>
    </row>
    <row r="98" spans="8:48">
      <c r="H98" s="12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N98"/>
      <c r="AO98"/>
      <c r="AP98"/>
      <c r="AQ98"/>
      <c r="AR98"/>
      <c r="AS98"/>
      <c r="AT98"/>
      <c r="AU98"/>
      <c r="AV98"/>
    </row>
    <row r="99" spans="8:48">
      <c r="H99" s="12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N99"/>
      <c r="AO99"/>
      <c r="AP99"/>
      <c r="AQ99"/>
      <c r="AR99"/>
      <c r="AS99"/>
      <c r="AT99"/>
      <c r="AU99"/>
      <c r="AV99"/>
    </row>
    <row r="100" spans="8:48">
      <c r="H100" s="12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N100"/>
      <c r="AO100"/>
      <c r="AP100"/>
      <c r="AQ100"/>
      <c r="AR100"/>
      <c r="AS100"/>
      <c r="AT100"/>
      <c r="AU100"/>
      <c r="AV100"/>
    </row>
    <row r="101" spans="8:48">
      <c r="H101" s="12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N101"/>
      <c r="AO101"/>
      <c r="AP101"/>
      <c r="AQ101"/>
      <c r="AR101"/>
      <c r="AS101"/>
      <c r="AT101"/>
      <c r="AU101"/>
      <c r="AV101"/>
    </row>
    <row r="102" spans="8:48">
      <c r="H102" s="1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N102"/>
      <c r="AO102"/>
      <c r="AP102"/>
      <c r="AQ102"/>
      <c r="AR102"/>
      <c r="AS102"/>
      <c r="AT102"/>
      <c r="AU102"/>
      <c r="AV102"/>
    </row>
    <row r="103" spans="8:48">
      <c r="H103" s="12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N103"/>
      <c r="AO103"/>
      <c r="AP103"/>
      <c r="AQ103"/>
      <c r="AR103"/>
      <c r="AS103"/>
      <c r="AT103"/>
      <c r="AU103"/>
      <c r="AV103"/>
    </row>
    <row r="104" spans="8:48">
      <c r="H104" s="12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N104"/>
      <c r="AO104"/>
      <c r="AP104"/>
      <c r="AQ104"/>
      <c r="AR104"/>
      <c r="AS104"/>
      <c r="AT104"/>
      <c r="AU104"/>
      <c r="AV104"/>
    </row>
    <row r="105" spans="8:48">
      <c r="H105" s="12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N105"/>
      <c r="AO105"/>
      <c r="AP105"/>
      <c r="AQ105"/>
      <c r="AR105"/>
      <c r="AS105"/>
      <c r="AT105"/>
      <c r="AU105"/>
      <c r="AV105"/>
    </row>
    <row r="106" spans="8:48">
      <c r="H106" s="12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N106"/>
      <c r="AO106"/>
      <c r="AP106"/>
      <c r="AQ106"/>
      <c r="AR106"/>
      <c r="AS106"/>
      <c r="AT106"/>
      <c r="AU106"/>
      <c r="AV106"/>
    </row>
    <row r="107" spans="8:48">
      <c r="H107" s="12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N107"/>
      <c r="AO107"/>
      <c r="AP107"/>
      <c r="AQ107"/>
      <c r="AR107"/>
      <c r="AS107"/>
      <c r="AT107"/>
      <c r="AU107"/>
      <c r="AV107"/>
    </row>
    <row r="108" spans="8:48">
      <c r="H108" s="12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N108"/>
      <c r="AO108"/>
      <c r="AP108"/>
      <c r="AQ108"/>
      <c r="AR108"/>
      <c r="AS108"/>
      <c r="AT108"/>
      <c r="AU108"/>
      <c r="AV108"/>
    </row>
    <row r="109" spans="8:48">
      <c r="H109" s="12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N109"/>
      <c r="AO109"/>
      <c r="AP109"/>
      <c r="AQ109"/>
      <c r="AR109"/>
      <c r="AS109"/>
      <c r="AT109"/>
      <c r="AU109"/>
      <c r="AV109"/>
    </row>
    <row r="110" spans="8:38">
      <c r="H110" s="1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8:38">
      <c r="H111" s="1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8:8">
      <c r="H112" s="1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96"/>
  <sheetViews>
    <sheetView tabSelected="1" workbookViewId="0">
      <selection activeCell="D1" sqref="A1:D94"/>
    </sheetView>
  </sheetViews>
  <sheetFormatPr defaultColWidth="9.14285714285714" defaultRowHeight="15" outlineLevelCol="4"/>
  <cols>
    <col min="1" max="1" width="15" style="1" customWidth="1"/>
    <col min="2" max="2" width="11.7142857142857" style="1" customWidth="1"/>
    <col min="3" max="3" width="51.1428571428571" style="1" customWidth="1"/>
    <col min="4" max="4" width="14" style="2" customWidth="1"/>
    <col min="5" max="12" width="9.14285714285714" style="1"/>
    <col min="13" max="13" width="14" style="1" customWidth="1"/>
    <col min="14" max="16384" width="9.14285714285714" style="1"/>
  </cols>
  <sheetData>
    <row r="1" spans="1:4">
      <c r="A1" s="3" t="s">
        <v>3</v>
      </c>
      <c r="B1" s="3" t="s">
        <v>129</v>
      </c>
      <c r="C1" s="3" t="s">
        <v>4</v>
      </c>
      <c r="D1" s="3" t="s">
        <v>214</v>
      </c>
    </row>
    <row r="2" spans="1:5">
      <c r="A2" s="4"/>
      <c r="B2" s="4"/>
      <c r="C2" s="5" t="s">
        <v>8</v>
      </c>
      <c r="D2" s="6">
        <f>Orders!F2-Collection!H2</f>
        <v>279900</v>
      </c>
      <c r="E2" s="7">
        <f>SUM(D3:D96)</f>
        <v>279900</v>
      </c>
    </row>
    <row r="3" hidden="1" spans="1:4">
      <c r="A3" s="8" t="s">
        <v>9</v>
      </c>
      <c r="B3" s="8">
        <v>9334066332</v>
      </c>
      <c r="C3" s="9" t="s">
        <v>10</v>
      </c>
      <c r="D3" s="10">
        <f>Orders!F3-Collection!H3</f>
        <v>0</v>
      </c>
    </row>
    <row r="4" hidden="1" spans="1:4">
      <c r="A4" s="8" t="s">
        <v>9</v>
      </c>
      <c r="B4" s="8">
        <v>9123417146</v>
      </c>
      <c r="C4" s="9" t="s">
        <v>11</v>
      </c>
      <c r="D4" s="10">
        <f>Orders!F4-Collection!H4</f>
        <v>0</v>
      </c>
    </row>
    <row r="5" hidden="1" spans="1:4">
      <c r="A5" s="8" t="s">
        <v>9</v>
      </c>
      <c r="B5" s="8">
        <v>8340365412</v>
      </c>
      <c r="C5" s="9" t="s">
        <v>13</v>
      </c>
      <c r="D5" s="10">
        <f>Orders!F5-Collection!H5</f>
        <v>0</v>
      </c>
    </row>
    <row r="6" hidden="1" spans="1:4">
      <c r="A6" s="8" t="s">
        <v>9</v>
      </c>
      <c r="B6" s="8">
        <v>9102317719</v>
      </c>
      <c r="C6" s="9" t="s">
        <v>15</v>
      </c>
      <c r="D6" s="10">
        <f>Orders!F6-Collection!H6</f>
        <v>0</v>
      </c>
    </row>
    <row r="7" spans="1:4">
      <c r="A7" s="8" t="s">
        <v>9</v>
      </c>
      <c r="B7" s="8">
        <v>8210924561</v>
      </c>
      <c r="C7" s="9" t="s">
        <v>17</v>
      </c>
      <c r="D7" s="10">
        <f>Orders!F7-Collection!H7</f>
        <v>17000</v>
      </c>
    </row>
    <row r="8" hidden="1" spans="1:4">
      <c r="A8" s="8" t="s">
        <v>9</v>
      </c>
      <c r="B8" s="8">
        <v>9110978139</v>
      </c>
      <c r="C8" s="9" t="s">
        <v>19</v>
      </c>
      <c r="D8" s="10">
        <f>Orders!F8-Collection!H8</f>
        <v>0</v>
      </c>
    </row>
    <row r="9" hidden="1" spans="1:4">
      <c r="A9" s="8" t="s">
        <v>9</v>
      </c>
      <c r="B9" s="8">
        <v>8340201321</v>
      </c>
      <c r="C9" s="9" t="s">
        <v>20</v>
      </c>
      <c r="D9" s="10">
        <f>Orders!F9-Collection!H9</f>
        <v>0</v>
      </c>
    </row>
    <row r="10" spans="1:4">
      <c r="A10" s="8" t="s">
        <v>9</v>
      </c>
      <c r="B10" s="8">
        <v>7004365158</v>
      </c>
      <c r="C10" s="9" t="s">
        <v>22</v>
      </c>
      <c r="D10" s="10">
        <f>Orders!F10-Collection!H10</f>
        <v>5000</v>
      </c>
    </row>
    <row r="11" hidden="1" spans="1:4">
      <c r="A11" s="8" t="s">
        <v>23</v>
      </c>
      <c r="B11" s="8">
        <v>9973022718</v>
      </c>
      <c r="C11" s="9" t="s">
        <v>24</v>
      </c>
      <c r="D11" s="10">
        <f>Orders!F11-Collection!H11</f>
        <v>0</v>
      </c>
    </row>
    <row r="12" spans="1:4">
      <c r="A12" s="8" t="s">
        <v>23</v>
      </c>
      <c r="B12" s="8">
        <v>7004923653</v>
      </c>
      <c r="C12" s="9" t="s">
        <v>25</v>
      </c>
      <c r="D12" s="10">
        <f>Orders!F12-Collection!H12</f>
        <v>2000</v>
      </c>
    </row>
    <row r="13" spans="1:4">
      <c r="A13" s="8" t="s">
        <v>23</v>
      </c>
      <c r="B13" s="8">
        <v>8340182577</v>
      </c>
      <c r="C13" s="9" t="s">
        <v>26</v>
      </c>
      <c r="D13" s="10">
        <f>Orders!F13-Collection!H13</f>
        <v>5000</v>
      </c>
    </row>
    <row r="14" spans="1:4">
      <c r="A14" s="8" t="s">
        <v>23</v>
      </c>
      <c r="B14" s="8">
        <v>7004740439</v>
      </c>
      <c r="C14" s="9" t="s">
        <v>27</v>
      </c>
      <c r="D14" s="10">
        <f>Orders!F14-Collection!H14</f>
        <v>8500</v>
      </c>
    </row>
    <row r="15" spans="1:4">
      <c r="A15" s="8" t="s">
        <v>23</v>
      </c>
      <c r="B15" s="8">
        <v>7004936104</v>
      </c>
      <c r="C15" s="9" t="s">
        <v>29</v>
      </c>
      <c r="D15" s="10">
        <f>Orders!F15-Collection!H15</f>
        <v>2000</v>
      </c>
    </row>
    <row r="16" spans="1:4">
      <c r="A16" s="8" t="s">
        <v>23</v>
      </c>
      <c r="B16" s="8">
        <v>7321004323</v>
      </c>
      <c r="C16" s="9" t="s">
        <v>30</v>
      </c>
      <c r="D16" s="10">
        <f>Orders!F16-Collection!H16</f>
        <v>2000</v>
      </c>
    </row>
    <row r="17" spans="1:4">
      <c r="A17" s="8" t="s">
        <v>23</v>
      </c>
      <c r="B17" s="11">
        <v>7903378748</v>
      </c>
      <c r="C17" s="9" t="s">
        <v>32</v>
      </c>
      <c r="D17" s="10">
        <f>Orders!F17-Collection!H17</f>
        <v>5000</v>
      </c>
    </row>
    <row r="18" spans="1:4">
      <c r="A18" s="8" t="s">
        <v>23</v>
      </c>
      <c r="B18" s="8">
        <v>7004493350</v>
      </c>
      <c r="C18" s="9" t="s">
        <v>34</v>
      </c>
      <c r="D18" s="10">
        <f>Orders!F18-Collection!H18</f>
        <v>2000</v>
      </c>
    </row>
    <row r="19" hidden="1" spans="1:4">
      <c r="A19" s="8" t="s">
        <v>23</v>
      </c>
      <c r="B19" s="8">
        <v>9608475282</v>
      </c>
      <c r="C19" s="9" t="s">
        <v>35</v>
      </c>
      <c r="D19" s="10">
        <f>Orders!F19-Collection!H19</f>
        <v>0</v>
      </c>
    </row>
    <row r="20" hidden="1" spans="1:4">
      <c r="A20" s="8" t="s">
        <v>36</v>
      </c>
      <c r="B20" s="8">
        <v>9661555592</v>
      </c>
      <c r="C20" s="9" t="s">
        <v>37</v>
      </c>
      <c r="D20" s="10">
        <f>Orders!F20-Collection!H20</f>
        <v>0</v>
      </c>
    </row>
    <row r="21" spans="1:4">
      <c r="A21" s="8" t="s">
        <v>36</v>
      </c>
      <c r="B21" s="8">
        <v>8340523512</v>
      </c>
      <c r="C21" s="9" t="s">
        <v>38</v>
      </c>
      <c r="D21" s="10">
        <f>Orders!F21-Collection!H21</f>
        <v>2000</v>
      </c>
    </row>
    <row r="22" spans="1:4">
      <c r="A22" s="8" t="s">
        <v>36</v>
      </c>
      <c r="B22" s="8">
        <v>8825310472</v>
      </c>
      <c r="C22" s="9" t="s">
        <v>39</v>
      </c>
      <c r="D22" s="10">
        <f>Orders!F22-Collection!H22</f>
        <v>1000</v>
      </c>
    </row>
    <row r="23" spans="1:4">
      <c r="A23" s="8" t="s">
        <v>36</v>
      </c>
      <c r="B23" s="8">
        <v>7004478123</v>
      </c>
      <c r="C23" s="9" t="s">
        <v>40</v>
      </c>
      <c r="D23" s="10">
        <f>Orders!F23-Collection!H23</f>
        <v>6000</v>
      </c>
    </row>
    <row r="24" hidden="1" spans="1:4">
      <c r="A24" s="8" t="s">
        <v>36</v>
      </c>
      <c r="B24" s="8">
        <v>7667895364</v>
      </c>
      <c r="C24" s="9" t="s">
        <v>41</v>
      </c>
      <c r="D24" s="10">
        <f>Orders!F24-Collection!H24</f>
        <v>0</v>
      </c>
    </row>
    <row r="25" spans="1:4">
      <c r="A25" s="8" t="s">
        <v>36</v>
      </c>
      <c r="B25" s="8">
        <v>7006041121</v>
      </c>
      <c r="C25" s="9" t="s">
        <v>42</v>
      </c>
      <c r="D25" s="10">
        <f>Orders!F25-Collection!H25</f>
        <v>2000</v>
      </c>
    </row>
    <row r="26" spans="1:4">
      <c r="A26" s="8" t="s">
        <v>36</v>
      </c>
      <c r="B26" s="8">
        <v>8709658240</v>
      </c>
      <c r="C26" s="9" t="s">
        <v>43</v>
      </c>
      <c r="D26" s="10">
        <f>Orders!F26-Collection!H26</f>
        <v>4000</v>
      </c>
    </row>
    <row r="27" spans="1:4">
      <c r="A27" s="8" t="s">
        <v>36</v>
      </c>
      <c r="B27" s="8">
        <v>8709612020</v>
      </c>
      <c r="C27" s="9" t="s">
        <v>44</v>
      </c>
      <c r="D27" s="10">
        <f>Orders!F27-Collection!H27</f>
        <v>4000</v>
      </c>
    </row>
    <row r="28" spans="1:4">
      <c r="A28" s="8" t="s">
        <v>36</v>
      </c>
      <c r="B28" s="8">
        <v>9973040600</v>
      </c>
      <c r="C28" s="9" t="s">
        <v>45</v>
      </c>
      <c r="D28" s="10">
        <f>Orders!F28-Collection!H28</f>
        <v>2000</v>
      </c>
    </row>
    <row r="29" hidden="1" spans="1:4">
      <c r="A29" s="8" t="s">
        <v>36</v>
      </c>
      <c r="B29" s="8">
        <v>9973345687</v>
      </c>
      <c r="C29" s="9" t="s">
        <v>46</v>
      </c>
      <c r="D29" s="10">
        <f>Orders!F29-Collection!H29</f>
        <v>0</v>
      </c>
    </row>
    <row r="30" spans="1:4">
      <c r="A30" s="8" t="s">
        <v>36</v>
      </c>
      <c r="B30" s="8">
        <v>9631391206</v>
      </c>
      <c r="C30" s="9" t="s">
        <v>47</v>
      </c>
      <c r="D30" s="10">
        <f>Orders!F30-Collection!H30</f>
        <v>4000</v>
      </c>
    </row>
    <row r="31" hidden="1" spans="1:4">
      <c r="A31" s="8" t="s">
        <v>36</v>
      </c>
      <c r="B31" s="8">
        <v>8340565882</v>
      </c>
      <c r="C31" s="9" t="s">
        <v>48</v>
      </c>
      <c r="D31" s="10">
        <f>Orders!F31-Collection!H31</f>
        <v>0</v>
      </c>
    </row>
    <row r="32" spans="1:4">
      <c r="A32" s="8" t="s">
        <v>36</v>
      </c>
      <c r="B32" s="8">
        <v>7004134938</v>
      </c>
      <c r="C32" s="9" t="s">
        <v>49</v>
      </c>
      <c r="D32" s="10">
        <f>Orders!F32-Collection!H32</f>
        <v>10000</v>
      </c>
    </row>
    <row r="33" spans="1:4">
      <c r="A33" s="8" t="s">
        <v>36</v>
      </c>
      <c r="B33" s="8">
        <v>7488143097</v>
      </c>
      <c r="C33" s="9" t="s">
        <v>50</v>
      </c>
      <c r="D33" s="10">
        <f>Orders!F33-Collection!H33</f>
        <v>4000</v>
      </c>
    </row>
    <row r="34" spans="1:4">
      <c r="A34" s="8" t="s">
        <v>51</v>
      </c>
      <c r="B34" s="8">
        <v>9110951966</v>
      </c>
      <c r="C34" s="9" t="s">
        <v>52</v>
      </c>
      <c r="D34" s="10">
        <f>Orders!F34-Collection!H34</f>
        <v>4000</v>
      </c>
    </row>
    <row r="35" spans="1:4">
      <c r="A35" s="8" t="s">
        <v>51</v>
      </c>
      <c r="B35" s="8">
        <v>7909015301</v>
      </c>
      <c r="C35" s="9" t="s">
        <v>53</v>
      </c>
      <c r="D35" s="10">
        <f>Orders!F35-Collection!H35</f>
        <v>3000</v>
      </c>
    </row>
    <row r="36" hidden="1" spans="1:4">
      <c r="A36" s="8" t="s">
        <v>51</v>
      </c>
      <c r="B36" s="8">
        <v>7654800030</v>
      </c>
      <c r="C36" s="9" t="s">
        <v>54</v>
      </c>
      <c r="D36" s="10">
        <f>Orders!F36-Collection!H36</f>
        <v>0</v>
      </c>
    </row>
    <row r="37" hidden="1" spans="1:4">
      <c r="A37" s="8" t="s">
        <v>51</v>
      </c>
      <c r="B37" s="8">
        <v>7004687743</v>
      </c>
      <c r="C37" s="9" t="s">
        <v>55</v>
      </c>
      <c r="D37" s="10">
        <f>Orders!F37-Collection!H37</f>
        <v>0</v>
      </c>
    </row>
    <row r="38" hidden="1" spans="1:4">
      <c r="A38" s="8" t="s">
        <v>51</v>
      </c>
      <c r="B38" s="8">
        <v>9122226207</v>
      </c>
      <c r="C38" s="9" t="s">
        <v>56</v>
      </c>
      <c r="D38" s="10">
        <f>Orders!F38-Collection!H38</f>
        <v>0</v>
      </c>
    </row>
    <row r="39" hidden="1" spans="1:4">
      <c r="A39" s="8" t="s">
        <v>51</v>
      </c>
      <c r="B39" s="8">
        <v>9708329918</v>
      </c>
      <c r="C39" s="9" t="s">
        <v>57</v>
      </c>
      <c r="D39" s="10">
        <f>Orders!F39-Collection!H39</f>
        <v>0</v>
      </c>
    </row>
    <row r="40" spans="1:4">
      <c r="A40" s="8" t="s">
        <v>51</v>
      </c>
      <c r="B40" s="8">
        <v>8709954402</v>
      </c>
      <c r="C40" s="9" t="s">
        <v>58</v>
      </c>
      <c r="D40" s="10">
        <f>Orders!F40-Collection!H40</f>
        <v>2000</v>
      </c>
    </row>
    <row r="41" hidden="1" spans="1:4">
      <c r="A41" s="8" t="s">
        <v>51</v>
      </c>
      <c r="B41" s="8">
        <v>8102542369</v>
      </c>
      <c r="C41" s="9" t="s">
        <v>59</v>
      </c>
      <c r="D41" s="10">
        <f>Orders!F41-Collection!H41</f>
        <v>0</v>
      </c>
    </row>
    <row r="42" spans="1:4">
      <c r="A42" s="8" t="s">
        <v>51</v>
      </c>
      <c r="B42" s="8">
        <v>9304671707</v>
      </c>
      <c r="C42" s="9" t="s">
        <v>60</v>
      </c>
      <c r="D42" s="10">
        <f>Orders!F42-Collection!H42</f>
        <v>2000</v>
      </c>
    </row>
    <row r="43" spans="1:4">
      <c r="A43" s="8" t="s">
        <v>51</v>
      </c>
      <c r="B43" s="8">
        <v>8210095108</v>
      </c>
      <c r="C43" s="9" t="s">
        <v>61</v>
      </c>
      <c r="D43" s="10">
        <f>Orders!F43-Collection!H43</f>
        <v>4000</v>
      </c>
    </row>
    <row r="44" spans="1:4">
      <c r="A44" s="8" t="s">
        <v>51</v>
      </c>
      <c r="B44" s="8">
        <v>9525707958</v>
      </c>
      <c r="C44" s="9" t="s">
        <v>62</v>
      </c>
      <c r="D44" s="10">
        <f>Orders!F44-Collection!H44</f>
        <v>2000</v>
      </c>
    </row>
    <row r="45" hidden="1" spans="1:4">
      <c r="A45" s="8" t="s">
        <v>51</v>
      </c>
      <c r="B45" s="8">
        <v>8588878618</v>
      </c>
      <c r="C45" s="9" t="s">
        <v>63</v>
      </c>
      <c r="D45" s="10">
        <f>Orders!F45-Collection!H45</f>
        <v>0</v>
      </c>
    </row>
    <row r="46" spans="1:4">
      <c r="A46" s="8" t="s">
        <v>64</v>
      </c>
      <c r="B46" s="8">
        <v>7004687745</v>
      </c>
      <c r="C46" s="9" t="s">
        <v>65</v>
      </c>
      <c r="D46" s="10">
        <f>Orders!F46-Collection!H46</f>
        <v>7000</v>
      </c>
    </row>
    <row r="47" spans="1:4">
      <c r="A47" s="8" t="s">
        <v>64</v>
      </c>
      <c r="B47" s="8">
        <v>7004454705</v>
      </c>
      <c r="C47" s="9" t="s">
        <v>66</v>
      </c>
      <c r="D47" s="10">
        <f>Orders!F47-Collection!H47</f>
        <v>2000</v>
      </c>
    </row>
    <row r="48" spans="1:4">
      <c r="A48" s="8" t="s">
        <v>64</v>
      </c>
      <c r="B48" s="8">
        <v>7004729703</v>
      </c>
      <c r="C48" s="9" t="s">
        <v>67</v>
      </c>
      <c r="D48" s="10">
        <f>Orders!F48-Collection!H48</f>
        <v>2000</v>
      </c>
    </row>
    <row r="49" spans="1:4">
      <c r="A49" s="8" t="s">
        <v>64</v>
      </c>
      <c r="B49" s="8">
        <v>8863097933</v>
      </c>
      <c r="C49" s="9" t="s">
        <v>68</v>
      </c>
      <c r="D49" s="10">
        <f>Orders!F49-Collection!H49</f>
        <v>10000</v>
      </c>
    </row>
    <row r="50" spans="1:4">
      <c r="A50" s="8" t="s">
        <v>64</v>
      </c>
      <c r="B50" s="8">
        <v>9835443096</v>
      </c>
      <c r="C50" s="9" t="s">
        <v>69</v>
      </c>
      <c r="D50" s="10">
        <f>Orders!F50-Collection!H50</f>
        <v>5000</v>
      </c>
    </row>
    <row r="51" spans="1:4">
      <c r="A51" s="8" t="s">
        <v>64</v>
      </c>
      <c r="B51" s="8">
        <v>7004191817</v>
      </c>
      <c r="C51" s="9" t="s">
        <v>70</v>
      </c>
      <c r="D51" s="10">
        <f>Orders!F51-Collection!H51</f>
        <v>4000</v>
      </c>
    </row>
    <row r="52" hidden="1" spans="1:4">
      <c r="A52" s="8" t="s">
        <v>64</v>
      </c>
      <c r="B52" s="8">
        <v>8210487942</v>
      </c>
      <c r="C52" s="9" t="s">
        <v>71</v>
      </c>
      <c r="D52" s="10">
        <f>Orders!F52-Collection!H52</f>
        <v>0</v>
      </c>
    </row>
    <row r="53" spans="1:4">
      <c r="A53" s="8" t="s">
        <v>64</v>
      </c>
      <c r="B53" s="8">
        <v>7004423721</v>
      </c>
      <c r="C53" s="9" t="s">
        <v>72</v>
      </c>
      <c r="D53" s="10">
        <f>Orders!F53-Collection!H53</f>
        <v>4000</v>
      </c>
    </row>
    <row r="54" spans="1:4">
      <c r="A54" s="8" t="s">
        <v>64</v>
      </c>
      <c r="B54" s="8">
        <v>6202424016</v>
      </c>
      <c r="C54" s="9" t="s">
        <v>73</v>
      </c>
      <c r="D54" s="10">
        <f>Orders!F54-Collection!H54</f>
        <v>4000</v>
      </c>
    </row>
    <row r="55" hidden="1" spans="1:4">
      <c r="A55" s="8" t="s">
        <v>64</v>
      </c>
      <c r="B55" s="8">
        <v>8873894618</v>
      </c>
      <c r="C55" s="9" t="s">
        <v>74</v>
      </c>
      <c r="D55" s="10">
        <f>Orders!F55-Collection!H55</f>
        <v>0</v>
      </c>
    </row>
    <row r="56" spans="1:4">
      <c r="A56" s="8" t="s">
        <v>64</v>
      </c>
      <c r="B56" s="8">
        <v>7870055507</v>
      </c>
      <c r="C56" s="9" t="s">
        <v>75</v>
      </c>
      <c r="D56" s="10">
        <f>Orders!F56-Collection!H56</f>
        <v>2000</v>
      </c>
    </row>
    <row r="57" hidden="1" spans="1:4">
      <c r="A57" s="8" t="s">
        <v>64</v>
      </c>
      <c r="B57" s="8">
        <v>6202424016</v>
      </c>
      <c r="C57" s="9" t="s">
        <v>76</v>
      </c>
      <c r="D57" s="10">
        <f>Orders!F57-Collection!H57</f>
        <v>0</v>
      </c>
    </row>
    <row r="58" spans="1:4">
      <c r="A58" s="8" t="s">
        <v>77</v>
      </c>
      <c r="B58" s="8">
        <v>7004211364</v>
      </c>
      <c r="C58" s="9" t="s">
        <v>78</v>
      </c>
      <c r="D58" s="10">
        <f>Orders!F58-Collection!H58</f>
        <v>2000</v>
      </c>
    </row>
    <row r="59" spans="1:4">
      <c r="A59" s="8" t="s">
        <v>77</v>
      </c>
      <c r="B59" s="8">
        <v>7979985074</v>
      </c>
      <c r="C59" s="9" t="s">
        <v>79</v>
      </c>
      <c r="D59" s="10">
        <f>Orders!F59-Collection!H59</f>
        <v>5000</v>
      </c>
    </row>
    <row r="60" hidden="1" spans="1:4">
      <c r="A60" s="8" t="s">
        <v>77</v>
      </c>
      <c r="B60" s="8">
        <v>9304063435</v>
      </c>
      <c r="C60" s="9" t="s">
        <v>80</v>
      </c>
      <c r="D60" s="10">
        <f>Orders!F60-Collection!H60</f>
        <v>0</v>
      </c>
    </row>
    <row r="61" hidden="1" spans="1:4">
      <c r="A61" s="8" t="s">
        <v>77</v>
      </c>
      <c r="B61" s="11">
        <v>9798805204</v>
      </c>
      <c r="C61" s="9" t="s">
        <v>81</v>
      </c>
      <c r="D61" s="10">
        <f>Orders!F61-Collection!H61</f>
        <v>0</v>
      </c>
    </row>
    <row r="62" spans="1:4">
      <c r="A62" s="8" t="s">
        <v>82</v>
      </c>
      <c r="B62" s="8">
        <v>9504958065</v>
      </c>
      <c r="C62" s="9" t="s">
        <v>83</v>
      </c>
      <c r="D62" s="10">
        <f>Orders!F62-Collection!H62</f>
        <v>2000</v>
      </c>
    </row>
    <row r="63" spans="1:4">
      <c r="A63" s="8" t="s">
        <v>82</v>
      </c>
      <c r="B63" s="8">
        <v>9852299192</v>
      </c>
      <c r="C63" s="9" t="s">
        <v>84</v>
      </c>
      <c r="D63" s="10">
        <f>Orders!F63-Collection!H63</f>
        <v>1100</v>
      </c>
    </row>
    <row r="64" hidden="1" spans="1:4">
      <c r="A64" s="8" t="s">
        <v>82</v>
      </c>
      <c r="B64" s="8">
        <v>9931812966</v>
      </c>
      <c r="C64" s="9" t="s">
        <v>87</v>
      </c>
      <c r="D64" s="10">
        <f>Orders!F64-Collection!H64</f>
        <v>0</v>
      </c>
    </row>
    <row r="65" hidden="1" spans="1:4">
      <c r="A65" s="8" t="s">
        <v>88</v>
      </c>
      <c r="B65" s="8">
        <v>7004399486</v>
      </c>
      <c r="C65" s="8" t="s">
        <v>89</v>
      </c>
      <c r="D65" s="10">
        <f>Orders!F65-Collection!H65</f>
        <v>0</v>
      </c>
    </row>
    <row r="66" spans="1:4">
      <c r="A66" s="8" t="s">
        <v>88</v>
      </c>
      <c r="B66" s="8">
        <v>9939935008</v>
      </c>
      <c r="C66" s="9" t="s">
        <v>90</v>
      </c>
      <c r="D66" s="10">
        <f>Orders!F66-Collection!H66</f>
        <v>6000</v>
      </c>
    </row>
    <row r="67" spans="1:4">
      <c r="A67" s="8" t="s">
        <v>91</v>
      </c>
      <c r="B67" s="8">
        <v>8271027441</v>
      </c>
      <c r="C67" s="9" t="s">
        <v>92</v>
      </c>
      <c r="D67" s="10">
        <f>Orders!F67-Collection!H67</f>
        <v>3000</v>
      </c>
    </row>
    <row r="68" spans="1:4">
      <c r="A68" s="8" t="s">
        <v>93</v>
      </c>
      <c r="B68" s="8">
        <v>8709494155</v>
      </c>
      <c r="C68" s="9" t="s">
        <v>94</v>
      </c>
      <c r="D68" s="10">
        <f>Orders!F68-Collection!H68</f>
        <v>4000</v>
      </c>
    </row>
    <row r="69" hidden="1" spans="1:4">
      <c r="A69" s="8" t="s">
        <v>93</v>
      </c>
      <c r="B69" s="8">
        <v>8210273217</v>
      </c>
      <c r="C69" s="9" t="s">
        <v>95</v>
      </c>
      <c r="D69" s="10">
        <f>Orders!F69-Collection!H69</f>
        <v>0</v>
      </c>
    </row>
    <row r="70" hidden="1" spans="1:4">
      <c r="A70" s="8" t="s">
        <v>93</v>
      </c>
      <c r="B70" s="11">
        <v>7903311240</v>
      </c>
      <c r="C70" s="9" t="s">
        <v>96</v>
      </c>
      <c r="D70" s="10">
        <f>Orders!F70-Collection!H70</f>
        <v>0</v>
      </c>
    </row>
    <row r="71" hidden="1" spans="1:4">
      <c r="A71" s="8" t="s">
        <v>93</v>
      </c>
      <c r="B71" s="8">
        <v>6202448688</v>
      </c>
      <c r="C71" s="9" t="s">
        <v>97</v>
      </c>
      <c r="D71" s="10">
        <f>Orders!F71-Collection!H71</f>
        <v>0</v>
      </c>
    </row>
    <row r="72" hidden="1" spans="1:4">
      <c r="A72" s="8" t="s">
        <v>93</v>
      </c>
      <c r="B72" s="8">
        <v>8709017189</v>
      </c>
      <c r="C72" s="9" t="s">
        <v>98</v>
      </c>
      <c r="D72" s="10">
        <f>Orders!F72-Collection!H72</f>
        <v>0</v>
      </c>
    </row>
    <row r="73" spans="1:4">
      <c r="A73" s="8" t="s">
        <v>93</v>
      </c>
      <c r="B73" s="8">
        <v>7909071642</v>
      </c>
      <c r="C73" s="9" t="s">
        <v>99</v>
      </c>
      <c r="D73" s="10">
        <f>Orders!F73-Collection!H73</f>
        <v>2000</v>
      </c>
    </row>
    <row r="74" spans="1:4">
      <c r="A74" s="8" t="s">
        <v>93</v>
      </c>
      <c r="B74" s="8">
        <v>8825370430</v>
      </c>
      <c r="C74" s="9" t="s">
        <v>100</v>
      </c>
      <c r="D74" s="10">
        <f>Orders!F74-Collection!H74</f>
        <v>6000</v>
      </c>
    </row>
    <row r="75" hidden="1" spans="1:4">
      <c r="A75" s="8" t="s">
        <v>93</v>
      </c>
      <c r="B75" s="8">
        <v>9631378928</v>
      </c>
      <c r="C75" s="9" t="s">
        <v>101</v>
      </c>
      <c r="D75" s="10">
        <f>Orders!F75-Collection!H75</f>
        <v>0</v>
      </c>
    </row>
    <row r="76" spans="1:4">
      <c r="A76" s="8" t="s">
        <v>93</v>
      </c>
      <c r="B76" s="8">
        <v>8271027441</v>
      </c>
      <c r="C76" s="9" t="s">
        <v>102</v>
      </c>
      <c r="D76" s="10">
        <f>Orders!F76-Collection!H76</f>
        <v>1000</v>
      </c>
    </row>
    <row r="77" spans="1:4">
      <c r="A77" s="8" t="s">
        <v>103</v>
      </c>
      <c r="B77" s="8">
        <v>6200769032</v>
      </c>
      <c r="C77" s="9" t="s">
        <v>104</v>
      </c>
      <c r="D77" s="10">
        <f>Orders!F77-Collection!H77</f>
        <v>8300</v>
      </c>
    </row>
    <row r="78" spans="1:4">
      <c r="A78" s="8" t="s">
        <v>103</v>
      </c>
      <c r="B78" s="8">
        <v>7004695819</v>
      </c>
      <c r="C78" s="9" t="s">
        <v>105</v>
      </c>
      <c r="D78" s="10">
        <f>Orders!F78-Collection!H78</f>
        <v>5000</v>
      </c>
    </row>
    <row r="79" spans="1:4">
      <c r="A79" s="8" t="s">
        <v>103</v>
      </c>
      <c r="B79" s="8">
        <v>8789354609</v>
      </c>
      <c r="C79" s="9" t="s">
        <v>106</v>
      </c>
      <c r="D79" s="10">
        <f>Orders!F79-Collection!H79</f>
        <v>1000</v>
      </c>
    </row>
    <row r="80" hidden="1" spans="1:4">
      <c r="A80" s="8"/>
      <c r="B80" s="8"/>
      <c r="C80" s="9" t="s">
        <v>107</v>
      </c>
      <c r="D80" s="10">
        <f>Orders!F80-Collection!H80</f>
        <v>67000</v>
      </c>
    </row>
    <row r="81" spans="1:4">
      <c r="A81" s="8" t="s">
        <v>108</v>
      </c>
      <c r="B81" s="8">
        <v>8789783884</v>
      </c>
      <c r="C81" s="9" t="s">
        <v>109</v>
      </c>
      <c r="D81" s="10">
        <f>Orders!F81-Collection!H81</f>
        <v>2000</v>
      </c>
    </row>
    <row r="82" hidden="1" spans="1:4">
      <c r="A82" s="8"/>
      <c r="B82" s="8"/>
      <c r="C82" s="9" t="s">
        <v>110</v>
      </c>
      <c r="D82" s="10">
        <f>Orders!F82-Collection!H82</f>
        <v>0</v>
      </c>
    </row>
    <row r="83" spans="1:4">
      <c r="A83" s="8" t="s">
        <v>111</v>
      </c>
      <c r="B83" s="8">
        <v>7079312729</v>
      </c>
      <c r="C83" s="9" t="s">
        <v>112</v>
      </c>
      <c r="D83" s="10">
        <f>Orders!F83-Collection!H83</f>
        <v>2000</v>
      </c>
    </row>
    <row r="84" hidden="1" spans="1:4">
      <c r="A84" s="8"/>
      <c r="B84" s="8"/>
      <c r="C84" s="9" t="s">
        <v>113</v>
      </c>
      <c r="D84" s="10">
        <f>Orders!F84-Collection!H84</f>
        <v>0</v>
      </c>
    </row>
    <row r="85" spans="1:4">
      <c r="A85" s="8" t="s">
        <v>114</v>
      </c>
      <c r="B85" s="8">
        <v>7979068575</v>
      </c>
      <c r="C85" s="9" t="s">
        <v>115</v>
      </c>
      <c r="D85" s="10">
        <f>Orders!F85-Collection!H85</f>
        <v>5000</v>
      </c>
    </row>
    <row r="86" spans="1:4">
      <c r="A86" s="8" t="s">
        <v>114</v>
      </c>
      <c r="B86" s="8">
        <v>9934079439</v>
      </c>
      <c r="C86" s="9" t="s">
        <v>116</v>
      </c>
      <c r="D86" s="10">
        <f>Orders!F86-Collection!H86</f>
        <v>5000</v>
      </c>
    </row>
    <row r="87" hidden="1" spans="1:4">
      <c r="A87" s="8" t="s">
        <v>114</v>
      </c>
      <c r="B87" s="8">
        <v>7903552643</v>
      </c>
      <c r="C87" s="9" t="s">
        <v>117</v>
      </c>
      <c r="D87" s="10">
        <f>Orders!F87-Collection!H87</f>
        <v>0</v>
      </c>
    </row>
    <row r="88" hidden="1" spans="1:4">
      <c r="A88" s="8" t="s">
        <v>118</v>
      </c>
      <c r="B88" s="8">
        <v>9911430509</v>
      </c>
      <c r="C88" s="9" t="s">
        <v>119</v>
      </c>
      <c r="D88" s="10">
        <f>Orders!F88-Collection!H88</f>
        <v>0</v>
      </c>
    </row>
    <row r="89" hidden="1" spans="1:4">
      <c r="A89" s="8"/>
      <c r="B89" s="8"/>
      <c r="C89" s="9" t="s">
        <v>120</v>
      </c>
      <c r="D89" s="10">
        <f>Orders!F89-Collection!H89</f>
        <v>0</v>
      </c>
    </row>
    <row r="90" spans="1:4">
      <c r="A90" s="8" t="s">
        <v>23</v>
      </c>
      <c r="B90" s="8">
        <v>9905739212</v>
      </c>
      <c r="C90" s="9" t="s">
        <v>121</v>
      </c>
      <c r="D90" s="10">
        <f>Orders!F90-Collection!H90</f>
        <v>1000</v>
      </c>
    </row>
    <row r="91" hidden="1" spans="1:4">
      <c r="A91" s="8"/>
      <c r="B91" s="8"/>
      <c r="C91" s="9" t="s">
        <v>122</v>
      </c>
      <c r="D91" s="10">
        <f>Orders!F91-Collection!H91</f>
        <v>0</v>
      </c>
    </row>
    <row r="92" spans="1:4">
      <c r="A92" s="8"/>
      <c r="B92" s="8">
        <v>9015378357</v>
      </c>
      <c r="C92" s="9" t="s">
        <v>123</v>
      </c>
      <c r="D92" s="10">
        <f>Orders!F92-Collection!H92</f>
        <v>4000</v>
      </c>
    </row>
    <row r="93" hidden="1" spans="1:4">
      <c r="A93" s="8"/>
      <c r="B93" s="8"/>
      <c r="C93" s="9" t="s">
        <v>124</v>
      </c>
      <c r="D93" s="10">
        <f>Orders!F93-Collection!H93</f>
        <v>0</v>
      </c>
    </row>
    <row r="94" spans="1:4">
      <c r="A94" s="8"/>
      <c r="B94" s="8">
        <v>7254967519</v>
      </c>
      <c r="C94" s="9" t="s">
        <v>126</v>
      </c>
      <c r="D94" s="10">
        <f>Orders!F94-Collection!H94</f>
        <v>3000</v>
      </c>
    </row>
    <row r="95" hidden="1" spans="1:4">
      <c r="A95" s="8"/>
      <c r="B95" s="8"/>
      <c r="C95" s="9" t="s">
        <v>127</v>
      </c>
      <c r="D95" s="10">
        <f>Orders!F95-Collection!H95</f>
        <v>0</v>
      </c>
    </row>
    <row r="96" hidden="1" spans="1:4">
      <c r="A96" s="8"/>
      <c r="B96" s="8"/>
      <c r="C96" s="9" t="s">
        <v>128</v>
      </c>
      <c r="D96" s="10">
        <f>Orders!F96-Collection!H96</f>
        <v>0</v>
      </c>
    </row>
  </sheetData>
  <autoFilter ref="A1:D96">
    <filterColumn colId="3">
      <filters>
        <filter val="1000"/>
        <filter val="1100"/>
        <filter val="2000"/>
        <filter val="3000"/>
        <filter val="4000"/>
        <filter val="5000"/>
        <filter val="6000"/>
        <filter val="7000"/>
        <filter val="8300"/>
        <filter val="8500"/>
        <filter val="10000"/>
        <filter val="17000"/>
        <filter val="279900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Collection</vt:lpstr>
      <vt:lpstr>AmtToCollect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2021-02-14T14:04:00Z</dcterms:created>
  <dcterms:modified xsi:type="dcterms:W3CDTF">2021-06-01T02:14:29Z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  <property fmtid="{D5CDD505-2E9C-101B-9397-08002B2CF9AE}" pid="3" name="KSOReadingLayout">
    <vt:bool>true</vt:bool>
  </property>
</Properties>
</file>