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N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S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2080Auto</t>
        </r>
      </text>
    </comment>
    <comment ref="T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A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C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O2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S2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D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AA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1500-Digital
1500-Cash</t>
        </r>
      </text>
    </comment>
    <comment ref="AJ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1500-Digital
500-Cash</t>
        </r>
      </text>
    </comment>
    <comment ref="AH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9000-Digital
1000-Digital</t>
        </r>
      </text>
    </comment>
    <comment ref="N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X1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Udhari</t>
        </r>
      </text>
    </comment>
    <comment ref="AH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O3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800-Cash
200-Digital</t>
        </r>
      </text>
    </comment>
    <comment ref="K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3000-Digital</t>
        </r>
      </text>
    </comment>
    <comment ref="Q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X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1000-Cash</t>
        </r>
      </text>
    </comment>
    <comment ref="AB3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1500-Digital
500-Cash</t>
        </r>
      </text>
    </comment>
    <comment ref="AJ3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1500-Digital</t>
        </r>
      </text>
    </comment>
    <comment ref="U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3500-Cash</t>
        </r>
      </text>
    </comment>
    <comment ref="AE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5500-Digital
500-Digital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  <comment ref="AI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1000-Digital
100-Digital
900-Cash</t>
        </r>
      </text>
    </comment>
    <comment ref="AJ9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2000-Digital</t>
        </r>
      </text>
    </comment>
  </commentList>
</comments>
</file>

<file path=xl/sharedStrings.xml><?xml version="1.0" encoding="utf-8"?>
<sst xmlns="http://schemas.openxmlformats.org/spreadsheetml/2006/main" count="657" uniqueCount="186">
  <si>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</si>
  <si>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</si>
  <si>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</si>
  <si>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</si>
  <si>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</si>
  <si>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</si>
  <si>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</si>
  <si>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</si>
  <si>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</si>
  <si>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</si>
  <si>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</si>
  <si>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</si>
  <si>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</si>
  <si>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</si>
  <si>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</si>
  <si>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</si>
  <si>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</si>
  <si>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</si>
  <si>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</si>
  <si>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</si>
  <si>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</si>
  <si>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</si>
  <si>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</si>
  <si>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</si>
  <si>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</si>
  <si>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</si>
  <si>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</si>
  <si>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</si>
  <si>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</si>
  <si>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</si>
  <si>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</si>
  <si>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</si>
  <si>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</si>
  <si>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</si>
  <si>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</si>
  <si>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</si>
  <si>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</si>
  <si>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</si>
  <si>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</si>
  <si>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</si>
  <si>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</si>
  <si>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</si>
  <si>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</si>
  <si>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</si>
  <si>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</si>
  <si>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</si>
  <si>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</si>
  <si>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</si>
  <si>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</si>
  <si>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</si>
  <si>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</si>
  <si>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</si>
  <si>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</si>
  <si>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</si>
  <si>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</si>
  <si>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</si>
  <si>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</si>
  <si>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</si>
  <si>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</si>
  <si>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</si>
  <si>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</si>
  <si>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</si>
  <si>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</si>
  <si>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</si>
  <si>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</si>
  <si>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</si>
  <si>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</si>
  <si>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</si>
  <si>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</si>
  <si>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</si>
  <si>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</si>
  <si>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</si>
  <si>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</si>
  <si>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</si>
  <si>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</si>
  <si>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</si>
  <si>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</si>
  <si>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</si>
  <si>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</si>
  <si>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</si>
  <si>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</si>
  <si>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</si>
  <si>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</si>
  <si>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</si>
  <si>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</si>
  <si>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</si>
  <si>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</si>
  <si>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</si>
  <si>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</si>
  <si>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</si>
  <si>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</si>
  <si>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</si>
  <si>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</si>
  <si>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</si>
  <si>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</si>
  <si>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</si>
  <si>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</si>
  <si>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</si>
  <si>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</si>
  <si>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</si>
  <si>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</si>
  <si>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</si>
  <si>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</si>
  <si>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</si>
  <si>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</si>
  <si>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</si>
  <si>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</si>
  <si>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</si>
  <si>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</si>
  <si>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</si>
  <si>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</si>
  <si>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</si>
  <si>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</si>
  <si>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</si>
  <si>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</si>
  <si>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</si>
  <si>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</si>
  <si>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</si>
  <si>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</si>
  <si>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</si>
  <si>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</si>
  <si>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</si>
  <si>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</si>
  <si>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</si>
  <si>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</si>
  <si>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</si>
  <si>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</si>
  <si>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</si>
  <si>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</si>
  <si>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</si>
  <si>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</si>
  <si>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</si>
  <si>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</si>
  <si>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</si>
  <si>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</si>
  <si>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</si>
  <si>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</si>
  <si>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</si>
  <si>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</si>
  <si>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Vikas Amir Bigha</t>
  </si>
  <si>
    <t>Ranveer/Rina</t>
  </si>
  <si>
    <t>Sailesh</t>
  </si>
  <si>
    <t>Ajay 9939757903</t>
  </si>
  <si>
    <t>Aarti 9523733118</t>
  </si>
  <si>
    <t>Rajnish Kr 9708003669</t>
  </si>
  <si>
    <t>Shantnu Kr.</t>
  </si>
  <si>
    <t>Munna Kr.(PNB)</t>
  </si>
  <si>
    <t>Nitish Kr.</t>
  </si>
  <si>
    <t>Basant Kr.</t>
  </si>
  <si>
    <t>Basant Kr./SHREE</t>
  </si>
  <si>
    <t>Binay Lal</t>
  </si>
  <si>
    <t>Sonu/Rupa 9708329918</t>
  </si>
  <si>
    <t>PK</t>
  </si>
  <si>
    <t>8709954402/6207783075</t>
  </si>
  <si>
    <t>HARENDRA</t>
  </si>
  <si>
    <t>CHANDAN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</si>
  <si>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</si>
  <si>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</si>
  <si>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</si>
  <si>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</si>
  <si>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</si>
  <si>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</si>
  <si>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</si>
  <si>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</si>
  <si>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</si>
  <si>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</si>
  <si>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</si>
  <si>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</si>
  <si>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</si>
  <si>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Munna Kr.(UCO)</t>
  </si>
  <si>
    <t>D.K.</t>
  </si>
  <si>
    <t>Rajiv Kr/ Rajeev Kamal</t>
  </si>
  <si>
    <t>RAVINDRA /Rajiv Kr/ Rajeev Kamal</t>
  </si>
  <si>
    <t>Brajesh Kr.</t>
  </si>
  <si>
    <t>Chandan Kr</t>
  </si>
  <si>
    <t>Chandan Kr UCO</t>
  </si>
  <si>
    <t>Sunil Kr./Gudiya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</si>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</sst>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1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5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0" fillId="18" borderId="3" applyNumberFormat="0" applyFon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30" borderId="7" applyNumberFormat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3" fillId="27" borderId="6" applyNumberFormat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6" fillId="27" borderId="7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3" fillId="43" borderId="0" applyNumberFormat="0" applyBorder="0" applyAlignment="0" applyProtection="0">
      <alignment vertical="center"/>
    </xf>
    <xf numFmtId="0" fontId="6" fillId="40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42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9" borderId="0" xfId="0" applyFont="1" applyFill="1" applyAlignment="1" applyProtection="1">
      <alignment horizontal="left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9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0" fontId="0" fillId="12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12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AJ27" activePane="bottomRight" state="frozen"/>
      <selection/>
      <selection pane="topRight"/>
      <selection pane="bottomLeft"/>
      <selection pane="bottomRight" activeCell="AM28" sqref="AM28"/>
    </sheetView>
  </sheetViews>
  <sheetFormatPr defaultColWidth="9.14285714285714" defaultRowHeight="15"/>
  <cols>
    <col min="1" max="1" width="5.71428571428571" style="10" customWidth="1"/>
    <col min="2" max="3" width="11.5714285714286" style="10" customWidth="1"/>
    <col min="4" max="4" width="15" style="10" customWidth="1"/>
    <col min="5" max="5" width="51.1428571428571" style="10" customWidth="1"/>
    <col min="6" max="6" width="21.8571428571429" style="10" customWidth="1"/>
    <col min="7" max="7" width="11" style="10" customWidth="1"/>
    <col min="8" max="8" width="20" style="24" customWidth="1"/>
    <col min="9" max="16384" width="9.14285714285714" style="10"/>
  </cols>
  <sheetData>
    <row r="1" s="11" customFormat="1" spans="1:45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6" t="s">
        <v>7</v>
      </c>
      <c r="I1" s="34">
        <v>44256</v>
      </c>
      <c r="J1" s="34">
        <v>44257</v>
      </c>
      <c r="K1" s="34">
        <v>44258</v>
      </c>
      <c r="L1" s="34">
        <v>44259</v>
      </c>
      <c r="M1" s="34">
        <v>44260</v>
      </c>
      <c r="N1" s="34">
        <v>44261</v>
      </c>
      <c r="O1" s="34">
        <v>44262</v>
      </c>
      <c r="P1" s="34">
        <v>44263</v>
      </c>
      <c r="Q1" s="34">
        <v>44264</v>
      </c>
      <c r="R1" s="34">
        <v>44265</v>
      </c>
      <c r="S1" s="34">
        <v>44266</v>
      </c>
      <c r="T1" s="34">
        <v>44267</v>
      </c>
      <c r="U1" s="34">
        <v>44268</v>
      </c>
      <c r="V1" s="34">
        <v>44269</v>
      </c>
      <c r="W1" s="34">
        <v>44270</v>
      </c>
      <c r="X1" s="34">
        <v>44271</v>
      </c>
      <c r="Y1" s="34">
        <v>44272</v>
      </c>
      <c r="Z1" s="34">
        <v>44273</v>
      </c>
      <c r="AA1" s="34">
        <v>44274</v>
      </c>
      <c r="AB1" s="34">
        <v>44275</v>
      </c>
      <c r="AC1" s="34">
        <v>44276</v>
      </c>
      <c r="AD1" s="34">
        <v>44277</v>
      </c>
      <c r="AE1" s="34">
        <v>44278</v>
      </c>
      <c r="AF1" s="34">
        <v>44279</v>
      </c>
      <c r="AG1" s="34">
        <v>44280</v>
      </c>
      <c r="AH1" s="34">
        <v>44281</v>
      </c>
      <c r="AI1" s="34">
        <v>44282</v>
      </c>
      <c r="AJ1" s="34">
        <v>44283</v>
      </c>
      <c r="AK1" s="34">
        <v>44284</v>
      </c>
      <c r="AL1" s="34">
        <v>44285</v>
      </c>
      <c r="AM1" s="34">
        <v>44286</v>
      </c>
      <c r="AN1" s="38"/>
      <c r="AO1" s="38"/>
      <c r="AP1" s="38"/>
      <c r="AQ1" s="38"/>
      <c r="AR1" s="38"/>
      <c r="AS1" s="38"/>
    </row>
    <row r="2" s="11" customFormat="1" spans="1:39">
      <c r="A2" s="13"/>
      <c r="B2" s="27">
        <f>SUM(F3:F121)</f>
        <v>1409400</v>
      </c>
      <c r="D2" s="14">
        <f>SUM(G3:G121)</f>
        <v>1284920</v>
      </c>
      <c r="E2" s="15" t="s">
        <v>8</v>
      </c>
      <c r="F2" s="28">
        <f>G2/1.04+H2</f>
        <v>1409400</v>
      </c>
      <c r="G2" s="14">
        <f t="shared" ref="G2:G65" si="0">SUM(I2:AM2)</f>
        <v>1284920</v>
      </c>
      <c r="H2" s="29">
        <f t="shared" ref="H2:AM2" si="1">SUM(H3:H121)</f>
        <v>173900</v>
      </c>
      <c r="I2" s="11">
        <f t="shared" si="1"/>
        <v>44720</v>
      </c>
      <c r="J2" s="11">
        <f t="shared" si="1"/>
        <v>49920</v>
      </c>
      <c r="K2" s="11">
        <f t="shared" si="1"/>
        <v>38480</v>
      </c>
      <c r="L2" s="11">
        <f t="shared" si="1"/>
        <v>54080</v>
      </c>
      <c r="M2" s="11">
        <f t="shared" si="1"/>
        <v>60320</v>
      </c>
      <c r="N2" s="11">
        <f t="shared" si="1"/>
        <v>41600</v>
      </c>
      <c r="O2" s="11">
        <f t="shared" si="1"/>
        <v>45760</v>
      </c>
      <c r="P2" s="11">
        <f t="shared" si="1"/>
        <v>46280</v>
      </c>
      <c r="Q2" s="11">
        <f t="shared" si="1"/>
        <v>52000</v>
      </c>
      <c r="R2" s="11">
        <f t="shared" si="1"/>
        <v>20800</v>
      </c>
      <c r="S2" s="11">
        <f t="shared" si="1"/>
        <v>65520</v>
      </c>
      <c r="T2" s="11">
        <f t="shared" si="1"/>
        <v>45760</v>
      </c>
      <c r="U2" s="11">
        <f t="shared" si="1"/>
        <v>42120</v>
      </c>
      <c r="V2" s="11">
        <f t="shared" si="1"/>
        <v>50960</v>
      </c>
      <c r="W2" s="11">
        <f t="shared" si="1"/>
        <v>44720</v>
      </c>
      <c r="X2" s="11">
        <f t="shared" si="1"/>
        <v>59280</v>
      </c>
      <c r="Y2" s="11">
        <f t="shared" si="1"/>
        <v>27040</v>
      </c>
      <c r="Z2" s="11">
        <f t="shared" si="1"/>
        <v>29120</v>
      </c>
      <c r="AA2" s="11">
        <f t="shared" si="1"/>
        <v>48880</v>
      </c>
      <c r="AB2" s="11">
        <f t="shared" si="1"/>
        <v>50960</v>
      </c>
      <c r="AC2" s="11">
        <f t="shared" si="1"/>
        <v>41600</v>
      </c>
      <c r="AD2" s="11">
        <f t="shared" si="1"/>
        <v>46800</v>
      </c>
      <c r="AE2" s="11">
        <f t="shared" si="1"/>
        <v>45760</v>
      </c>
      <c r="AF2" s="11">
        <f t="shared" si="1"/>
        <v>23920</v>
      </c>
      <c r="AG2" s="11">
        <f t="shared" si="1"/>
        <v>53040</v>
      </c>
      <c r="AH2" s="11">
        <f t="shared" si="1"/>
        <v>46800</v>
      </c>
      <c r="AI2" s="11">
        <f t="shared" si="1"/>
        <v>30160</v>
      </c>
      <c r="AJ2" s="11">
        <f t="shared" si="1"/>
        <v>44200</v>
      </c>
      <c r="AK2" s="11">
        <f t="shared" si="1"/>
        <v>31200</v>
      </c>
      <c r="AL2" s="11">
        <f t="shared" si="1"/>
        <v>3120</v>
      </c>
      <c r="AM2" s="11">
        <f t="shared" si="1"/>
        <v>0</v>
      </c>
    </row>
    <row r="3" s="10" customFormat="1" spans="1:36">
      <c r="A3" s="10">
        <v>1</v>
      </c>
      <c r="D3" s="10" t="s">
        <v>9</v>
      </c>
      <c r="E3" s="17" t="s">
        <v>10</v>
      </c>
      <c r="F3" s="11">
        <f t="shared" ref="F2:F18" si="2">G3/1.04+H3</f>
        <v>12000</v>
      </c>
      <c r="G3" s="11">
        <f t="shared" si="0"/>
        <v>12480</v>
      </c>
      <c r="H3" s="30">
        <v>0</v>
      </c>
      <c r="N3" s="10">
        <v>3120</v>
      </c>
      <c r="Z3" s="10">
        <v>3120</v>
      </c>
      <c r="AD3" s="10">
        <v>3120</v>
      </c>
      <c r="AJ3" s="10">
        <v>3120</v>
      </c>
    </row>
    <row r="4" s="10" customFormat="1" spans="1:34">
      <c r="A4" s="10">
        <v>2</v>
      </c>
      <c r="D4" s="10" t="s">
        <v>9</v>
      </c>
      <c r="E4" s="17" t="s">
        <v>11</v>
      </c>
      <c r="F4" s="11">
        <f t="shared" si="2"/>
        <v>5000</v>
      </c>
      <c r="G4" s="11">
        <f t="shared" si="0"/>
        <v>4160</v>
      </c>
      <c r="H4" s="30">
        <v>1000</v>
      </c>
      <c r="L4" s="10">
        <v>1040</v>
      </c>
      <c r="P4" s="10">
        <v>1040</v>
      </c>
      <c r="AB4" s="10">
        <v>1040</v>
      </c>
      <c r="AH4" s="10">
        <v>1040</v>
      </c>
    </row>
    <row r="5" s="10" customFormat="1" spans="1:32">
      <c r="A5" s="10">
        <v>3</v>
      </c>
      <c r="B5" s="10" t="s">
        <v>12</v>
      </c>
      <c r="D5" s="10" t="s">
        <v>9</v>
      </c>
      <c r="E5" s="17" t="s">
        <v>13</v>
      </c>
      <c r="F5" s="11">
        <f t="shared" si="2"/>
        <v>9500</v>
      </c>
      <c r="G5" s="11">
        <f t="shared" si="0"/>
        <v>7280</v>
      </c>
      <c r="H5" s="30">
        <v>2500</v>
      </c>
      <c r="J5" s="10">
        <v>1040</v>
      </c>
      <c r="K5" s="10">
        <v>1040</v>
      </c>
      <c r="N5" s="10">
        <v>2080</v>
      </c>
      <c r="P5" s="10">
        <v>1040</v>
      </c>
      <c r="R5" s="10">
        <v>1040</v>
      </c>
      <c r="AF5" s="10">
        <v>1040</v>
      </c>
    </row>
    <row r="6" s="10" customFormat="1" spans="1:34">
      <c r="A6" s="10">
        <v>4</v>
      </c>
      <c r="B6" s="10" t="s">
        <v>14</v>
      </c>
      <c r="D6" s="10" t="s">
        <v>9</v>
      </c>
      <c r="E6" s="17" t="s">
        <v>15</v>
      </c>
      <c r="F6" s="11">
        <f t="shared" si="2"/>
        <v>25500</v>
      </c>
      <c r="G6" s="11">
        <f t="shared" si="0"/>
        <v>26520</v>
      </c>
      <c r="H6" s="30">
        <v>0</v>
      </c>
      <c r="J6" s="10">
        <v>5200</v>
      </c>
      <c r="O6" s="10">
        <v>5200</v>
      </c>
      <c r="U6" s="37">
        <v>520</v>
      </c>
      <c r="V6" s="10">
        <v>5200</v>
      </c>
      <c r="AA6" s="10">
        <v>5200</v>
      </c>
      <c r="AH6" s="10">
        <v>5200</v>
      </c>
    </row>
    <row r="7" s="10" customFormat="1" spans="1:37">
      <c r="A7" s="10">
        <v>5</v>
      </c>
      <c r="B7" s="10" t="s">
        <v>16</v>
      </c>
      <c r="D7" s="10" t="s">
        <v>9</v>
      </c>
      <c r="E7" s="17" t="s">
        <v>17</v>
      </c>
      <c r="F7" s="11">
        <f t="shared" si="2"/>
        <v>74000</v>
      </c>
      <c r="G7" s="11">
        <f t="shared" si="0"/>
        <v>64480</v>
      </c>
      <c r="H7" s="30">
        <v>12000</v>
      </c>
      <c r="I7" s="10">
        <v>2080</v>
      </c>
      <c r="J7" s="10">
        <v>4160</v>
      </c>
      <c r="K7" s="10">
        <v>2080</v>
      </c>
      <c r="L7" s="10">
        <v>2080</v>
      </c>
      <c r="M7" s="10">
        <v>2080</v>
      </c>
      <c r="N7" s="10">
        <v>2080</v>
      </c>
      <c r="O7" s="10">
        <v>2080</v>
      </c>
      <c r="P7" s="10">
        <v>2080</v>
      </c>
      <c r="Q7" s="10">
        <v>2080</v>
      </c>
      <c r="R7" s="10">
        <v>2080</v>
      </c>
      <c r="S7" s="10">
        <v>4160</v>
      </c>
      <c r="T7" s="10">
        <v>4160</v>
      </c>
      <c r="V7" s="10">
        <v>2080</v>
      </c>
      <c r="W7" s="10">
        <v>2080</v>
      </c>
      <c r="Y7" s="10">
        <v>2080</v>
      </c>
      <c r="Z7" s="10">
        <v>2080</v>
      </c>
      <c r="AA7" s="10">
        <v>4160</v>
      </c>
      <c r="AC7" s="10">
        <v>4160</v>
      </c>
      <c r="AD7" s="10">
        <v>2080</v>
      </c>
      <c r="AE7" s="10">
        <v>2080</v>
      </c>
      <c r="AF7" s="10">
        <v>2080</v>
      </c>
      <c r="AG7" s="10">
        <v>4160</v>
      </c>
      <c r="AJ7" s="10">
        <v>2080</v>
      </c>
      <c r="AK7" s="10">
        <v>4160</v>
      </c>
    </row>
    <row r="8" s="10" customFormat="1" spans="1:34">
      <c r="A8" s="10">
        <v>6</v>
      </c>
      <c r="B8" s="10" t="s">
        <v>18</v>
      </c>
      <c r="D8" s="10" t="s">
        <v>9</v>
      </c>
      <c r="E8" s="17" t="s">
        <v>19</v>
      </c>
      <c r="F8" s="11">
        <f t="shared" si="2"/>
        <v>10000</v>
      </c>
      <c r="G8" s="11">
        <f t="shared" si="0"/>
        <v>10400</v>
      </c>
      <c r="H8" s="30">
        <v>0</v>
      </c>
      <c r="J8" s="10">
        <v>2080</v>
      </c>
      <c r="O8" s="10">
        <v>2080</v>
      </c>
      <c r="T8" s="10">
        <v>2080</v>
      </c>
      <c r="Z8" s="10">
        <v>2080</v>
      </c>
      <c r="AH8" s="10">
        <v>2080</v>
      </c>
    </row>
    <row r="9" s="10" customFormat="1" spans="1:35">
      <c r="A9" s="10">
        <v>7</v>
      </c>
      <c r="D9" s="10" t="s">
        <v>9</v>
      </c>
      <c r="E9" s="17" t="s">
        <v>20</v>
      </c>
      <c r="F9" s="11">
        <f t="shared" si="2"/>
        <v>8000</v>
      </c>
      <c r="G9" s="11">
        <f t="shared" si="0"/>
        <v>8320</v>
      </c>
      <c r="H9" s="30">
        <v>0</v>
      </c>
      <c r="L9" s="10">
        <v>2080</v>
      </c>
      <c r="T9" s="10">
        <v>2080</v>
      </c>
      <c r="Y9" s="10">
        <v>2080</v>
      </c>
      <c r="AI9" s="10">
        <v>2080</v>
      </c>
    </row>
    <row r="10" s="10" customFormat="1" spans="1:35">
      <c r="A10" s="10">
        <v>8</v>
      </c>
      <c r="B10" s="10" t="s">
        <v>21</v>
      </c>
      <c r="D10" s="10" t="s">
        <v>9</v>
      </c>
      <c r="E10" s="17" t="s">
        <v>22</v>
      </c>
      <c r="F10" s="11">
        <f t="shared" si="2"/>
        <v>40000</v>
      </c>
      <c r="G10" s="11">
        <f t="shared" si="0"/>
        <v>41600</v>
      </c>
      <c r="H10" s="30">
        <v>0</v>
      </c>
      <c r="I10" s="10">
        <v>5200</v>
      </c>
      <c r="K10" s="10">
        <v>5200</v>
      </c>
      <c r="O10" s="10">
        <v>5200</v>
      </c>
      <c r="T10" s="10">
        <v>5200</v>
      </c>
      <c r="W10" s="10">
        <v>5200</v>
      </c>
      <c r="AA10" s="10">
        <v>5200</v>
      </c>
      <c r="AE10" s="10">
        <v>5200</v>
      </c>
      <c r="AI10" s="10">
        <v>5200</v>
      </c>
    </row>
    <row r="11" s="10" customFormat="1" spans="1:32">
      <c r="A11" s="10">
        <v>9</v>
      </c>
      <c r="D11" s="10" t="s">
        <v>23</v>
      </c>
      <c r="E11" s="17" t="s">
        <v>24</v>
      </c>
      <c r="F11" s="11">
        <f t="shared" si="2"/>
        <v>10000</v>
      </c>
      <c r="G11" s="11">
        <f t="shared" si="0"/>
        <v>10400</v>
      </c>
      <c r="H11" s="30">
        <v>0</v>
      </c>
      <c r="I11" s="10">
        <v>2080</v>
      </c>
      <c r="T11" s="10">
        <v>2080</v>
      </c>
      <c r="AA11" s="10">
        <v>2080</v>
      </c>
      <c r="AE11" s="10">
        <v>2080</v>
      </c>
      <c r="AF11" s="10">
        <v>2080</v>
      </c>
    </row>
    <row r="12" s="10" customFormat="1" spans="1:36">
      <c r="A12" s="10">
        <v>10</v>
      </c>
      <c r="D12" s="10" t="s">
        <v>23</v>
      </c>
      <c r="E12" s="17" t="s">
        <v>25</v>
      </c>
      <c r="F12" s="11">
        <f t="shared" si="2"/>
        <v>6000</v>
      </c>
      <c r="G12" s="11">
        <f t="shared" si="0"/>
        <v>6240</v>
      </c>
      <c r="H12" s="30">
        <v>0</v>
      </c>
      <c r="M12" s="10">
        <v>1040</v>
      </c>
      <c r="S12" s="10">
        <v>1040</v>
      </c>
      <c r="V12" s="10">
        <v>1040</v>
      </c>
      <c r="W12" s="10">
        <v>1040</v>
      </c>
      <c r="AD12" s="10">
        <v>1040</v>
      </c>
      <c r="AJ12" s="10">
        <v>1040</v>
      </c>
    </row>
    <row r="13" s="10" customFormat="1" spans="1:32">
      <c r="A13" s="10">
        <v>11</v>
      </c>
      <c r="D13" s="10" t="s">
        <v>23</v>
      </c>
      <c r="E13" s="17" t="s">
        <v>26</v>
      </c>
      <c r="F13" s="11">
        <f t="shared" si="2"/>
        <v>30000</v>
      </c>
      <c r="G13" s="11">
        <f t="shared" si="0"/>
        <v>31200</v>
      </c>
      <c r="H13" s="30">
        <v>0</v>
      </c>
      <c r="J13" s="10">
        <v>5200</v>
      </c>
      <c r="M13" s="10">
        <v>5200</v>
      </c>
      <c r="S13" s="10">
        <v>5200</v>
      </c>
      <c r="Y13" s="10">
        <v>5200</v>
      </c>
      <c r="AB13" s="10">
        <v>5200</v>
      </c>
      <c r="AF13" s="10">
        <v>5200</v>
      </c>
    </row>
    <row r="14" s="10" customFormat="1" spans="1:37">
      <c r="A14" s="10">
        <v>12</v>
      </c>
      <c r="D14" s="10" t="s">
        <v>23</v>
      </c>
      <c r="E14" s="17" t="s">
        <v>27</v>
      </c>
      <c r="F14" s="11">
        <f t="shared" si="2"/>
        <v>57000</v>
      </c>
      <c r="G14" s="11">
        <f t="shared" si="0"/>
        <v>54080</v>
      </c>
      <c r="H14" s="30">
        <v>5000</v>
      </c>
      <c r="J14" s="10">
        <v>5200</v>
      </c>
      <c r="L14" s="10">
        <v>5200</v>
      </c>
      <c r="O14" s="10">
        <v>5200</v>
      </c>
      <c r="Q14" s="10">
        <v>5200</v>
      </c>
      <c r="U14" s="10">
        <v>5200</v>
      </c>
      <c r="W14" s="10">
        <v>5200</v>
      </c>
      <c r="AB14" s="10">
        <v>5200</v>
      </c>
      <c r="AD14" s="10">
        <v>5200</v>
      </c>
      <c r="AG14" s="10">
        <v>5200</v>
      </c>
      <c r="AJ14" s="37">
        <v>2080</v>
      </c>
      <c r="AK14" s="37">
        <v>5200</v>
      </c>
    </row>
    <row r="15" s="10" customFormat="1" spans="1:34">
      <c r="A15" s="10">
        <v>13</v>
      </c>
      <c r="B15" s="10" t="s">
        <v>28</v>
      </c>
      <c r="D15" s="10" t="s">
        <v>23</v>
      </c>
      <c r="E15" s="17" t="s">
        <v>29</v>
      </c>
      <c r="F15" s="11">
        <f t="shared" si="2"/>
        <v>16000</v>
      </c>
      <c r="G15" s="11">
        <f t="shared" si="0"/>
        <v>14560</v>
      </c>
      <c r="H15" s="30">
        <v>2000</v>
      </c>
      <c r="K15" s="10">
        <v>2080</v>
      </c>
      <c r="O15" s="10">
        <v>2080</v>
      </c>
      <c r="Q15" s="10">
        <v>2080</v>
      </c>
      <c r="V15" s="10">
        <v>2080</v>
      </c>
      <c r="AA15" s="10">
        <v>2080</v>
      </c>
      <c r="AE15" s="10">
        <v>2080</v>
      </c>
      <c r="AH15" s="10">
        <v>2080</v>
      </c>
    </row>
    <row r="16" s="10" customFormat="1" spans="1:35">
      <c r="A16" s="10">
        <v>14</v>
      </c>
      <c r="D16" s="10" t="s">
        <v>23</v>
      </c>
      <c r="E16" s="17" t="s">
        <v>30</v>
      </c>
      <c r="F16" s="11">
        <f t="shared" si="2"/>
        <v>6000</v>
      </c>
      <c r="G16" s="11">
        <f t="shared" si="0"/>
        <v>4160</v>
      </c>
      <c r="H16" s="30">
        <v>2000</v>
      </c>
      <c r="L16" s="10">
        <v>1040</v>
      </c>
      <c r="T16" s="10">
        <v>1040</v>
      </c>
      <c r="W16" s="37">
        <v>1040</v>
      </c>
      <c r="AI16" s="37">
        <v>1040</v>
      </c>
    </row>
    <row r="17" s="10" customFormat="1" spans="1:22">
      <c r="A17" s="10">
        <v>15</v>
      </c>
      <c r="B17" s="23" t="s">
        <v>31</v>
      </c>
      <c r="D17" s="10" t="s">
        <v>23</v>
      </c>
      <c r="E17" s="17" t="s">
        <v>32</v>
      </c>
      <c r="F17" s="11">
        <f t="shared" si="2"/>
        <v>4000</v>
      </c>
      <c r="G17" s="11">
        <f t="shared" si="0"/>
        <v>2080</v>
      </c>
      <c r="H17" s="30">
        <v>2000</v>
      </c>
      <c r="J17" s="10">
        <v>1040</v>
      </c>
      <c r="V17" s="10">
        <v>1040</v>
      </c>
    </row>
    <row r="18" s="10" customFormat="1" spans="1:27">
      <c r="A18" s="10">
        <v>16</v>
      </c>
      <c r="B18" s="31" t="s">
        <v>33</v>
      </c>
      <c r="C18" s="10">
        <v>683909556</v>
      </c>
      <c r="D18" s="10" t="s">
        <v>23</v>
      </c>
      <c r="E18" s="32" t="s">
        <v>34</v>
      </c>
      <c r="F18" s="11">
        <f t="shared" si="2"/>
        <v>2000</v>
      </c>
      <c r="G18" s="11">
        <f t="shared" si="0"/>
        <v>1040</v>
      </c>
      <c r="H18" s="30">
        <v>1000</v>
      </c>
      <c r="I18" s="35"/>
      <c r="J18" s="35"/>
      <c r="K18" s="35"/>
      <c r="L18" s="35"/>
      <c r="M18" s="33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3">
        <v>1040</v>
      </c>
      <c r="Y18" s="35"/>
      <c r="Z18" s="35"/>
      <c r="AA18" s="35"/>
    </row>
    <row r="19" s="10" customFormat="1" spans="1:33">
      <c r="A19" s="10">
        <v>17</v>
      </c>
      <c r="D19" s="10" t="s">
        <v>23</v>
      </c>
      <c r="E19" s="17" t="s">
        <v>35</v>
      </c>
      <c r="F19" s="11">
        <f t="shared" ref="F19:F82" si="3">G19/1.04+H19</f>
        <v>13500</v>
      </c>
      <c r="G19" s="11">
        <f t="shared" si="0"/>
        <v>12480</v>
      </c>
      <c r="H19" s="30">
        <v>1500</v>
      </c>
      <c r="N19" s="10">
        <v>3120</v>
      </c>
      <c r="U19" s="10">
        <v>3120</v>
      </c>
      <c r="AA19" s="10">
        <v>3120</v>
      </c>
      <c r="AG19" s="10">
        <v>3120</v>
      </c>
    </row>
    <row r="20" s="10" customFormat="1" spans="1:33">
      <c r="A20" s="10">
        <v>18</v>
      </c>
      <c r="D20" s="10" t="s">
        <v>36</v>
      </c>
      <c r="E20" s="17" t="s">
        <v>37</v>
      </c>
      <c r="F20" s="11">
        <f t="shared" si="3"/>
        <v>30000</v>
      </c>
      <c r="G20" s="11">
        <f t="shared" si="0"/>
        <v>26000</v>
      </c>
      <c r="H20" s="30">
        <v>5000</v>
      </c>
      <c r="J20" s="10">
        <v>5200</v>
      </c>
      <c r="P20" s="10">
        <v>5200</v>
      </c>
      <c r="U20" s="10">
        <v>5200</v>
      </c>
      <c r="AC20" s="10">
        <v>5200</v>
      </c>
      <c r="AG20" s="10">
        <v>5200</v>
      </c>
    </row>
    <row r="21" s="10" customFormat="1" spans="1:36">
      <c r="A21" s="10">
        <v>19</v>
      </c>
      <c r="D21" s="10" t="s">
        <v>36</v>
      </c>
      <c r="E21" s="17" t="s">
        <v>38</v>
      </c>
      <c r="F21" s="11">
        <f t="shared" si="3"/>
        <v>15000</v>
      </c>
      <c r="G21" s="11">
        <f t="shared" si="0"/>
        <v>15600</v>
      </c>
      <c r="H21" s="30">
        <v>0</v>
      </c>
      <c r="K21" s="10">
        <v>2080</v>
      </c>
      <c r="M21" s="10">
        <v>2080</v>
      </c>
      <c r="S21" s="37">
        <v>1040</v>
      </c>
      <c r="U21" s="10">
        <v>2080</v>
      </c>
      <c r="Y21" s="10">
        <v>2080</v>
      </c>
      <c r="AA21" s="10">
        <v>2080</v>
      </c>
      <c r="AE21" s="10">
        <v>2080</v>
      </c>
      <c r="AJ21" s="10">
        <v>2080</v>
      </c>
    </row>
    <row r="22" s="10" customFormat="1" spans="1:34">
      <c r="A22" s="10">
        <v>20</v>
      </c>
      <c r="D22" s="10" t="s">
        <v>36</v>
      </c>
      <c r="E22" s="17" t="s">
        <v>39</v>
      </c>
      <c r="F22" s="11">
        <f t="shared" si="3"/>
        <v>10000</v>
      </c>
      <c r="G22" s="11">
        <f t="shared" si="0"/>
        <v>9360</v>
      </c>
      <c r="H22" s="30">
        <v>1000</v>
      </c>
      <c r="J22" s="10">
        <v>1040</v>
      </c>
      <c r="O22" s="10">
        <v>2080</v>
      </c>
      <c r="P22" s="10">
        <v>1040</v>
      </c>
      <c r="Y22" s="10">
        <v>1040</v>
      </c>
      <c r="AA22" s="10">
        <v>1040</v>
      </c>
      <c r="AD22" s="10">
        <v>1040</v>
      </c>
      <c r="AF22" s="10">
        <v>1040</v>
      </c>
      <c r="AH22" s="10">
        <v>1040</v>
      </c>
    </row>
    <row r="23" s="10" customFormat="1" spans="1:36">
      <c r="A23" s="10">
        <v>21</v>
      </c>
      <c r="D23" s="10" t="s">
        <v>36</v>
      </c>
      <c r="E23" s="17" t="s">
        <v>40</v>
      </c>
      <c r="F23" s="11">
        <f t="shared" si="3"/>
        <v>30000</v>
      </c>
      <c r="G23" s="11">
        <f t="shared" si="0"/>
        <v>26000</v>
      </c>
      <c r="H23" s="30">
        <v>5000</v>
      </c>
      <c r="M23" s="10">
        <v>5200</v>
      </c>
      <c r="Q23" s="10">
        <v>5200</v>
      </c>
      <c r="W23" s="10">
        <v>5200</v>
      </c>
      <c r="AE23" s="10">
        <v>5200</v>
      </c>
      <c r="AJ23" s="10">
        <v>5200</v>
      </c>
    </row>
    <row r="24" s="10" customFormat="1" spans="1:36">
      <c r="A24" s="10">
        <v>22</v>
      </c>
      <c r="D24" s="10" t="s">
        <v>36</v>
      </c>
      <c r="E24" s="17" t="s">
        <v>41</v>
      </c>
      <c r="F24" s="11">
        <f t="shared" si="3"/>
        <v>9000</v>
      </c>
      <c r="G24" s="11">
        <f t="shared" si="0"/>
        <v>9360</v>
      </c>
      <c r="H24" s="30">
        <v>0</v>
      </c>
      <c r="K24" s="10">
        <v>1040</v>
      </c>
      <c r="O24" s="10">
        <v>1040</v>
      </c>
      <c r="S24" s="10">
        <v>2080</v>
      </c>
      <c r="U24" s="10">
        <v>1040</v>
      </c>
      <c r="W24" s="10">
        <v>1040</v>
      </c>
      <c r="Z24" s="10">
        <v>1040</v>
      </c>
      <c r="AD24" s="10">
        <v>1040</v>
      </c>
      <c r="AJ24" s="10">
        <v>1040</v>
      </c>
    </row>
    <row r="25" s="10" customFormat="1" spans="1:36">
      <c r="A25" s="10">
        <v>23</v>
      </c>
      <c r="D25" s="10" t="s">
        <v>36</v>
      </c>
      <c r="E25" s="17" t="s">
        <v>42</v>
      </c>
      <c r="F25" s="11">
        <f t="shared" si="3"/>
        <v>15000</v>
      </c>
      <c r="G25" s="11">
        <f t="shared" si="0"/>
        <v>15600</v>
      </c>
      <c r="H25" s="30">
        <v>0</v>
      </c>
      <c r="J25" s="10">
        <v>3120</v>
      </c>
      <c r="L25" s="10">
        <v>3120</v>
      </c>
      <c r="S25" s="10">
        <v>3120</v>
      </c>
      <c r="V25" s="10">
        <v>3120</v>
      </c>
      <c r="AJ25" s="10">
        <v>3120</v>
      </c>
    </row>
    <row r="26" s="10" customFormat="1" spans="1:33">
      <c r="A26" s="10">
        <v>24</v>
      </c>
      <c r="D26" s="10" t="s">
        <v>36</v>
      </c>
      <c r="E26" s="17" t="s">
        <v>43</v>
      </c>
      <c r="F26" s="11">
        <f t="shared" si="3"/>
        <v>35000</v>
      </c>
      <c r="G26" s="11">
        <f t="shared" si="0"/>
        <v>36400</v>
      </c>
      <c r="H26" s="30">
        <v>0</v>
      </c>
      <c r="K26" s="10">
        <v>5200</v>
      </c>
      <c r="N26" s="10">
        <v>5200</v>
      </c>
      <c r="Q26" s="10">
        <v>5200</v>
      </c>
      <c r="V26" s="10">
        <v>5200</v>
      </c>
      <c r="X26" s="10">
        <v>5200</v>
      </c>
      <c r="AB26" s="10">
        <v>5200</v>
      </c>
      <c r="AG26" s="10">
        <v>5200</v>
      </c>
    </row>
    <row r="27" s="10" customFormat="1" spans="1:36">
      <c r="A27" s="10">
        <v>25</v>
      </c>
      <c r="D27" s="10" t="s">
        <v>36</v>
      </c>
      <c r="E27" s="17" t="s">
        <v>44</v>
      </c>
      <c r="F27" s="11">
        <f t="shared" si="3"/>
        <v>27000</v>
      </c>
      <c r="G27" s="11">
        <f t="shared" si="0"/>
        <v>24960</v>
      </c>
      <c r="H27" s="30">
        <v>3000</v>
      </c>
      <c r="J27" s="10">
        <v>3120</v>
      </c>
      <c r="M27" s="10">
        <v>3120</v>
      </c>
      <c r="S27" s="10">
        <v>3120</v>
      </c>
      <c r="X27" s="10">
        <v>3120</v>
      </c>
      <c r="AA27" s="10">
        <v>3120</v>
      </c>
      <c r="AC27" s="10">
        <v>3120</v>
      </c>
      <c r="AF27" s="10">
        <v>3120</v>
      </c>
      <c r="AJ27" s="10">
        <v>3120</v>
      </c>
    </row>
    <row r="28" s="10" customFormat="1" spans="1:33">
      <c r="A28" s="10">
        <v>26</v>
      </c>
      <c r="D28" s="10" t="s">
        <v>36</v>
      </c>
      <c r="E28" s="17" t="s">
        <v>45</v>
      </c>
      <c r="F28" s="11">
        <f t="shared" si="3"/>
        <v>12000</v>
      </c>
      <c r="G28" s="11">
        <f t="shared" si="0"/>
        <v>10400</v>
      </c>
      <c r="H28" s="30">
        <v>2000</v>
      </c>
      <c r="L28" s="10">
        <v>2080</v>
      </c>
      <c r="S28" s="10">
        <v>2080</v>
      </c>
      <c r="X28" s="10">
        <v>2080</v>
      </c>
      <c r="AC28" s="10">
        <v>2080</v>
      </c>
      <c r="AG28" s="10">
        <v>2080</v>
      </c>
    </row>
    <row r="29" s="10" customFormat="1" spans="1:23">
      <c r="A29" s="10">
        <v>27</v>
      </c>
      <c r="D29" s="10" t="s">
        <v>36</v>
      </c>
      <c r="E29" s="17" t="s">
        <v>46</v>
      </c>
      <c r="F29" s="11">
        <f t="shared" si="3"/>
        <v>4000</v>
      </c>
      <c r="G29" s="11">
        <f t="shared" si="0"/>
        <v>4160</v>
      </c>
      <c r="H29" s="30">
        <v>0</v>
      </c>
      <c r="P29" s="10">
        <v>2080</v>
      </c>
      <c r="W29" s="10">
        <v>2080</v>
      </c>
    </row>
    <row r="30" s="10" customFormat="1" spans="1:37">
      <c r="A30" s="10">
        <v>28</v>
      </c>
      <c r="D30" s="10" t="s">
        <v>36</v>
      </c>
      <c r="E30" s="17" t="s">
        <v>47</v>
      </c>
      <c r="F30" s="11">
        <f t="shared" si="3"/>
        <v>12000</v>
      </c>
      <c r="G30" s="11">
        <f t="shared" si="0"/>
        <v>10400</v>
      </c>
      <c r="H30" s="30">
        <v>2000</v>
      </c>
      <c r="L30" s="10">
        <v>2080</v>
      </c>
      <c r="Q30" s="10">
        <v>2080</v>
      </c>
      <c r="V30" s="10">
        <v>2080</v>
      </c>
      <c r="AB30" s="10">
        <v>2080</v>
      </c>
      <c r="AK30" s="10">
        <v>2080</v>
      </c>
    </row>
    <row r="31" s="10" customFormat="1" spans="1:31">
      <c r="A31" s="10">
        <v>29</v>
      </c>
      <c r="D31" s="10" t="s">
        <v>36</v>
      </c>
      <c r="E31" s="17" t="s">
        <v>48</v>
      </c>
      <c r="F31" s="11">
        <f t="shared" si="3"/>
        <v>20000</v>
      </c>
      <c r="G31" s="11">
        <f t="shared" si="0"/>
        <v>15600</v>
      </c>
      <c r="H31" s="30">
        <v>5000</v>
      </c>
      <c r="M31" s="10">
        <v>5200</v>
      </c>
      <c r="V31" s="10">
        <v>5200</v>
      </c>
      <c r="AE31" s="10">
        <v>5200</v>
      </c>
    </row>
    <row r="32" s="10" customFormat="1" spans="1:37">
      <c r="A32" s="10">
        <v>30</v>
      </c>
      <c r="D32" s="10" t="s">
        <v>36</v>
      </c>
      <c r="E32" s="17" t="s">
        <v>49</v>
      </c>
      <c r="F32" s="11">
        <f t="shared" si="3"/>
        <v>57000</v>
      </c>
      <c r="G32" s="11">
        <f t="shared" si="0"/>
        <v>59280</v>
      </c>
      <c r="H32" s="30">
        <v>0</v>
      </c>
      <c r="I32" s="10">
        <v>5200</v>
      </c>
      <c r="K32" s="36">
        <v>1040</v>
      </c>
      <c r="L32" s="10">
        <v>5200</v>
      </c>
      <c r="M32" s="10">
        <v>5200</v>
      </c>
      <c r="P32" s="10">
        <v>5200</v>
      </c>
      <c r="R32" s="10">
        <v>5200</v>
      </c>
      <c r="U32" s="10">
        <v>5200</v>
      </c>
      <c r="W32" s="10">
        <v>5200</v>
      </c>
      <c r="Z32" s="10">
        <v>5200</v>
      </c>
      <c r="AD32" s="10">
        <v>5200</v>
      </c>
      <c r="AG32" s="10">
        <v>5200</v>
      </c>
      <c r="AJ32" s="37">
        <v>1040</v>
      </c>
      <c r="AK32" s="10">
        <v>5200</v>
      </c>
    </row>
    <row r="33" s="10" customFormat="1" spans="1:34">
      <c r="A33" s="10">
        <v>31</v>
      </c>
      <c r="D33" s="10" t="s">
        <v>36</v>
      </c>
      <c r="E33" s="17" t="s">
        <v>50</v>
      </c>
      <c r="F33" s="11">
        <f t="shared" si="3"/>
        <v>9000</v>
      </c>
      <c r="G33" s="11">
        <f t="shared" si="0"/>
        <v>9360</v>
      </c>
      <c r="H33" s="30">
        <v>0</v>
      </c>
      <c r="K33" s="10">
        <v>2080</v>
      </c>
      <c r="Q33" s="10">
        <v>2080</v>
      </c>
      <c r="U33" s="10">
        <v>2080</v>
      </c>
      <c r="X33" s="37">
        <v>1040</v>
      </c>
      <c r="AH33" s="10">
        <v>2080</v>
      </c>
    </row>
    <row r="34" s="10" customFormat="1" spans="1:36">
      <c r="A34" s="10">
        <v>32</v>
      </c>
      <c r="D34" s="10" t="s">
        <v>51</v>
      </c>
      <c r="E34" s="17" t="s">
        <v>52</v>
      </c>
      <c r="F34" s="11">
        <f t="shared" si="3"/>
        <v>13000</v>
      </c>
      <c r="G34" s="11">
        <f t="shared" si="0"/>
        <v>11440</v>
      </c>
      <c r="H34" s="30">
        <v>2000</v>
      </c>
      <c r="K34" s="10">
        <v>1040</v>
      </c>
      <c r="M34" s="10">
        <v>1040</v>
      </c>
      <c r="P34" s="10">
        <v>1040</v>
      </c>
      <c r="R34" s="10">
        <v>1040</v>
      </c>
      <c r="U34" s="10">
        <v>1040</v>
      </c>
      <c r="V34" s="10">
        <v>1040</v>
      </c>
      <c r="W34" s="10">
        <v>1040</v>
      </c>
      <c r="Z34" s="10">
        <v>1040</v>
      </c>
      <c r="AC34" s="10">
        <v>1040</v>
      </c>
      <c r="AF34" s="10">
        <v>1040</v>
      </c>
      <c r="AJ34" s="10">
        <v>1040</v>
      </c>
    </row>
    <row r="35" s="10" customFormat="1" spans="1:35">
      <c r="A35" s="10">
        <v>33</v>
      </c>
      <c r="D35" s="10" t="s">
        <v>51</v>
      </c>
      <c r="E35" s="17" t="s">
        <v>53</v>
      </c>
      <c r="F35" s="11">
        <f t="shared" si="3"/>
        <v>8000</v>
      </c>
      <c r="G35" s="11">
        <f t="shared" si="0"/>
        <v>7280</v>
      </c>
      <c r="H35" s="30">
        <v>1000</v>
      </c>
      <c r="L35" s="10">
        <v>1040</v>
      </c>
      <c r="M35" s="10">
        <v>1040</v>
      </c>
      <c r="P35" s="10">
        <v>1040</v>
      </c>
      <c r="R35" s="10">
        <v>1040</v>
      </c>
      <c r="V35" s="10">
        <v>1040</v>
      </c>
      <c r="AC35" s="10">
        <v>1040</v>
      </c>
      <c r="AI35" s="10">
        <v>1040</v>
      </c>
    </row>
    <row r="36" s="10" customFormat="1" spans="1:10">
      <c r="A36" s="10">
        <v>34</v>
      </c>
      <c r="D36" s="10" t="s">
        <v>51</v>
      </c>
      <c r="E36" s="17" t="s">
        <v>54</v>
      </c>
      <c r="F36" s="11">
        <f t="shared" si="3"/>
        <v>2000</v>
      </c>
      <c r="G36" s="11">
        <f t="shared" si="0"/>
        <v>2080</v>
      </c>
      <c r="H36" s="30">
        <v>0</v>
      </c>
      <c r="J36" s="10">
        <v>2080</v>
      </c>
    </row>
    <row r="37" s="10" customFormat="1" spans="1:36">
      <c r="A37" s="10">
        <v>35</v>
      </c>
      <c r="D37" s="10" t="s">
        <v>51</v>
      </c>
      <c r="E37" s="17" t="s">
        <v>55</v>
      </c>
      <c r="F37" s="11">
        <f t="shared" si="3"/>
        <v>33000</v>
      </c>
      <c r="G37" s="11">
        <f t="shared" si="0"/>
        <v>31200</v>
      </c>
      <c r="H37" s="30">
        <v>3000</v>
      </c>
      <c r="I37" s="10">
        <v>3120</v>
      </c>
      <c r="L37" s="10">
        <v>3120</v>
      </c>
      <c r="Q37" s="10">
        <v>3120</v>
      </c>
      <c r="S37" s="10">
        <v>3120</v>
      </c>
      <c r="V37" s="10">
        <v>3120</v>
      </c>
      <c r="X37" s="10">
        <v>3120</v>
      </c>
      <c r="Y37" s="10">
        <v>3120</v>
      </c>
      <c r="AD37" s="10">
        <v>3120</v>
      </c>
      <c r="AI37" s="10">
        <v>3120</v>
      </c>
      <c r="AJ37" s="10">
        <v>3120</v>
      </c>
    </row>
    <row r="38" s="10" customFormat="1" spans="1:8">
      <c r="A38" s="10">
        <v>36</v>
      </c>
      <c r="D38" s="10" t="s">
        <v>51</v>
      </c>
      <c r="E38" s="17" t="s">
        <v>56</v>
      </c>
      <c r="F38" s="11">
        <f t="shared" si="3"/>
        <v>0</v>
      </c>
      <c r="G38" s="11">
        <f t="shared" si="0"/>
        <v>0</v>
      </c>
      <c r="H38" s="30">
        <v>0</v>
      </c>
    </row>
    <row r="39" s="10" customFormat="1" spans="1:35">
      <c r="A39" s="10">
        <v>37</v>
      </c>
      <c r="D39" s="10" t="s">
        <v>51</v>
      </c>
      <c r="E39" s="17" t="s">
        <v>57</v>
      </c>
      <c r="F39" s="11">
        <f t="shared" si="3"/>
        <v>15000</v>
      </c>
      <c r="G39" s="11">
        <f t="shared" si="0"/>
        <v>15600</v>
      </c>
      <c r="H39" s="30">
        <v>0</v>
      </c>
      <c r="N39" s="10">
        <v>3120</v>
      </c>
      <c r="S39" s="10">
        <v>3120</v>
      </c>
      <c r="AA39" s="10">
        <v>3120</v>
      </c>
      <c r="AD39" s="10">
        <v>3120</v>
      </c>
      <c r="AI39" s="10">
        <v>3120</v>
      </c>
    </row>
    <row r="40" s="10" customFormat="1" spans="1:36">
      <c r="A40" s="10">
        <v>38</v>
      </c>
      <c r="C40" s="10">
        <v>684087396</v>
      </c>
      <c r="D40" s="10" t="s">
        <v>51</v>
      </c>
      <c r="E40" s="17" t="s">
        <v>58</v>
      </c>
      <c r="F40" s="11">
        <f t="shared" si="3"/>
        <v>5500</v>
      </c>
      <c r="G40" s="11">
        <f t="shared" si="0"/>
        <v>5720</v>
      </c>
      <c r="H40" s="30">
        <v>0</v>
      </c>
      <c r="T40" s="10">
        <v>2080</v>
      </c>
      <c r="AB40" s="37">
        <v>2080</v>
      </c>
      <c r="AJ40" s="10">
        <v>1560</v>
      </c>
    </row>
    <row r="41" s="10" customFormat="1" spans="1:19">
      <c r="A41" s="10">
        <v>39</v>
      </c>
      <c r="D41" s="10" t="s">
        <v>51</v>
      </c>
      <c r="E41" s="17" t="s">
        <v>59</v>
      </c>
      <c r="F41" s="11">
        <f t="shared" si="3"/>
        <v>6000</v>
      </c>
      <c r="G41" s="11">
        <f t="shared" si="0"/>
        <v>4160</v>
      </c>
      <c r="H41" s="30">
        <v>2000</v>
      </c>
      <c r="O41" s="10">
        <v>2080</v>
      </c>
      <c r="S41" s="10">
        <v>2080</v>
      </c>
    </row>
    <row r="42" s="10" customFormat="1" spans="1:36">
      <c r="A42" s="10">
        <v>40</v>
      </c>
      <c r="D42" s="10" t="s">
        <v>51</v>
      </c>
      <c r="E42" s="17" t="s">
        <v>60</v>
      </c>
      <c r="F42" s="11">
        <f t="shared" si="3"/>
        <v>10000</v>
      </c>
      <c r="G42" s="11">
        <f t="shared" si="0"/>
        <v>10400</v>
      </c>
      <c r="H42" s="30">
        <v>0</v>
      </c>
      <c r="M42" s="10">
        <v>2080</v>
      </c>
      <c r="S42" s="10">
        <v>2080</v>
      </c>
      <c r="AA42" s="10">
        <v>2080</v>
      </c>
      <c r="AE42" s="10">
        <v>2080</v>
      </c>
      <c r="AJ42" s="10">
        <v>2080</v>
      </c>
    </row>
    <row r="43" s="10" customFormat="1" spans="1:33">
      <c r="A43" s="10">
        <v>41</v>
      </c>
      <c r="D43" s="10" t="s">
        <v>51</v>
      </c>
      <c r="E43" s="17" t="s">
        <v>61</v>
      </c>
      <c r="F43" s="11">
        <f t="shared" si="3"/>
        <v>39000</v>
      </c>
      <c r="G43" s="11">
        <f t="shared" si="0"/>
        <v>37440</v>
      </c>
      <c r="H43" s="30">
        <v>3000</v>
      </c>
      <c r="I43" s="10">
        <v>3120</v>
      </c>
      <c r="L43" s="10">
        <v>3120</v>
      </c>
      <c r="N43" s="10">
        <v>3120</v>
      </c>
      <c r="O43" s="10">
        <v>3120</v>
      </c>
      <c r="Q43" s="10">
        <v>3120</v>
      </c>
      <c r="T43" s="10">
        <v>3120</v>
      </c>
      <c r="U43" s="10">
        <v>3120</v>
      </c>
      <c r="X43" s="10">
        <v>3120</v>
      </c>
      <c r="Z43" s="10">
        <v>3120</v>
      </c>
      <c r="AB43" s="10">
        <v>3120</v>
      </c>
      <c r="AE43" s="10">
        <v>3120</v>
      </c>
      <c r="AG43" s="10">
        <v>3120</v>
      </c>
    </row>
    <row r="44" s="10" customFormat="1" spans="1:19">
      <c r="A44" s="10">
        <v>42</v>
      </c>
      <c r="D44" s="10" t="s">
        <v>51</v>
      </c>
      <c r="E44" s="17" t="s">
        <v>62</v>
      </c>
      <c r="F44" s="11">
        <f t="shared" si="3"/>
        <v>2000</v>
      </c>
      <c r="G44" s="11">
        <f t="shared" si="0"/>
        <v>2080</v>
      </c>
      <c r="H44" s="30">
        <v>0</v>
      </c>
      <c r="S44" s="10">
        <v>2080</v>
      </c>
    </row>
    <row r="45" s="10" customFormat="1" spans="1:37">
      <c r="A45" s="10">
        <v>43</v>
      </c>
      <c r="D45" s="10" t="s">
        <v>51</v>
      </c>
      <c r="E45" s="17" t="s">
        <v>63</v>
      </c>
      <c r="F45" s="11">
        <f t="shared" si="3"/>
        <v>27000</v>
      </c>
      <c r="G45" s="11">
        <f t="shared" si="0"/>
        <v>28080</v>
      </c>
      <c r="H45" s="30">
        <v>0</v>
      </c>
      <c r="I45" s="10">
        <v>3120</v>
      </c>
      <c r="K45" s="10">
        <v>3120</v>
      </c>
      <c r="N45" s="10">
        <v>3120</v>
      </c>
      <c r="Q45" s="10">
        <v>3120</v>
      </c>
      <c r="S45" s="10">
        <v>3120</v>
      </c>
      <c r="X45" s="10">
        <v>3120</v>
      </c>
      <c r="AC45" s="10">
        <v>3120</v>
      </c>
      <c r="AE45" s="10">
        <v>3120</v>
      </c>
      <c r="AK45" s="10">
        <v>3120</v>
      </c>
    </row>
    <row r="46" s="10" customFormat="1" spans="1:38">
      <c r="A46" s="10">
        <v>44</v>
      </c>
      <c r="D46" s="10" t="s">
        <v>64</v>
      </c>
      <c r="E46" s="17" t="s">
        <v>65</v>
      </c>
      <c r="F46" s="11">
        <f t="shared" si="3"/>
        <v>18000</v>
      </c>
      <c r="G46" s="11">
        <f t="shared" si="0"/>
        <v>18720</v>
      </c>
      <c r="H46" s="30">
        <v>0</v>
      </c>
      <c r="M46" s="10">
        <v>3120</v>
      </c>
      <c r="Q46" s="10">
        <v>3120</v>
      </c>
      <c r="S46" s="10">
        <v>3120</v>
      </c>
      <c r="Z46" s="10">
        <v>3120</v>
      </c>
      <c r="AI46" s="10">
        <v>3120</v>
      </c>
      <c r="AL46" s="10">
        <v>3120</v>
      </c>
    </row>
    <row r="47" s="10" customFormat="1" spans="1:37">
      <c r="A47" s="10">
        <v>45</v>
      </c>
      <c r="D47" s="10" t="s">
        <v>64</v>
      </c>
      <c r="E47" s="17" t="s">
        <v>66</v>
      </c>
      <c r="F47" s="11">
        <f t="shared" si="3"/>
        <v>15000</v>
      </c>
      <c r="G47" s="11">
        <f t="shared" si="0"/>
        <v>15600</v>
      </c>
      <c r="H47" s="30">
        <v>0</v>
      </c>
      <c r="M47" s="10">
        <v>3120</v>
      </c>
      <c r="S47" s="10">
        <v>3120</v>
      </c>
      <c r="AA47" s="10">
        <v>3120</v>
      </c>
      <c r="AE47" s="10">
        <v>3120</v>
      </c>
      <c r="AK47" s="10">
        <v>3120</v>
      </c>
    </row>
    <row r="48" s="10" customFormat="1" spans="1:35">
      <c r="A48" s="10">
        <v>46</v>
      </c>
      <c r="D48" s="10" t="s">
        <v>64</v>
      </c>
      <c r="E48" s="17" t="s">
        <v>67</v>
      </c>
      <c r="F48" s="11">
        <f t="shared" si="3"/>
        <v>6000</v>
      </c>
      <c r="G48" s="11">
        <f t="shared" si="0"/>
        <v>6240</v>
      </c>
      <c r="H48" s="30">
        <v>0</v>
      </c>
      <c r="L48" s="10">
        <v>2080</v>
      </c>
      <c r="U48" s="10">
        <v>2080</v>
      </c>
      <c r="AI48" s="10">
        <v>2080</v>
      </c>
    </row>
    <row r="49" s="10" customFormat="1" spans="1:34">
      <c r="A49" s="10">
        <v>47</v>
      </c>
      <c r="D49" s="10" t="s">
        <v>64</v>
      </c>
      <c r="E49" s="17" t="s">
        <v>68</v>
      </c>
      <c r="F49" s="11">
        <f t="shared" si="3"/>
        <v>42000</v>
      </c>
      <c r="G49" s="11">
        <f t="shared" si="0"/>
        <v>37440</v>
      </c>
      <c r="H49" s="30">
        <v>6000</v>
      </c>
      <c r="J49" s="10">
        <v>3120</v>
      </c>
      <c r="L49" s="10">
        <v>3120</v>
      </c>
      <c r="N49" s="10">
        <v>3120</v>
      </c>
      <c r="P49" s="10">
        <v>3120</v>
      </c>
      <c r="Q49" s="10">
        <v>3120</v>
      </c>
      <c r="T49" s="10">
        <v>3120</v>
      </c>
      <c r="V49" s="10">
        <v>3120</v>
      </c>
      <c r="X49" s="10">
        <v>3120</v>
      </c>
      <c r="AA49" s="10">
        <v>3120</v>
      </c>
      <c r="AC49" s="10">
        <v>3120</v>
      </c>
      <c r="AE49" s="10">
        <v>3120</v>
      </c>
      <c r="AH49" s="10">
        <v>3120</v>
      </c>
    </row>
    <row r="50" s="10" customFormat="1" spans="1:33">
      <c r="A50" s="10">
        <v>48</v>
      </c>
      <c r="D50" s="10" t="s">
        <v>64</v>
      </c>
      <c r="E50" s="17" t="s">
        <v>69</v>
      </c>
      <c r="F50" s="11">
        <f t="shared" si="3"/>
        <v>27000</v>
      </c>
      <c r="G50" s="11">
        <f t="shared" si="0"/>
        <v>21840</v>
      </c>
      <c r="H50" s="30">
        <v>6000</v>
      </c>
      <c r="L50" s="10">
        <v>3120</v>
      </c>
      <c r="P50" s="10">
        <v>3120</v>
      </c>
      <c r="R50" s="37">
        <v>3120</v>
      </c>
      <c r="V50" s="10">
        <v>3120</v>
      </c>
      <c r="Z50" s="10">
        <v>3120</v>
      </c>
      <c r="AD50" s="10">
        <v>3120</v>
      </c>
      <c r="AG50" s="10">
        <v>3120</v>
      </c>
    </row>
    <row r="51" s="10" customFormat="1" spans="1:35">
      <c r="A51" s="10">
        <v>49</v>
      </c>
      <c r="D51" s="10" t="s">
        <v>64</v>
      </c>
      <c r="E51" s="17" t="s">
        <v>70</v>
      </c>
      <c r="F51" s="11">
        <f t="shared" si="3"/>
        <v>6000</v>
      </c>
      <c r="G51" s="11">
        <f t="shared" si="0"/>
        <v>4160</v>
      </c>
      <c r="H51" s="30">
        <v>2000</v>
      </c>
      <c r="U51" s="10">
        <v>2080</v>
      </c>
      <c r="AI51" s="10">
        <v>2080</v>
      </c>
    </row>
    <row r="52" s="10" customFormat="1" spans="1:8">
      <c r="A52" s="10">
        <v>50</v>
      </c>
      <c r="D52" s="10" t="s">
        <v>64</v>
      </c>
      <c r="E52" s="17" t="s">
        <v>71</v>
      </c>
      <c r="F52" s="11">
        <f t="shared" si="3"/>
        <v>0</v>
      </c>
      <c r="G52" s="11">
        <f t="shared" si="0"/>
        <v>0</v>
      </c>
      <c r="H52" s="30">
        <v>0</v>
      </c>
    </row>
    <row r="53" s="10" customFormat="1" spans="1:34">
      <c r="A53" s="10">
        <v>51</v>
      </c>
      <c r="D53" s="10" t="s">
        <v>64</v>
      </c>
      <c r="E53" s="17" t="s">
        <v>72</v>
      </c>
      <c r="F53" s="11">
        <f t="shared" si="3"/>
        <v>19000</v>
      </c>
      <c r="G53" s="11">
        <f t="shared" si="0"/>
        <v>18720</v>
      </c>
      <c r="H53" s="30">
        <v>1000</v>
      </c>
      <c r="I53" s="10">
        <v>1040</v>
      </c>
      <c r="K53" s="10">
        <v>1040</v>
      </c>
      <c r="N53" s="10">
        <v>1040</v>
      </c>
      <c r="O53" s="10">
        <v>1040</v>
      </c>
      <c r="P53" s="10">
        <v>1040</v>
      </c>
      <c r="Q53" s="10">
        <v>1040</v>
      </c>
      <c r="S53" s="10">
        <v>1040</v>
      </c>
      <c r="T53" s="10">
        <v>1040</v>
      </c>
      <c r="U53" s="10">
        <v>1040</v>
      </c>
      <c r="V53" s="10">
        <v>1040</v>
      </c>
      <c r="W53" s="10">
        <v>1040</v>
      </c>
      <c r="Y53" s="10">
        <v>1040</v>
      </c>
      <c r="AA53" s="10">
        <v>1040</v>
      </c>
      <c r="AD53" s="10">
        <v>2080</v>
      </c>
      <c r="AE53" s="10">
        <v>1040</v>
      </c>
      <c r="AF53" s="10">
        <v>1040</v>
      </c>
      <c r="AH53" s="10">
        <v>1040</v>
      </c>
    </row>
    <row r="54" s="10" customFormat="1" spans="1:36">
      <c r="A54" s="10">
        <v>52</v>
      </c>
      <c r="D54" s="10" t="s">
        <v>64</v>
      </c>
      <c r="E54" s="17" t="s">
        <v>73</v>
      </c>
      <c r="F54" s="11">
        <f t="shared" si="3"/>
        <v>22000</v>
      </c>
      <c r="G54" s="11">
        <f t="shared" si="0"/>
        <v>20800</v>
      </c>
      <c r="H54" s="30">
        <v>2000</v>
      </c>
      <c r="O54" s="10">
        <v>2080</v>
      </c>
      <c r="P54" s="10">
        <v>2080</v>
      </c>
      <c r="T54" s="10">
        <v>2080</v>
      </c>
      <c r="V54" s="10">
        <v>2080</v>
      </c>
      <c r="X54" s="10">
        <v>2080</v>
      </c>
      <c r="Z54" s="10">
        <v>2080</v>
      </c>
      <c r="AB54" s="10">
        <v>2080</v>
      </c>
      <c r="AD54" s="10">
        <v>2080</v>
      </c>
      <c r="AG54" s="10">
        <v>2080</v>
      </c>
      <c r="AJ54" s="10">
        <v>2080</v>
      </c>
    </row>
    <row r="55" s="10" customFormat="1" spans="1:8">
      <c r="A55" s="10">
        <v>53</v>
      </c>
      <c r="B55" s="33"/>
      <c r="D55" s="10" t="s">
        <v>64</v>
      </c>
      <c r="E55" s="32" t="s">
        <v>74</v>
      </c>
      <c r="F55" s="11">
        <f t="shared" si="3"/>
        <v>0</v>
      </c>
      <c r="G55" s="11">
        <f t="shared" si="0"/>
        <v>0</v>
      </c>
      <c r="H55" s="30">
        <v>0</v>
      </c>
    </row>
    <row r="56" s="10" customFormat="1" spans="1:33">
      <c r="A56" s="10">
        <v>54</v>
      </c>
      <c r="B56" s="33"/>
      <c r="D56" s="10" t="s">
        <v>64</v>
      </c>
      <c r="E56" s="32" t="s">
        <v>75</v>
      </c>
      <c r="F56" s="11">
        <f t="shared" si="3"/>
        <v>7000</v>
      </c>
      <c r="G56" s="11">
        <f t="shared" si="0"/>
        <v>6240</v>
      </c>
      <c r="H56" s="30">
        <v>1000</v>
      </c>
      <c r="I56" s="10">
        <v>1040</v>
      </c>
      <c r="N56" s="10">
        <v>1040</v>
      </c>
      <c r="P56" s="10">
        <v>1040</v>
      </c>
      <c r="R56" s="10">
        <v>1040</v>
      </c>
      <c r="AC56" s="10">
        <v>1040</v>
      </c>
      <c r="AG56" s="10">
        <v>1040</v>
      </c>
    </row>
    <row r="57" s="10" customFormat="1" spans="1:8">
      <c r="A57" s="10">
        <v>55</v>
      </c>
      <c r="B57" s="33"/>
      <c r="D57" s="10" t="s">
        <v>64</v>
      </c>
      <c r="E57" s="32" t="s">
        <v>76</v>
      </c>
      <c r="F57" s="11">
        <f t="shared" si="3"/>
        <v>0</v>
      </c>
      <c r="G57" s="11">
        <f t="shared" si="0"/>
        <v>0</v>
      </c>
      <c r="H57" s="30">
        <v>0</v>
      </c>
    </row>
    <row r="58" s="10" customFormat="1" spans="1:36">
      <c r="A58" s="10">
        <v>56</v>
      </c>
      <c r="D58" s="10" t="s">
        <v>77</v>
      </c>
      <c r="E58" s="17" t="s">
        <v>78</v>
      </c>
      <c r="F58" s="11">
        <f t="shared" si="3"/>
        <v>14000</v>
      </c>
      <c r="G58" s="11">
        <f t="shared" si="0"/>
        <v>14560</v>
      </c>
      <c r="H58" s="30">
        <v>0</v>
      </c>
      <c r="L58" s="10">
        <v>2080</v>
      </c>
      <c r="M58" s="10">
        <v>2080</v>
      </c>
      <c r="T58" s="10">
        <v>2080</v>
      </c>
      <c r="X58" s="10">
        <v>2080</v>
      </c>
      <c r="AA58" s="10">
        <v>2080</v>
      </c>
      <c r="AD58" s="10">
        <v>2080</v>
      </c>
      <c r="AJ58" s="10">
        <v>2080</v>
      </c>
    </row>
    <row r="59" s="10" customFormat="1" spans="1:37">
      <c r="A59" s="10">
        <v>57</v>
      </c>
      <c r="D59" s="10" t="s">
        <v>77</v>
      </c>
      <c r="E59" s="17" t="s">
        <v>79</v>
      </c>
      <c r="F59" s="11">
        <f t="shared" si="3"/>
        <v>40000</v>
      </c>
      <c r="G59" s="11">
        <f t="shared" si="0"/>
        <v>36400</v>
      </c>
      <c r="H59" s="30">
        <v>5000</v>
      </c>
      <c r="J59" s="10">
        <v>5200</v>
      </c>
      <c r="P59" s="10">
        <v>5200</v>
      </c>
      <c r="T59" s="10">
        <v>5200</v>
      </c>
      <c r="X59" s="10">
        <v>5200</v>
      </c>
      <c r="AB59" s="10">
        <v>5200</v>
      </c>
      <c r="AG59" s="10">
        <v>5200</v>
      </c>
      <c r="AK59" s="10">
        <v>5200</v>
      </c>
    </row>
    <row r="60" s="10" customFormat="1" spans="1:28">
      <c r="A60" s="10">
        <v>58</v>
      </c>
      <c r="D60" s="10" t="s">
        <v>77</v>
      </c>
      <c r="E60" s="17" t="s">
        <v>80</v>
      </c>
      <c r="F60" s="11">
        <f t="shared" si="3"/>
        <v>20000</v>
      </c>
      <c r="G60" s="11">
        <f t="shared" si="0"/>
        <v>20800</v>
      </c>
      <c r="H60" s="30">
        <v>0</v>
      </c>
      <c r="K60" s="10">
        <v>5200</v>
      </c>
      <c r="P60" s="10">
        <v>5200</v>
      </c>
      <c r="X60" s="10">
        <v>5200</v>
      </c>
      <c r="AB60" s="10">
        <v>5200</v>
      </c>
    </row>
    <row r="61" s="10" customFormat="1" spans="1:31">
      <c r="A61" s="10">
        <v>59</v>
      </c>
      <c r="D61" s="10" t="s">
        <v>77</v>
      </c>
      <c r="E61" s="17" t="s">
        <v>81</v>
      </c>
      <c r="F61" s="11">
        <f t="shared" si="3"/>
        <v>8000</v>
      </c>
      <c r="G61" s="11">
        <f t="shared" si="0"/>
        <v>8320</v>
      </c>
      <c r="H61" s="30">
        <v>0</v>
      </c>
      <c r="P61" s="10">
        <v>2080</v>
      </c>
      <c r="V61" s="10">
        <v>2080</v>
      </c>
      <c r="AC61" s="10">
        <v>2080</v>
      </c>
      <c r="AE61" s="10">
        <v>2080</v>
      </c>
    </row>
    <row r="62" s="10" customFormat="1" spans="1:34">
      <c r="A62" s="10">
        <v>60</v>
      </c>
      <c r="B62" s="33"/>
      <c r="D62" s="10" t="s">
        <v>82</v>
      </c>
      <c r="E62" s="32" t="s">
        <v>83</v>
      </c>
      <c r="F62" s="11">
        <f t="shared" si="3"/>
        <v>30000</v>
      </c>
      <c r="G62" s="11">
        <f t="shared" si="0"/>
        <v>31200</v>
      </c>
      <c r="H62" s="30">
        <v>0</v>
      </c>
      <c r="I62" s="10">
        <v>5200</v>
      </c>
      <c r="N62" s="10">
        <v>5200</v>
      </c>
      <c r="S62" s="10">
        <v>5200</v>
      </c>
      <c r="W62" s="10">
        <v>5200</v>
      </c>
      <c r="AB62" s="10">
        <v>5200</v>
      </c>
      <c r="AH62" s="10">
        <v>5200</v>
      </c>
    </row>
    <row r="63" s="10" customFormat="1" spans="1:8">
      <c r="A63" s="10">
        <v>61</v>
      </c>
      <c r="B63" s="33"/>
      <c r="D63" s="10" t="s">
        <v>82</v>
      </c>
      <c r="E63" s="32" t="s">
        <v>84</v>
      </c>
      <c r="F63" s="11">
        <f t="shared" si="3"/>
        <v>1100</v>
      </c>
      <c r="G63" s="11">
        <f t="shared" si="0"/>
        <v>0</v>
      </c>
      <c r="H63" s="30">
        <v>1100</v>
      </c>
    </row>
    <row r="64" s="10" customFormat="1" spans="1:27">
      <c r="A64" s="10">
        <v>62</v>
      </c>
      <c r="C64" s="23" t="s">
        <v>85</v>
      </c>
      <c r="D64" s="10" t="s">
        <v>82</v>
      </c>
      <c r="E64" s="17" t="s">
        <v>86</v>
      </c>
      <c r="F64" s="11">
        <f t="shared" si="3"/>
        <v>5000</v>
      </c>
      <c r="G64" s="11">
        <f t="shared" si="0"/>
        <v>5200</v>
      </c>
      <c r="H64" s="30">
        <v>0</v>
      </c>
      <c r="AA64" s="10">
        <v>5200</v>
      </c>
    </row>
    <row r="65" s="10" customFormat="1" spans="1:35">
      <c r="A65" s="10">
        <v>63</v>
      </c>
      <c r="C65" s="10">
        <v>685671039</v>
      </c>
      <c r="D65" s="10" t="s">
        <v>87</v>
      </c>
      <c r="E65" s="10" t="s">
        <v>88</v>
      </c>
      <c r="F65" s="11">
        <f t="shared" si="3"/>
        <v>14000</v>
      </c>
      <c r="G65" s="11">
        <f t="shared" si="0"/>
        <v>14560</v>
      </c>
      <c r="H65" s="24">
        <v>0</v>
      </c>
      <c r="I65" s="10">
        <v>2080</v>
      </c>
      <c r="M65" s="10">
        <v>2080</v>
      </c>
      <c r="S65" s="10">
        <v>2080</v>
      </c>
      <c r="V65" s="10">
        <v>2080</v>
      </c>
      <c r="AB65" s="10">
        <v>2080</v>
      </c>
      <c r="AF65" s="10">
        <v>2080</v>
      </c>
      <c r="AI65" s="10">
        <v>2080</v>
      </c>
    </row>
    <row r="66" s="10" customFormat="1" spans="1:34">
      <c r="A66" s="10">
        <v>64</v>
      </c>
      <c r="B66" s="33"/>
      <c r="D66" s="10" t="s">
        <v>87</v>
      </c>
      <c r="E66" s="32" t="s">
        <v>89</v>
      </c>
      <c r="F66" s="11">
        <f t="shared" si="3"/>
        <v>15000</v>
      </c>
      <c r="G66" s="11">
        <f t="shared" ref="G66:G96" si="4">SUM(I66:AM66)</f>
        <v>8320</v>
      </c>
      <c r="H66" s="30">
        <v>7000</v>
      </c>
      <c r="M66" s="10">
        <v>2080</v>
      </c>
      <c r="O66" s="10">
        <v>2080</v>
      </c>
      <c r="V66" s="10">
        <v>2080</v>
      </c>
      <c r="AH66" s="37">
        <v>2080</v>
      </c>
    </row>
    <row r="67" s="10" customFormat="1" spans="1:29">
      <c r="A67" s="10">
        <v>65</v>
      </c>
      <c r="B67" s="33"/>
      <c r="D67" s="10" t="s">
        <v>90</v>
      </c>
      <c r="E67" s="32" t="s">
        <v>91</v>
      </c>
      <c r="F67" s="11">
        <f t="shared" si="3"/>
        <v>5000</v>
      </c>
      <c r="G67" s="11">
        <f t="shared" si="4"/>
        <v>4680</v>
      </c>
      <c r="H67" s="30">
        <v>500</v>
      </c>
      <c r="P67" s="37">
        <v>520</v>
      </c>
      <c r="Q67" s="10">
        <v>2080</v>
      </c>
      <c r="AC67" s="10">
        <v>2080</v>
      </c>
    </row>
    <row r="68" s="10" customFormat="1" spans="1:35">
      <c r="A68" s="10">
        <v>66</v>
      </c>
      <c r="D68" s="10" t="s">
        <v>92</v>
      </c>
      <c r="E68" s="17" t="s">
        <v>93</v>
      </c>
      <c r="F68" s="11">
        <f t="shared" si="3"/>
        <v>14000</v>
      </c>
      <c r="G68" s="11">
        <f t="shared" si="4"/>
        <v>12480</v>
      </c>
      <c r="H68" s="30">
        <v>2000</v>
      </c>
      <c r="L68" s="10">
        <v>2080</v>
      </c>
      <c r="O68" s="10">
        <v>2080</v>
      </c>
      <c r="T68" s="10">
        <v>2080</v>
      </c>
      <c r="Y68" s="10">
        <v>2080</v>
      </c>
      <c r="AF68" s="10">
        <v>2080</v>
      </c>
      <c r="AI68" s="37">
        <v>2080</v>
      </c>
    </row>
    <row r="69" s="10" customFormat="1" spans="1:33">
      <c r="A69" s="10">
        <v>67</v>
      </c>
      <c r="D69" s="10" t="s">
        <v>92</v>
      </c>
      <c r="E69" s="17" t="s">
        <v>94</v>
      </c>
      <c r="F69" s="11">
        <f t="shared" si="3"/>
        <v>8000</v>
      </c>
      <c r="G69" s="11">
        <f t="shared" si="4"/>
        <v>8320</v>
      </c>
      <c r="H69" s="30">
        <v>0</v>
      </c>
      <c r="M69" s="10">
        <v>2080</v>
      </c>
      <c r="R69" s="10">
        <v>2080</v>
      </c>
      <c r="X69" s="10">
        <v>2080</v>
      </c>
      <c r="AG69" s="10">
        <v>2080</v>
      </c>
    </row>
    <row r="70" s="10" customFormat="1" spans="1:34">
      <c r="A70" s="10">
        <v>68</v>
      </c>
      <c r="D70" s="10" t="s">
        <v>92</v>
      </c>
      <c r="E70" s="17" t="s">
        <v>95</v>
      </c>
      <c r="F70" s="11">
        <f t="shared" si="3"/>
        <v>4000</v>
      </c>
      <c r="G70" s="11">
        <f t="shared" si="4"/>
        <v>6240</v>
      </c>
      <c r="H70" s="30">
        <v>-2000</v>
      </c>
      <c r="N70" s="10">
        <v>2080</v>
      </c>
      <c r="W70" s="10">
        <v>2080</v>
      </c>
      <c r="AH70" s="10">
        <v>2080</v>
      </c>
    </row>
    <row r="71" s="10" customFormat="1" spans="1:31">
      <c r="A71" s="10">
        <v>69</v>
      </c>
      <c r="D71" s="10" t="s">
        <v>92</v>
      </c>
      <c r="E71" s="17" t="s">
        <v>96</v>
      </c>
      <c r="F71" s="11">
        <f t="shared" si="3"/>
        <v>4000</v>
      </c>
      <c r="G71" s="11">
        <f t="shared" si="4"/>
        <v>4160</v>
      </c>
      <c r="H71" s="30">
        <v>0</v>
      </c>
      <c r="M71" s="10">
        <v>1040</v>
      </c>
      <c r="T71" s="10">
        <v>1040</v>
      </c>
      <c r="X71" s="10">
        <v>1040</v>
      </c>
      <c r="AE71" s="10">
        <v>1040</v>
      </c>
    </row>
    <row r="72" s="10" customFormat="1" spans="1:36">
      <c r="A72" s="10">
        <v>70</v>
      </c>
      <c r="D72" s="10" t="s">
        <v>92</v>
      </c>
      <c r="E72" s="17" t="s">
        <v>97</v>
      </c>
      <c r="F72" s="11">
        <f t="shared" si="3"/>
        <v>50000</v>
      </c>
      <c r="G72" s="11">
        <f t="shared" si="4"/>
        <v>52000</v>
      </c>
      <c r="H72" s="30">
        <v>0</v>
      </c>
      <c r="I72" s="10">
        <v>5200</v>
      </c>
      <c r="L72" s="10">
        <v>5200</v>
      </c>
      <c r="O72" s="10">
        <v>5200</v>
      </c>
      <c r="Q72" s="10">
        <v>5200</v>
      </c>
      <c r="U72" s="10">
        <v>5200</v>
      </c>
      <c r="W72" s="10">
        <v>5200</v>
      </c>
      <c r="Y72" s="10">
        <v>5200</v>
      </c>
      <c r="AD72" s="10">
        <v>5200</v>
      </c>
      <c r="AH72" s="10">
        <v>5200</v>
      </c>
      <c r="AJ72" s="10">
        <v>5200</v>
      </c>
    </row>
    <row r="73" s="10" customFormat="1" spans="1:37">
      <c r="A73" s="10">
        <v>71</v>
      </c>
      <c r="D73" s="10" t="s">
        <v>92</v>
      </c>
      <c r="E73" s="17" t="s">
        <v>98</v>
      </c>
      <c r="F73" s="11">
        <f t="shared" si="3"/>
        <v>30000</v>
      </c>
      <c r="G73" s="11">
        <f t="shared" si="4"/>
        <v>28080</v>
      </c>
      <c r="H73" s="30">
        <v>3000</v>
      </c>
      <c r="J73" s="10">
        <v>3120</v>
      </c>
      <c r="M73" s="10">
        <v>3120</v>
      </c>
      <c r="Q73" s="10">
        <v>3120</v>
      </c>
      <c r="T73" s="10">
        <v>3120</v>
      </c>
      <c r="Z73" s="10">
        <v>3120</v>
      </c>
      <c r="AB73" s="10">
        <v>3120</v>
      </c>
      <c r="AD73" s="10">
        <v>3120</v>
      </c>
      <c r="AH73" s="10">
        <v>3120</v>
      </c>
      <c r="AK73" s="10">
        <v>3120</v>
      </c>
    </row>
    <row r="74" s="10" customFormat="1" spans="1:33">
      <c r="A74" s="10">
        <v>72</v>
      </c>
      <c r="B74" s="33"/>
      <c r="D74" s="10" t="s">
        <v>92</v>
      </c>
      <c r="E74" s="32" t="s">
        <v>99</v>
      </c>
      <c r="F74" s="11">
        <f t="shared" si="3"/>
        <v>13000</v>
      </c>
      <c r="G74" s="11">
        <f t="shared" si="4"/>
        <v>12480</v>
      </c>
      <c r="H74" s="30">
        <v>1000</v>
      </c>
      <c r="L74" s="10">
        <v>2080</v>
      </c>
      <c r="O74" s="10">
        <v>2080</v>
      </c>
      <c r="S74" s="10">
        <v>2080</v>
      </c>
      <c r="X74" s="10">
        <v>2080</v>
      </c>
      <c r="AD74" s="10">
        <v>2080</v>
      </c>
      <c r="AG74" s="10">
        <v>2080</v>
      </c>
    </row>
    <row r="75" s="10" customFormat="1" spans="1:8">
      <c r="A75" s="10">
        <v>73</v>
      </c>
      <c r="C75" s="10">
        <v>683909558</v>
      </c>
      <c r="D75" s="10" t="s">
        <v>92</v>
      </c>
      <c r="E75" s="17" t="s">
        <v>100</v>
      </c>
      <c r="F75" s="11">
        <f t="shared" si="3"/>
        <v>0</v>
      </c>
      <c r="G75" s="11">
        <f t="shared" si="4"/>
        <v>0</v>
      </c>
      <c r="H75" s="30">
        <v>0</v>
      </c>
    </row>
    <row r="76" s="10" customFormat="1" spans="1:22">
      <c r="A76" s="10">
        <v>74</v>
      </c>
      <c r="B76" s="33"/>
      <c r="D76" s="10" t="s">
        <v>92</v>
      </c>
      <c r="E76" s="32" t="s">
        <v>101</v>
      </c>
      <c r="F76" s="11">
        <f t="shared" si="3"/>
        <v>2000</v>
      </c>
      <c r="G76" s="11">
        <f t="shared" si="4"/>
        <v>2080</v>
      </c>
      <c r="H76" s="30">
        <v>0</v>
      </c>
      <c r="V76" s="10">
        <v>2080</v>
      </c>
    </row>
    <row r="77" s="10" customFormat="1" spans="1:36">
      <c r="A77" s="10">
        <v>75</v>
      </c>
      <c r="D77" s="10" t="s">
        <v>102</v>
      </c>
      <c r="E77" s="17" t="s">
        <v>103</v>
      </c>
      <c r="F77" s="11">
        <f t="shared" si="3"/>
        <v>16300</v>
      </c>
      <c r="G77" s="11">
        <f t="shared" si="4"/>
        <v>14560</v>
      </c>
      <c r="H77" s="30">
        <v>2300</v>
      </c>
      <c r="I77" s="10">
        <v>1040</v>
      </c>
      <c r="O77" s="10">
        <v>1040</v>
      </c>
      <c r="P77" s="10">
        <v>1040</v>
      </c>
      <c r="S77" s="10">
        <v>1040</v>
      </c>
      <c r="T77" s="10">
        <v>1040</v>
      </c>
      <c r="U77" s="10">
        <v>1040</v>
      </c>
      <c r="V77" s="10">
        <v>1040</v>
      </c>
      <c r="X77" s="10">
        <v>1040</v>
      </c>
      <c r="Y77" s="10">
        <v>1040</v>
      </c>
      <c r="AB77" s="10">
        <v>1040</v>
      </c>
      <c r="AE77" s="10">
        <v>1040</v>
      </c>
      <c r="AG77" s="10">
        <v>1040</v>
      </c>
      <c r="AH77" s="10">
        <v>1040</v>
      </c>
      <c r="AJ77" s="10">
        <v>1040</v>
      </c>
    </row>
    <row r="78" s="10" customFormat="1" spans="1:34">
      <c r="A78" s="10">
        <v>76</v>
      </c>
      <c r="D78" s="10" t="s">
        <v>102</v>
      </c>
      <c r="E78" s="17" t="s">
        <v>104</v>
      </c>
      <c r="F78" s="11">
        <f t="shared" si="3"/>
        <v>27000</v>
      </c>
      <c r="G78" s="11">
        <f t="shared" si="4"/>
        <v>24960</v>
      </c>
      <c r="H78" s="30">
        <v>3000</v>
      </c>
      <c r="K78" s="10">
        <v>3120</v>
      </c>
      <c r="N78" s="10">
        <v>3120</v>
      </c>
      <c r="R78" s="10">
        <v>3120</v>
      </c>
      <c r="T78" s="10">
        <v>3120</v>
      </c>
      <c r="X78" s="10">
        <v>3120</v>
      </c>
      <c r="AB78" s="10">
        <v>3120</v>
      </c>
      <c r="AC78" s="10">
        <v>3120</v>
      </c>
      <c r="AH78" s="10">
        <v>3120</v>
      </c>
    </row>
    <row r="79" s="10" customFormat="1" spans="1:33">
      <c r="A79" s="10">
        <v>77</v>
      </c>
      <c r="D79" s="10" t="s">
        <v>102</v>
      </c>
      <c r="E79" s="17" t="s">
        <v>105</v>
      </c>
      <c r="F79" s="11">
        <f t="shared" si="3"/>
        <v>18000</v>
      </c>
      <c r="G79" s="11">
        <f t="shared" si="4"/>
        <v>16640</v>
      </c>
      <c r="H79" s="30">
        <v>2000</v>
      </c>
      <c r="K79" s="10">
        <v>2080</v>
      </c>
      <c r="L79" s="10">
        <v>2080</v>
      </c>
      <c r="P79" s="10">
        <v>2080</v>
      </c>
      <c r="S79" s="10">
        <v>2080</v>
      </c>
      <c r="U79" s="10">
        <v>2080</v>
      </c>
      <c r="W79" s="10">
        <v>2080</v>
      </c>
      <c r="AD79" s="10">
        <v>2080</v>
      </c>
      <c r="AG79" s="10">
        <v>2080</v>
      </c>
    </row>
    <row r="80" s="10" customFormat="1" spans="1:35">
      <c r="A80" s="10">
        <v>78</v>
      </c>
      <c r="B80" s="33"/>
      <c r="E80" s="32" t="s">
        <v>106</v>
      </c>
      <c r="F80" s="11">
        <f t="shared" si="3"/>
        <v>61000</v>
      </c>
      <c r="G80" s="11">
        <f t="shared" si="4"/>
        <v>3120</v>
      </c>
      <c r="H80" s="30">
        <v>58000</v>
      </c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V80" s="35"/>
      <c r="W80" s="33"/>
      <c r="X80" s="35"/>
      <c r="Y80" s="35"/>
      <c r="AI80" s="37">
        <v>3120</v>
      </c>
    </row>
    <row r="81" s="10" customFormat="1" spans="1:34">
      <c r="A81" s="10">
        <v>79</v>
      </c>
      <c r="B81" s="33"/>
      <c r="D81" s="10" t="s">
        <v>107</v>
      </c>
      <c r="E81" s="32" t="s">
        <v>108</v>
      </c>
      <c r="F81" s="11">
        <f t="shared" si="3"/>
        <v>11000</v>
      </c>
      <c r="G81" s="11">
        <f t="shared" si="4"/>
        <v>9360</v>
      </c>
      <c r="H81" s="30">
        <v>2000</v>
      </c>
      <c r="L81" s="10">
        <v>1040</v>
      </c>
      <c r="N81" s="10">
        <v>1040</v>
      </c>
      <c r="Q81" s="10">
        <v>1040</v>
      </c>
      <c r="R81" s="10">
        <v>1040</v>
      </c>
      <c r="S81" s="10">
        <v>1040</v>
      </c>
      <c r="AE81" s="10">
        <v>2080</v>
      </c>
      <c r="AH81" s="10">
        <v>2080</v>
      </c>
    </row>
    <row r="82" s="10" customFormat="1" spans="1:8">
      <c r="A82" s="10">
        <v>80</v>
      </c>
      <c r="B82" s="33"/>
      <c r="E82" s="32" t="s">
        <v>109</v>
      </c>
      <c r="F82" s="11">
        <f t="shared" si="3"/>
        <v>0</v>
      </c>
      <c r="G82" s="11">
        <f t="shared" si="4"/>
        <v>0</v>
      </c>
      <c r="H82" s="30">
        <v>0</v>
      </c>
    </row>
    <row r="83" s="10" customFormat="1" spans="1:24">
      <c r="A83" s="10">
        <v>81</v>
      </c>
      <c r="B83" s="33"/>
      <c r="D83" s="10" t="s">
        <v>110</v>
      </c>
      <c r="E83" s="32" t="s">
        <v>111</v>
      </c>
      <c r="F83" s="11">
        <f t="shared" ref="F83:F96" si="5">G83/1.04+H83</f>
        <v>4000</v>
      </c>
      <c r="G83" s="11">
        <f t="shared" si="4"/>
        <v>4160</v>
      </c>
      <c r="H83" s="30">
        <v>0</v>
      </c>
      <c r="M83" s="10">
        <v>2080</v>
      </c>
      <c r="X83" s="10">
        <v>2080</v>
      </c>
    </row>
    <row r="84" s="10" customFormat="1" spans="1:20">
      <c r="A84" s="10">
        <v>82</v>
      </c>
      <c r="B84" s="33"/>
      <c r="E84" s="32" t="s">
        <v>112</v>
      </c>
      <c r="F84" s="11">
        <f t="shared" si="5"/>
        <v>0</v>
      </c>
      <c r="G84" s="11">
        <f t="shared" si="4"/>
        <v>0</v>
      </c>
      <c r="H84" s="30">
        <v>0</v>
      </c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</row>
    <row r="85" s="10" customFormat="1" spans="1:34">
      <c r="A85" s="10">
        <v>83</v>
      </c>
      <c r="B85" s="33"/>
      <c r="D85" s="10" t="s">
        <v>113</v>
      </c>
      <c r="E85" s="32" t="s">
        <v>114</v>
      </c>
      <c r="F85" s="11">
        <f t="shared" si="5"/>
        <v>30000</v>
      </c>
      <c r="G85" s="11">
        <f t="shared" si="4"/>
        <v>31200</v>
      </c>
      <c r="H85" s="30">
        <v>0</v>
      </c>
      <c r="I85" s="10">
        <v>5200</v>
      </c>
      <c r="M85" s="10">
        <v>5200</v>
      </c>
      <c r="S85" s="10">
        <v>5200</v>
      </c>
      <c r="X85" s="10">
        <v>5200</v>
      </c>
      <c r="AC85" s="10">
        <v>5200</v>
      </c>
      <c r="AH85" s="10">
        <v>5200</v>
      </c>
    </row>
    <row r="86" s="10" customFormat="1" spans="1:29">
      <c r="A86" s="10">
        <v>84</v>
      </c>
      <c r="D86" s="10" t="s">
        <v>113</v>
      </c>
      <c r="E86" s="17" t="s">
        <v>115</v>
      </c>
      <c r="F86" s="11">
        <f t="shared" si="5"/>
        <v>10000</v>
      </c>
      <c r="G86" s="11">
        <f t="shared" si="4"/>
        <v>5200</v>
      </c>
      <c r="H86" s="30">
        <v>5000</v>
      </c>
      <c r="AC86" s="10">
        <v>5200</v>
      </c>
    </row>
    <row r="87" s="10" customFormat="1" spans="1:8">
      <c r="A87" s="10">
        <v>85</v>
      </c>
      <c r="B87" s="33"/>
      <c r="C87" s="10">
        <v>683879115</v>
      </c>
      <c r="D87" s="10" t="s">
        <v>113</v>
      </c>
      <c r="E87" s="32" t="s">
        <v>116</v>
      </c>
      <c r="F87" s="11">
        <f t="shared" si="5"/>
        <v>2000</v>
      </c>
      <c r="G87" s="11">
        <f t="shared" si="4"/>
        <v>0</v>
      </c>
      <c r="H87" s="30">
        <v>2000</v>
      </c>
    </row>
    <row r="88" s="10" customFormat="1" spans="1:32">
      <c r="A88" s="10">
        <v>86</v>
      </c>
      <c r="B88" s="33"/>
      <c r="D88" s="10" t="s">
        <v>117</v>
      </c>
      <c r="E88" s="32" t="s">
        <v>118</v>
      </c>
      <c r="F88" s="11">
        <f t="shared" si="5"/>
        <v>6000</v>
      </c>
      <c r="G88" s="11">
        <f t="shared" si="4"/>
        <v>6240</v>
      </c>
      <c r="H88" s="30">
        <v>0</v>
      </c>
      <c r="I88" s="35"/>
      <c r="J88" s="35"/>
      <c r="K88" s="35"/>
      <c r="L88" s="35"/>
      <c r="M88" s="35"/>
      <c r="N88" s="35"/>
      <c r="O88" s="33"/>
      <c r="P88" s="35"/>
      <c r="Q88" s="35"/>
      <c r="R88" s="35"/>
      <c r="S88" s="33">
        <v>2080</v>
      </c>
      <c r="T88" s="35"/>
      <c r="U88" s="35"/>
      <c r="V88" s="35"/>
      <c r="W88" s="33"/>
      <c r="X88" s="35"/>
      <c r="Y88" s="33">
        <v>2080</v>
      </c>
      <c r="Z88" s="35"/>
      <c r="AF88" s="10">
        <v>2080</v>
      </c>
    </row>
    <row r="89" s="10" customFormat="1" spans="1:8">
      <c r="A89" s="10">
        <v>87</v>
      </c>
      <c r="B89" s="33"/>
      <c r="E89" s="32" t="s">
        <v>119</v>
      </c>
      <c r="F89" s="11">
        <f t="shared" si="5"/>
        <v>0</v>
      </c>
      <c r="G89" s="11">
        <f t="shared" si="4"/>
        <v>0</v>
      </c>
      <c r="H89" s="30">
        <v>0</v>
      </c>
    </row>
    <row r="90" s="10" customFormat="1" spans="1:33">
      <c r="A90" s="10">
        <v>88</v>
      </c>
      <c r="B90" s="33"/>
      <c r="E90" s="32" t="s">
        <v>120</v>
      </c>
      <c r="F90" s="11">
        <f t="shared" si="5"/>
        <v>2000</v>
      </c>
      <c r="G90" s="11">
        <f t="shared" si="4"/>
        <v>2080</v>
      </c>
      <c r="H90" s="30">
        <v>0</v>
      </c>
      <c r="I90" s="35"/>
      <c r="J90" s="35"/>
      <c r="K90" s="35"/>
      <c r="L90" s="35"/>
      <c r="M90" s="39">
        <v>1040</v>
      </c>
      <c r="N90" s="35"/>
      <c r="O90" s="35"/>
      <c r="P90" s="35"/>
      <c r="Q90" s="35"/>
      <c r="R90" s="33"/>
      <c r="S90" s="35"/>
      <c r="AG90" s="37">
        <v>1040</v>
      </c>
    </row>
    <row r="91" s="10" customFormat="1" spans="1:24">
      <c r="A91" s="10">
        <v>89</v>
      </c>
      <c r="B91" s="33"/>
      <c r="E91" s="32" t="s">
        <v>121</v>
      </c>
      <c r="F91" s="11">
        <f t="shared" si="5"/>
        <v>0</v>
      </c>
      <c r="G91" s="11">
        <f t="shared" si="4"/>
        <v>0</v>
      </c>
      <c r="H91" s="30">
        <v>0</v>
      </c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</row>
    <row r="92" s="10" customFormat="1" spans="1:36">
      <c r="A92" s="10">
        <v>90</v>
      </c>
      <c r="E92" s="17" t="s">
        <v>122</v>
      </c>
      <c r="F92" s="11">
        <f t="shared" si="5"/>
        <v>6000</v>
      </c>
      <c r="G92" s="11">
        <f t="shared" si="4"/>
        <v>6240</v>
      </c>
      <c r="H92" s="30">
        <v>0</v>
      </c>
      <c r="X92" s="37">
        <v>2080</v>
      </c>
      <c r="AA92" s="10">
        <v>1040</v>
      </c>
      <c r="AF92" s="10">
        <v>1040</v>
      </c>
      <c r="AJ92" s="37">
        <v>2080</v>
      </c>
    </row>
    <row r="93" s="10" customFormat="1" spans="1:8">
      <c r="A93" s="10">
        <v>91</v>
      </c>
      <c r="E93" s="17" t="s">
        <v>123</v>
      </c>
      <c r="F93" s="11">
        <f t="shared" si="5"/>
        <v>0</v>
      </c>
      <c r="G93" s="11">
        <f t="shared" si="4"/>
        <v>0</v>
      </c>
      <c r="H93" s="30">
        <v>0</v>
      </c>
    </row>
    <row r="94" s="10" customFormat="1" spans="1:24">
      <c r="A94" s="10">
        <v>92</v>
      </c>
      <c r="D94" s="10" t="s">
        <v>124</v>
      </c>
      <c r="E94" s="17" t="s">
        <v>125</v>
      </c>
      <c r="F94" s="11">
        <f t="shared" si="5"/>
        <v>3000</v>
      </c>
      <c r="G94" s="11">
        <f t="shared" si="4"/>
        <v>2080</v>
      </c>
      <c r="H94" s="30">
        <v>1000</v>
      </c>
      <c r="K94" s="10">
        <v>1040</v>
      </c>
      <c r="X94" s="10">
        <v>1040</v>
      </c>
    </row>
    <row r="95" s="10" customFormat="1" spans="1:8">
      <c r="A95" s="10">
        <v>93</v>
      </c>
      <c r="E95" s="17" t="s">
        <v>126</v>
      </c>
      <c r="F95" s="11">
        <f t="shared" si="5"/>
        <v>0</v>
      </c>
      <c r="G95" s="11">
        <f t="shared" si="4"/>
        <v>0</v>
      </c>
      <c r="H95" s="30">
        <v>0</v>
      </c>
    </row>
    <row r="96" s="10" customFormat="1" spans="1:8">
      <c r="A96" s="10">
        <v>94</v>
      </c>
      <c r="E96" s="17" t="s">
        <v>127</v>
      </c>
      <c r="F96" s="11">
        <f t="shared" si="5"/>
        <v>0</v>
      </c>
      <c r="G96" s="11">
        <f t="shared" si="4"/>
        <v>0</v>
      </c>
      <c r="H96" s="30">
        <v>0</v>
      </c>
    </row>
    <row r="97" s="10" customFormat="1" spans="8:8">
      <c r="H97" s="24"/>
    </row>
    <row r="98" s="10" customFormat="1" spans="8:8">
      <c r="H98" s="24"/>
    </row>
    <row r="99" s="10" customFormat="1" spans="8:8">
      <c r="H99" s="24"/>
    </row>
    <row r="100" s="10" customFormat="1" spans="8:8">
      <c r="H100" s="24"/>
    </row>
    <row r="101" s="10" customFormat="1" spans="8:8">
      <c r="H101" s="24"/>
    </row>
    <row r="102" s="10" customFormat="1" spans="8:8">
      <c r="H102" s="24"/>
    </row>
    <row r="103" s="10" customFormat="1" spans="8:8">
      <c r="H103" s="24"/>
    </row>
    <row r="104" s="10" customFormat="1" spans="8:8">
      <c r="H104" s="24"/>
    </row>
    <row r="105" s="10" customFormat="1" spans="8:8">
      <c r="H105" s="24"/>
    </row>
    <row r="106" s="10" customFormat="1" spans="8:8">
      <c r="H106" s="24"/>
    </row>
    <row r="107" s="10" customFormat="1" spans="8:8">
      <c r="H107" s="24"/>
    </row>
    <row r="108" s="10" customFormat="1" spans="8:8">
      <c r="H108" s="24"/>
    </row>
    <row r="109" s="10" customFormat="1" spans="8:8">
      <c r="H109" s="24"/>
    </row>
    <row r="110" s="10" customFormat="1" spans="8:8">
      <c r="H110" s="24"/>
    </row>
    <row r="111" s="10" customFormat="1" spans="8:8">
      <c r="H111" s="24"/>
    </row>
    <row r="112" s="10" customFormat="1" spans="8:8">
      <c r="H112" s="24"/>
    </row>
    <row r="113" s="10" customFormat="1" spans="8:8">
      <c r="H113" s="24"/>
    </row>
    <row r="114" s="10" customFormat="1" spans="8:8">
      <c r="H114" s="24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AE3" activePane="bottomRight" state="frozen"/>
      <selection/>
      <selection pane="topRight"/>
      <selection pane="bottomLeft"/>
      <selection pane="bottomRight" activeCell="AJ7" sqref="AJ7"/>
    </sheetView>
  </sheetViews>
  <sheetFormatPr defaultColWidth="9.14285714285714" defaultRowHeight="15"/>
  <cols>
    <col min="1" max="1" width="6.28571428571429" style="10" customWidth="1"/>
    <col min="2" max="2" width="21.2857142857143" style="10" customWidth="1"/>
    <col min="3" max="3" width="6.28571428571429" style="10" customWidth="1"/>
    <col min="4" max="4" width="21.2857142857143" style="10" customWidth="1"/>
    <col min="5" max="5" width="11.7142857142857" style="10" customWidth="1"/>
    <col min="6" max="6" width="15" style="10" customWidth="1"/>
    <col min="7" max="7" width="51.1428571428571" style="10" customWidth="1"/>
    <col min="8" max="8" width="8.57142857142857" style="10" customWidth="1"/>
    <col min="9" max="9" width="6.14285714285714" style="10" customWidth="1"/>
    <col min="10" max="10" width="6.57142857142857" style="10" customWidth="1"/>
    <col min="11" max="17" width="6.14285714285714" style="10" customWidth="1"/>
    <col min="18" max="39" width="7.14285714285714" style="10" customWidth="1"/>
    <col min="40" max="16384" width="9.14285714285714" style="10"/>
  </cols>
  <sheetData>
    <row r="1" s="11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1" customFormat="1" spans="1:39">
      <c r="A2" s="13"/>
      <c r="B2" s="13"/>
      <c r="C2" s="13"/>
      <c r="D2" s="13"/>
      <c r="E2" s="13"/>
      <c r="F2" s="14">
        <f>SUM(H3:H121)</f>
        <v>1192500</v>
      </c>
      <c r="G2" s="15" t="s">
        <v>8</v>
      </c>
      <c r="H2" s="16">
        <f t="shared" ref="H2:H65" si="0">SUM(I2:AM2)</f>
        <v>1192500</v>
      </c>
      <c r="I2" s="11">
        <f t="shared" ref="I2:AJ2" si="1">SUM(I3:I121)</f>
        <v>39500</v>
      </c>
      <c r="J2" s="11">
        <f t="shared" si="1"/>
        <v>18000</v>
      </c>
      <c r="K2" s="11">
        <f t="shared" si="1"/>
        <v>51000</v>
      </c>
      <c r="L2" s="11">
        <f t="shared" si="1"/>
        <v>33000</v>
      </c>
      <c r="M2" s="11">
        <f t="shared" si="1"/>
        <v>68000</v>
      </c>
      <c r="N2" s="11">
        <f t="shared" si="1"/>
        <v>72500</v>
      </c>
      <c r="O2" s="11">
        <f t="shared" si="1"/>
        <v>42200</v>
      </c>
      <c r="P2" s="11">
        <f t="shared" si="1"/>
        <v>17900</v>
      </c>
      <c r="Q2" s="11">
        <f t="shared" si="1"/>
        <v>67500</v>
      </c>
      <c r="R2" s="11">
        <f t="shared" si="1"/>
        <v>25000</v>
      </c>
      <c r="S2" s="11">
        <f t="shared" si="1"/>
        <v>25500</v>
      </c>
      <c r="T2" s="11">
        <f t="shared" si="1"/>
        <v>14000</v>
      </c>
      <c r="U2" s="11">
        <f t="shared" si="1"/>
        <v>91800</v>
      </c>
      <c r="V2" s="11">
        <f t="shared" si="1"/>
        <v>16000</v>
      </c>
      <c r="W2" s="11">
        <f t="shared" si="1"/>
        <v>45400</v>
      </c>
      <c r="X2" s="11">
        <f t="shared" si="1"/>
        <v>89600</v>
      </c>
      <c r="Y2" s="11">
        <f t="shared" si="1"/>
        <v>38500</v>
      </c>
      <c r="Z2" s="11">
        <f t="shared" si="1"/>
        <v>47100</v>
      </c>
      <c r="AA2" s="11">
        <f t="shared" si="1"/>
        <v>46500</v>
      </c>
      <c r="AB2" s="20">
        <f t="shared" si="1"/>
        <v>34000</v>
      </c>
      <c r="AC2" s="11">
        <f t="shared" si="1"/>
        <v>12000</v>
      </c>
      <c r="AD2" s="11">
        <f t="shared" si="1"/>
        <v>67200</v>
      </c>
      <c r="AE2" s="11">
        <f t="shared" si="1"/>
        <v>41800</v>
      </c>
      <c r="AF2" s="11">
        <f t="shared" si="1"/>
        <v>35500</v>
      </c>
      <c r="AG2" s="11">
        <f t="shared" si="1"/>
        <v>6000</v>
      </c>
      <c r="AH2" s="11">
        <f t="shared" si="1"/>
        <v>64000</v>
      </c>
      <c r="AI2" s="11">
        <f t="shared" si="1"/>
        <v>48000</v>
      </c>
      <c r="AJ2" s="11">
        <f t="shared" si="1"/>
        <v>35000</v>
      </c>
      <c r="AK2" s="11">
        <f>SUM(AK97:AK121)</f>
        <v>0</v>
      </c>
      <c r="AL2" s="11">
        <f>SUM(AL3:AL121)</f>
        <v>0</v>
      </c>
      <c r="AM2" s="11">
        <f>SUM(AM3:AM121)</f>
        <v>0</v>
      </c>
    </row>
    <row r="3" s="10" customFormat="1" spans="1:37">
      <c r="A3" s="10">
        <v>1</v>
      </c>
      <c r="B3" s="10" t="s">
        <v>130</v>
      </c>
      <c r="C3" s="10">
        <v>1</v>
      </c>
      <c r="D3" s="10" t="s">
        <v>130</v>
      </c>
      <c r="E3" s="10">
        <v>9334066332</v>
      </c>
      <c r="F3" s="10" t="s">
        <v>9</v>
      </c>
      <c r="G3" s="17" t="s">
        <v>10</v>
      </c>
      <c r="H3" s="11">
        <f t="shared" si="0"/>
        <v>12000</v>
      </c>
      <c r="O3" s="19">
        <v>3000</v>
      </c>
      <c r="Z3" s="19">
        <v>3000</v>
      </c>
      <c r="AB3" s="21"/>
      <c r="AH3" s="19">
        <v>3000</v>
      </c>
      <c r="AJ3" s="19">
        <v>3000</v>
      </c>
      <c r="AK3"/>
    </row>
    <row r="4" s="10" customFormat="1" spans="1:37">
      <c r="A4" s="10">
        <v>2</v>
      </c>
      <c r="B4" s="10" t="s">
        <v>131</v>
      </c>
      <c r="C4" s="10">
        <v>2</v>
      </c>
      <c r="D4" s="10" t="s">
        <v>131</v>
      </c>
      <c r="E4" s="10" t="s">
        <v>132</v>
      </c>
      <c r="F4" s="10" t="s">
        <v>9</v>
      </c>
      <c r="G4" s="17" t="s">
        <v>11</v>
      </c>
      <c r="H4" s="11">
        <f t="shared" si="0"/>
        <v>4000</v>
      </c>
      <c r="Q4" s="19">
        <v>2000</v>
      </c>
      <c r="Y4" s="19">
        <v>1000</v>
      </c>
      <c r="AB4" s="21"/>
      <c r="AE4" s="19">
        <v>1000</v>
      </c>
      <c r="AK4"/>
    </row>
    <row r="5" s="10" customFormat="1" spans="1:37">
      <c r="A5" s="10">
        <v>3</v>
      </c>
      <c r="C5" s="10">
        <v>3</v>
      </c>
      <c r="E5" s="10">
        <v>8340365412</v>
      </c>
      <c r="F5" s="10" t="s">
        <v>9</v>
      </c>
      <c r="G5" s="17" t="s">
        <v>13</v>
      </c>
      <c r="H5" s="11">
        <f t="shared" si="0"/>
        <v>8500</v>
      </c>
      <c r="I5" s="10">
        <v>2000</v>
      </c>
      <c r="J5" s="10">
        <v>1000</v>
      </c>
      <c r="L5" s="10">
        <v>500</v>
      </c>
      <c r="N5" s="10">
        <v>1000</v>
      </c>
      <c r="Q5" s="10">
        <v>1000</v>
      </c>
      <c r="S5" s="10">
        <v>1000</v>
      </c>
      <c r="U5" s="10">
        <v>1500</v>
      </c>
      <c r="Z5" s="10">
        <v>500</v>
      </c>
      <c r="AB5" s="21"/>
      <c r="AK5"/>
    </row>
    <row r="6" s="10" customFormat="1" spans="1:37">
      <c r="A6" s="10">
        <v>4</v>
      </c>
      <c r="B6" s="10" t="s">
        <v>133</v>
      </c>
      <c r="C6" s="10">
        <v>4</v>
      </c>
      <c r="D6" s="10" t="s">
        <v>133</v>
      </c>
      <c r="E6" s="10">
        <v>9102317719</v>
      </c>
      <c r="F6" s="10" t="s">
        <v>9</v>
      </c>
      <c r="G6" s="17" t="s">
        <v>15</v>
      </c>
      <c r="H6" s="11">
        <f t="shared" si="0"/>
        <v>24500</v>
      </c>
      <c r="L6" s="19">
        <v>3000</v>
      </c>
      <c r="N6" s="19">
        <v>2000</v>
      </c>
      <c r="Q6" s="19">
        <v>2000</v>
      </c>
      <c r="U6" s="10">
        <v>3000</v>
      </c>
      <c r="X6" s="19">
        <v>2500</v>
      </c>
      <c r="Z6" s="10">
        <v>1000</v>
      </c>
      <c r="AA6" s="19">
        <v>3000</v>
      </c>
      <c r="AB6" s="21"/>
      <c r="AD6" s="19">
        <v>3000</v>
      </c>
      <c r="AH6" s="10">
        <v>3000</v>
      </c>
      <c r="AJ6" s="19">
        <v>2000</v>
      </c>
      <c r="AK6"/>
    </row>
    <row r="7" s="10" customFormat="1" spans="1:37">
      <c r="A7" s="10">
        <v>5</v>
      </c>
      <c r="B7" s="10" t="s">
        <v>134</v>
      </c>
      <c r="C7" s="10">
        <v>5</v>
      </c>
      <c r="D7" s="10" t="s">
        <v>134</v>
      </c>
      <c r="E7" s="10">
        <v>8210924561</v>
      </c>
      <c r="F7" s="10" t="s">
        <v>9</v>
      </c>
      <c r="G7" s="17" t="s">
        <v>17</v>
      </c>
      <c r="H7" s="11">
        <f t="shared" si="0"/>
        <v>59000</v>
      </c>
      <c r="L7" s="19">
        <v>2000</v>
      </c>
      <c r="N7" s="19">
        <v>13000</v>
      </c>
      <c r="S7" s="19">
        <v>6000</v>
      </c>
      <c r="T7" s="19">
        <v>6000</v>
      </c>
      <c r="Y7" s="19">
        <v>7000</v>
      </c>
      <c r="AB7" s="21"/>
      <c r="AD7" s="19">
        <v>10000</v>
      </c>
      <c r="AH7" s="19">
        <v>10000</v>
      </c>
      <c r="AJ7" s="19">
        <v>5000</v>
      </c>
      <c r="AK7"/>
    </row>
    <row r="8" s="10" customFormat="1" spans="1:37">
      <c r="A8" s="10">
        <v>6</v>
      </c>
      <c r="C8" s="10">
        <v>6</v>
      </c>
      <c r="E8" s="10">
        <v>9110978139</v>
      </c>
      <c r="F8" s="10" t="s">
        <v>9</v>
      </c>
      <c r="G8" s="17" t="s">
        <v>19</v>
      </c>
      <c r="H8" s="11">
        <f t="shared" si="0"/>
        <v>10000</v>
      </c>
      <c r="J8" s="10">
        <v>2000</v>
      </c>
      <c r="Q8" s="10">
        <v>2000</v>
      </c>
      <c r="U8" s="10">
        <v>2000</v>
      </c>
      <c r="AA8" s="10">
        <v>2000</v>
      </c>
      <c r="AB8" s="21"/>
      <c r="AH8" s="10">
        <v>2000</v>
      </c>
      <c r="AK8"/>
    </row>
    <row r="9" s="10" customFormat="1" spans="1:37">
      <c r="A9" s="10">
        <v>7</v>
      </c>
      <c r="C9" s="10">
        <v>7</v>
      </c>
      <c r="E9" s="10">
        <v>8340201321</v>
      </c>
      <c r="F9" s="10" t="s">
        <v>9</v>
      </c>
      <c r="G9" s="17" t="s">
        <v>20</v>
      </c>
      <c r="H9" s="11">
        <f t="shared" si="0"/>
        <v>8000</v>
      </c>
      <c r="N9" s="10">
        <v>2000</v>
      </c>
      <c r="U9" s="10">
        <v>2000</v>
      </c>
      <c r="Z9" s="10">
        <v>2000</v>
      </c>
      <c r="AB9" s="21"/>
      <c r="AJ9" s="10">
        <v>2000</v>
      </c>
      <c r="AK9"/>
    </row>
    <row r="10" s="10" customFormat="1" spans="1:37">
      <c r="A10" s="10">
        <v>8</v>
      </c>
      <c r="C10" s="10">
        <v>8</v>
      </c>
      <c r="E10" s="10">
        <v>7004365158</v>
      </c>
      <c r="F10" s="10" t="s">
        <v>9</v>
      </c>
      <c r="G10" s="17" t="s">
        <v>22</v>
      </c>
      <c r="H10" s="11">
        <f t="shared" si="0"/>
        <v>35000</v>
      </c>
      <c r="I10" s="10">
        <v>5000</v>
      </c>
      <c r="N10" s="10">
        <v>5000</v>
      </c>
      <c r="Q10" s="10">
        <v>5000</v>
      </c>
      <c r="W10" s="10">
        <v>5000</v>
      </c>
      <c r="Y10" s="10">
        <v>2500</v>
      </c>
      <c r="Z10" s="10">
        <v>2500</v>
      </c>
      <c r="AA10" s="10">
        <v>5000</v>
      </c>
      <c r="AB10" s="21"/>
      <c r="AH10" s="10">
        <v>5000</v>
      </c>
      <c r="AK10"/>
    </row>
    <row r="11" s="10" customFormat="1" spans="1:37">
      <c r="A11" s="10">
        <v>9</v>
      </c>
      <c r="B11" s="10" t="s">
        <v>135</v>
      </c>
      <c r="C11" s="10">
        <v>9</v>
      </c>
      <c r="D11" s="10" t="s">
        <v>135</v>
      </c>
      <c r="E11" s="10">
        <v>9973022718</v>
      </c>
      <c r="F11" s="10" t="s">
        <v>23</v>
      </c>
      <c r="G11" s="17" t="s">
        <v>24</v>
      </c>
      <c r="H11" s="11">
        <f t="shared" si="0"/>
        <v>10000</v>
      </c>
      <c r="X11" s="19">
        <v>4000</v>
      </c>
      <c r="AB11" s="21"/>
      <c r="AH11" s="19">
        <v>6000</v>
      </c>
      <c r="AK11"/>
    </row>
    <row r="12" s="10" customFormat="1" spans="1:37">
      <c r="A12" s="10">
        <v>10</v>
      </c>
      <c r="C12" s="10">
        <v>10</v>
      </c>
      <c r="E12" s="10">
        <v>7004923653</v>
      </c>
      <c r="F12" s="10" t="s">
        <v>23</v>
      </c>
      <c r="G12" s="17" t="s">
        <v>25</v>
      </c>
      <c r="H12" s="11">
        <f t="shared" si="0"/>
        <v>5000</v>
      </c>
      <c r="O12" s="10">
        <v>600</v>
      </c>
      <c r="P12" s="10">
        <v>400</v>
      </c>
      <c r="U12" s="10">
        <v>800</v>
      </c>
      <c r="W12" s="10">
        <v>1400</v>
      </c>
      <c r="X12" s="10">
        <v>200</v>
      </c>
      <c r="Z12" s="10">
        <v>600</v>
      </c>
      <c r="AB12" s="21"/>
      <c r="AD12" s="10">
        <v>700</v>
      </c>
      <c r="AE12" s="10">
        <v>300</v>
      </c>
      <c r="AK12"/>
    </row>
    <row r="13" s="10" customFormat="1" spans="1:37">
      <c r="A13" s="10">
        <v>11</v>
      </c>
      <c r="C13" s="10">
        <v>11</v>
      </c>
      <c r="E13" s="10">
        <v>8340182577</v>
      </c>
      <c r="F13" s="10" t="s">
        <v>23</v>
      </c>
      <c r="G13" s="17" t="s">
        <v>26</v>
      </c>
      <c r="H13" s="11">
        <f t="shared" si="0"/>
        <v>30000</v>
      </c>
      <c r="N13" s="19">
        <v>10000</v>
      </c>
      <c r="U13" s="10">
        <v>5000</v>
      </c>
      <c r="Z13" s="10">
        <v>5000</v>
      </c>
      <c r="AB13" s="21"/>
      <c r="AD13" s="19">
        <v>5000</v>
      </c>
      <c r="AF13" s="10">
        <v>5000</v>
      </c>
      <c r="AK13"/>
    </row>
    <row r="14" s="10" customFormat="1" spans="1:37">
      <c r="A14" s="10">
        <v>12</v>
      </c>
      <c r="B14" s="10" t="s">
        <v>136</v>
      </c>
      <c r="C14" s="10">
        <v>12</v>
      </c>
      <c r="D14" s="10" t="s">
        <v>137</v>
      </c>
      <c r="E14" s="10">
        <v>7004740439</v>
      </c>
      <c r="F14" s="10" t="s">
        <v>23</v>
      </c>
      <c r="G14" s="17" t="s">
        <v>27</v>
      </c>
      <c r="H14" s="11">
        <f t="shared" si="0"/>
        <v>51000</v>
      </c>
      <c r="I14" s="19">
        <v>5000</v>
      </c>
      <c r="L14" s="10">
        <v>5000</v>
      </c>
      <c r="M14" s="10">
        <v>2500</v>
      </c>
      <c r="O14" s="10">
        <v>2500</v>
      </c>
      <c r="Q14" s="10">
        <v>5000</v>
      </c>
      <c r="U14" s="10">
        <v>5500</v>
      </c>
      <c r="W14" s="10">
        <v>3500</v>
      </c>
      <c r="Z14" s="10">
        <v>2500</v>
      </c>
      <c r="AB14" s="21">
        <v>3500</v>
      </c>
      <c r="AD14" s="10">
        <v>4000</v>
      </c>
      <c r="AE14" s="10">
        <v>2000</v>
      </c>
      <c r="AF14" s="10">
        <v>2000</v>
      </c>
      <c r="AH14" s="10">
        <v>2000</v>
      </c>
      <c r="AI14" s="10">
        <v>1500</v>
      </c>
      <c r="AJ14" s="10">
        <v>4500</v>
      </c>
      <c r="AK14"/>
    </row>
    <row r="15" s="10" customFormat="1" spans="1:37">
      <c r="A15" s="10">
        <v>13</v>
      </c>
      <c r="B15" s="10" t="s">
        <v>28</v>
      </c>
      <c r="C15" s="10">
        <v>13</v>
      </c>
      <c r="D15" s="10" t="s">
        <v>28</v>
      </c>
      <c r="F15" s="10" t="s">
        <v>23</v>
      </c>
      <c r="G15" s="17" t="s">
        <v>29</v>
      </c>
      <c r="H15" s="11">
        <f t="shared" si="0"/>
        <v>14000</v>
      </c>
      <c r="K15" s="10">
        <v>4000</v>
      </c>
      <c r="Q15" s="10">
        <v>2000</v>
      </c>
      <c r="U15" s="10">
        <v>2000</v>
      </c>
      <c r="W15" s="10">
        <v>2000</v>
      </c>
      <c r="AB15" s="21">
        <v>2000</v>
      </c>
      <c r="AF15" s="10">
        <v>2000</v>
      </c>
      <c r="AK15"/>
    </row>
    <row r="16" s="10" customFormat="1" spans="1:37">
      <c r="A16" s="10">
        <v>14</v>
      </c>
      <c r="B16" s="10" t="s">
        <v>138</v>
      </c>
      <c r="C16" s="10">
        <v>14</v>
      </c>
      <c r="D16" s="10" t="s">
        <v>138</v>
      </c>
      <c r="E16" s="10">
        <v>7321004323</v>
      </c>
      <c r="F16" s="10" t="s">
        <v>23</v>
      </c>
      <c r="G16" s="17" t="s">
        <v>30</v>
      </c>
      <c r="H16" s="11">
        <f t="shared" si="0"/>
        <v>4000</v>
      </c>
      <c r="J16" s="10">
        <v>1000</v>
      </c>
      <c r="W16" s="10">
        <v>2000</v>
      </c>
      <c r="AB16" s="21"/>
      <c r="AD16" s="10">
        <v>1000</v>
      </c>
      <c r="AK16"/>
    </row>
    <row r="17" s="10" customFormat="1" spans="1:37">
      <c r="A17" s="10">
        <v>15</v>
      </c>
      <c r="C17" s="10">
        <v>15</v>
      </c>
      <c r="D17" s="10" t="s">
        <v>139</v>
      </c>
      <c r="E17" s="10">
        <v>7903378748</v>
      </c>
      <c r="F17" s="10" t="s">
        <v>23</v>
      </c>
      <c r="G17" s="17" t="s">
        <v>32</v>
      </c>
      <c r="H17" s="11">
        <f t="shared" si="0"/>
        <v>3500</v>
      </c>
      <c r="X17" s="19">
        <v>3500</v>
      </c>
      <c r="AB17" s="21"/>
      <c r="AK17"/>
    </row>
    <row r="18" s="10" customFormat="1" spans="1:37">
      <c r="A18" s="10">
        <v>16</v>
      </c>
      <c r="C18" s="10">
        <v>16</v>
      </c>
      <c r="D18" s="10" t="s">
        <v>33</v>
      </c>
      <c r="F18" s="10" t="s">
        <v>23</v>
      </c>
      <c r="G18" s="17" t="s">
        <v>34</v>
      </c>
      <c r="H18" s="11">
        <f t="shared" si="0"/>
        <v>1000</v>
      </c>
      <c r="Y18" s="19">
        <v>1000</v>
      </c>
      <c r="AB18" s="21"/>
      <c r="AK18"/>
    </row>
    <row r="19" s="10" customFormat="1" spans="1:37">
      <c r="A19" s="10">
        <v>17</v>
      </c>
      <c r="B19" s="10" t="s">
        <v>140</v>
      </c>
      <c r="C19" s="10">
        <v>17</v>
      </c>
      <c r="D19" s="10" t="s">
        <v>140</v>
      </c>
      <c r="E19" s="10">
        <v>9608475282</v>
      </c>
      <c r="F19" s="10" t="s">
        <v>23</v>
      </c>
      <c r="G19" s="17" t="s">
        <v>35</v>
      </c>
      <c r="H19" s="11">
        <f t="shared" si="0"/>
        <v>13500</v>
      </c>
      <c r="I19" s="10">
        <v>1500</v>
      </c>
      <c r="N19" s="19">
        <v>3000</v>
      </c>
      <c r="W19" s="19">
        <v>3000</v>
      </c>
      <c r="AB19" s="21">
        <v>3000</v>
      </c>
      <c r="AH19" s="19">
        <v>3000</v>
      </c>
      <c r="AK19"/>
    </row>
    <row r="20" s="10" customFormat="1" spans="1:37">
      <c r="A20" s="10">
        <v>18</v>
      </c>
      <c r="B20" s="10" t="s">
        <v>141</v>
      </c>
      <c r="C20" s="10">
        <v>18</v>
      </c>
      <c r="D20" s="10" t="s">
        <v>141</v>
      </c>
      <c r="E20" s="10">
        <v>9661555592</v>
      </c>
      <c r="F20" s="10" t="s">
        <v>36</v>
      </c>
      <c r="G20" s="17" t="s">
        <v>37</v>
      </c>
      <c r="H20" s="11">
        <f t="shared" si="0"/>
        <v>25000</v>
      </c>
      <c r="K20" s="10">
        <v>5000</v>
      </c>
      <c r="M20" s="19">
        <v>5000</v>
      </c>
      <c r="R20" s="19">
        <v>5000</v>
      </c>
      <c r="AB20" s="21"/>
      <c r="AC20" s="19">
        <v>5000</v>
      </c>
      <c r="AG20" s="19">
        <v>5000</v>
      </c>
      <c r="AK20"/>
    </row>
    <row r="21" s="10" customFormat="1" spans="1:37">
      <c r="A21" s="10">
        <v>19</v>
      </c>
      <c r="B21" s="10" t="s">
        <v>142</v>
      </c>
      <c r="C21" s="10">
        <v>19</v>
      </c>
      <c r="D21" s="10" t="s">
        <v>142</v>
      </c>
      <c r="E21" s="10">
        <v>8340523512</v>
      </c>
      <c r="F21" s="10" t="s">
        <v>36</v>
      </c>
      <c r="G21" s="17" t="s">
        <v>38</v>
      </c>
      <c r="H21" s="11">
        <f t="shared" si="0"/>
        <v>13000</v>
      </c>
      <c r="K21" s="10">
        <v>2000</v>
      </c>
      <c r="N21" s="10">
        <v>2000</v>
      </c>
      <c r="S21" s="19">
        <v>1000</v>
      </c>
      <c r="W21" s="10">
        <v>2000</v>
      </c>
      <c r="Y21" s="10">
        <v>2000</v>
      </c>
      <c r="AB21" s="21">
        <v>2000</v>
      </c>
      <c r="AE21" s="10">
        <v>2000</v>
      </c>
      <c r="AK21"/>
    </row>
    <row r="22" s="10" customFormat="1" spans="1:37">
      <c r="A22" s="10">
        <v>20</v>
      </c>
      <c r="C22" s="10">
        <v>20</v>
      </c>
      <c r="E22" s="10">
        <v>8825310472</v>
      </c>
      <c r="F22" s="10" t="s">
        <v>36</v>
      </c>
      <c r="G22" s="17" t="s">
        <v>39</v>
      </c>
      <c r="H22" s="11">
        <f t="shared" si="0"/>
        <v>9000</v>
      </c>
      <c r="I22" s="10">
        <v>1000</v>
      </c>
      <c r="M22" s="10">
        <v>1000</v>
      </c>
      <c r="P22" s="10">
        <v>1000</v>
      </c>
      <c r="Q22" s="10">
        <v>1000</v>
      </c>
      <c r="U22" s="10">
        <v>1000</v>
      </c>
      <c r="AA22" s="10">
        <v>1000</v>
      </c>
      <c r="AB22" s="21">
        <v>1000</v>
      </c>
      <c r="AE22" s="10">
        <v>1000</v>
      </c>
      <c r="AI22" s="10">
        <v>1000</v>
      </c>
      <c r="AK22"/>
    </row>
    <row r="23" s="10" customFormat="1" spans="1:37">
      <c r="A23" s="10">
        <v>21</v>
      </c>
      <c r="B23" s="10" t="s">
        <v>143</v>
      </c>
      <c r="C23" s="10">
        <v>21</v>
      </c>
      <c r="D23" s="10" t="s">
        <v>143</v>
      </c>
      <c r="E23" s="10">
        <v>7004478123</v>
      </c>
      <c r="F23" s="10" t="s">
        <v>36</v>
      </c>
      <c r="G23" s="17" t="s">
        <v>40</v>
      </c>
      <c r="H23" s="11">
        <f t="shared" si="0"/>
        <v>25000</v>
      </c>
      <c r="O23" s="19">
        <v>10000</v>
      </c>
      <c r="X23" s="19">
        <v>10000</v>
      </c>
      <c r="AB23" s="21"/>
      <c r="AF23" s="19">
        <v>5000</v>
      </c>
      <c r="AK23"/>
    </row>
    <row r="24" s="10" customFormat="1" spans="1:37">
      <c r="A24" s="10">
        <v>22</v>
      </c>
      <c r="C24" s="10">
        <v>22</v>
      </c>
      <c r="E24" s="10">
        <v>7667895364</v>
      </c>
      <c r="F24" s="10" t="s">
        <v>36</v>
      </c>
      <c r="G24" s="17" t="s">
        <v>41</v>
      </c>
      <c r="H24" s="11">
        <f t="shared" si="0"/>
        <v>9000</v>
      </c>
      <c r="L24" s="10">
        <v>1000</v>
      </c>
      <c r="P24" s="10">
        <v>1000</v>
      </c>
      <c r="U24" s="10">
        <v>2000</v>
      </c>
      <c r="W24" s="10">
        <v>2000</v>
      </c>
      <c r="AA24" s="10">
        <v>1000</v>
      </c>
      <c r="AB24" s="21"/>
      <c r="AD24" s="10">
        <v>1000</v>
      </c>
      <c r="AI24" s="10">
        <v>1000</v>
      </c>
      <c r="AK24"/>
    </row>
    <row r="25" s="10" customFormat="1" spans="1:37">
      <c r="A25" s="10">
        <v>23</v>
      </c>
      <c r="B25" s="10" t="s">
        <v>144</v>
      </c>
      <c r="C25" s="10">
        <v>23</v>
      </c>
      <c r="D25" s="10" t="s">
        <v>144</v>
      </c>
      <c r="E25" s="10">
        <v>7006041121</v>
      </c>
      <c r="F25" s="10" t="s">
        <v>36</v>
      </c>
      <c r="G25" s="17" t="s">
        <v>42</v>
      </c>
      <c r="H25" s="11">
        <f t="shared" si="0"/>
        <v>12000</v>
      </c>
      <c r="J25" s="19">
        <v>3000</v>
      </c>
      <c r="M25" s="10">
        <v>3000</v>
      </c>
      <c r="U25" s="10">
        <v>3000</v>
      </c>
      <c r="Y25" s="10">
        <v>3000</v>
      </c>
      <c r="AB25" s="21"/>
      <c r="AK25"/>
    </row>
    <row r="26" s="10" customFormat="1" spans="1:37">
      <c r="A26" s="10">
        <v>24</v>
      </c>
      <c r="B26" s="10" t="s">
        <v>145</v>
      </c>
      <c r="C26" s="10">
        <v>24</v>
      </c>
      <c r="D26" s="10" t="s">
        <v>145</v>
      </c>
      <c r="E26" s="10">
        <v>8709658240</v>
      </c>
      <c r="F26" s="10" t="s">
        <v>36</v>
      </c>
      <c r="G26" s="17" t="s">
        <v>43</v>
      </c>
      <c r="H26" s="11">
        <f t="shared" si="0"/>
        <v>35000</v>
      </c>
      <c r="K26" s="19">
        <v>5000</v>
      </c>
      <c r="O26" s="19">
        <v>5000</v>
      </c>
      <c r="V26" s="19">
        <v>10000</v>
      </c>
      <c r="Z26" s="19">
        <v>5000</v>
      </c>
      <c r="AB26" s="21"/>
      <c r="AC26" s="19">
        <v>5000</v>
      </c>
      <c r="AI26" s="19">
        <v>5000</v>
      </c>
      <c r="AK26"/>
    </row>
    <row r="27" s="10" customFormat="1" spans="1:37">
      <c r="A27" s="10">
        <v>25</v>
      </c>
      <c r="C27" s="10">
        <v>25</v>
      </c>
      <c r="E27" s="10">
        <v>8709612020</v>
      </c>
      <c r="F27" s="10" t="s">
        <v>36</v>
      </c>
      <c r="G27" s="17" t="s">
        <v>44</v>
      </c>
      <c r="H27" s="11">
        <f t="shared" si="0"/>
        <v>24000</v>
      </c>
      <c r="I27" s="10">
        <v>3000</v>
      </c>
      <c r="K27" s="10">
        <v>3000</v>
      </c>
      <c r="Q27" s="10">
        <v>3000</v>
      </c>
      <c r="U27" s="10">
        <v>3000</v>
      </c>
      <c r="X27" s="10">
        <v>3000</v>
      </c>
      <c r="AA27" s="10">
        <v>3000</v>
      </c>
      <c r="AB27" s="21"/>
      <c r="AD27" s="10">
        <v>1000</v>
      </c>
      <c r="AE27" s="10">
        <v>2000</v>
      </c>
      <c r="AI27" s="10">
        <v>3000</v>
      </c>
      <c r="AK27"/>
    </row>
    <row r="28" s="10" customFormat="1" spans="1:37">
      <c r="A28" s="10">
        <v>26</v>
      </c>
      <c r="C28" s="10">
        <v>26</v>
      </c>
      <c r="D28" s="10" t="s">
        <v>146</v>
      </c>
      <c r="E28" s="10">
        <v>9973040600</v>
      </c>
      <c r="F28" s="10" t="s">
        <v>36</v>
      </c>
      <c r="G28" s="17" t="s">
        <v>45</v>
      </c>
      <c r="H28" s="11">
        <f t="shared" si="0"/>
        <v>11000</v>
      </c>
      <c r="K28" s="10">
        <v>1000</v>
      </c>
      <c r="L28" s="10">
        <v>1000</v>
      </c>
      <c r="N28" s="19">
        <v>1000</v>
      </c>
      <c r="R28" s="10">
        <v>1000</v>
      </c>
      <c r="W28" s="10">
        <v>1500</v>
      </c>
      <c r="Z28" s="19">
        <v>1000</v>
      </c>
      <c r="AB28" s="21"/>
      <c r="AD28" s="10">
        <v>1500</v>
      </c>
      <c r="AF28" s="10">
        <v>1500</v>
      </c>
      <c r="AH28" s="19">
        <v>1000</v>
      </c>
      <c r="AJ28" s="10">
        <v>500</v>
      </c>
      <c r="AK28"/>
    </row>
    <row r="29" s="10" customFormat="1" spans="1:37">
      <c r="A29" s="10">
        <v>27</v>
      </c>
      <c r="C29" s="10">
        <v>27</v>
      </c>
      <c r="E29" s="10">
        <v>9973345687</v>
      </c>
      <c r="F29" s="10" t="s">
        <v>36</v>
      </c>
      <c r="G29" s="17" t="s">
        <v>46</v>
      </c>
      <c r="H29" s="11">
        <f t="shared" si="0"/>
        <v>6000</v>
      </c>
      <c r="P29" s="10">
        <v>1000</v>
      </c>
      <c r="Q29" s="10">
        <v>1000</v>
      </c>
      <c r="W29" s="10">
        <v>2000</v>
      </c>
      <c r="AB29" s="21"/>
      <c r="AI29" s="10">
        <v>2000</v>
      </c>
      <c r="AK29"/>
    </row>
    <row r="30" s="10" customFormat="1" spans="1:37">
      <c r="A30" s="10">
        <v>28</v>
      </c>
      <c r="C30" s="10">
        <v>28</v>
      </c>
      <c r="E30" s="10">
        <v>9631391206</v>
      </c>
      <c r="F30" s="10" t="s">
        <v>36</v>
      </c>
      <c r="G30" s="17" t="s">
        <v>47</v>
      </c>
      <c r="H30" s="11">
        <f t="shared" si="0"/>
        <v>10000</v>
      </c>
      <c r="I30" s="10">
        <v>1000</v>
      </c>
      <c r="J30" s="10">
        <v>1000</v>
      </c>
      <c r="L30" s="10">
        <v>2000</v>
      </c>
      <c r="R30" s="10">
        <v>2000</v>
      </c>
      <c r="W30" s="10">
        <v>2000</v>
      </c>
      <c r="AB30" s="21">
        <v>2000</v>
      </c>
      <c r="AK30"/>
    </row>
    <row r="31" s="10" customFormat="1" spans="1:37">
      <c r="A31" s="10">
        <v>29</v>
      </c>
      <c r="B31" s="10" t="s">
        <v>147</v>
      </c>
      <c r="C31" s="10">
        <v>29</v>
      </c>
      <c r="D31" s="10" t="s">
        <v>147</v>
      </c>
      <c r="F31" s="10" t="s">
        <v>36</v>
      </c>
      <c r="G31" s="17" t="s">
        <v>48</v>
      </c>
      <c r="H31" s="11">
        <f t="shared" si="0"/>
        <v>20000</v>
      </c>
      <c r="I31" s="10">
        <v>5000</v>
      </c>
      <c r="N31" s="10">
        <v>5000</v>
      </c>
      <c r="W31" s="19">
        <v>5000</v>
      </c>
      <c r="AB31" s="21"/>
      <c r="AF31" s="19">
        <v>5000</v>
      </c>
      <c r="AK31"/>
    </row>
    <row r="32" s="10" customFormat="1" spans="1:37">
      <c r="A32" s="10">
        <v>30</v>
      </c>
      <c r="B32" s="10" t="s">
        <v>148</v>
      </c>
      <c r="C32" s="10">
        <v>30</v>
      </c>
      <c r="D32" s="10" t="s">
        <v>149</v>
      </c>
      <c r="F32" s="10" t="s">
        <v>36</v>
      </c>
      <c r="G32" s="17" t="s">
        <v>49</v>
      </c>
      <c r="H32" s="11">
        <f t="shared" si="0"/>
        <v>36000</v>
      </c>
      <c r="L32" s="19">
        <v>6000</v>
      </c>
      <c r="N32" s="10">
        <v>5000</v>
      </c>
      <c r="Q32" s="19">
        <v>5000</v>
      </c>
      <c r="U32" s="19">
        <v>10000</v>
      </c>
      <c r="AA32" s="10">
        <v>10000</v>
      </c>
      <c r="AB32" s="21"/>
      <c r="AK32"/>
    </row>
    <row r="33" s="10" customFormat="1" spans="1:37">
      <c r="A33" s="10">
        <v>31</v>
      </c>
      <c r="C33" s="10">
        <v>31</v>
      </c>
      <c r="F33" s="10" t="s">
        <v>36</v>
      </c>
      <c r="G33" s="17" t="s">
        <v>50</v>
      </c>
      <c r="H33" s="11">
        <f t="shared" si="0"/>
        <v>9000</v>
      </c>
      <c r="L33" s="10">
        <v>500</v>
      </c>
      <c r="M33" s="10">
        <v>1000</v>
      </c>
      <c r="N33" s="10">
        <v>500</v>
      </c>
      <c r="Q33" s="10">
        <v>1000</v>
      </c>
      <c r="R33" s="10">
        <v>1000</v>
      </c>
      <c r="W33" s="10">
        <v>1000</v>
      </c>
      <c r="X33" s="10">
        <v>1000</v>
      </c>
      <c r="Z33" s="10">
        <v>1000</v>
      </c>
      <c r="AB33" s="21"/>
      <c r="AI33" s="10">
        <v>1000</v>
      </c>
      <c r="AJ33" s="10">
        <v>1000</v>
      </c>
      <c r="AK33"/>
    </row>
    <row r="34" s="10" customFormat="1" spans="1:37">
      <c r="A34" s="10">
        <v>32</v>
      </c>
      <c r="B34" s="10" t="s">
        <v>150</v>
      </c>
      <c r="C34" s="10">
        <v>32</v>
      </c>
      <c r="D34" s="10" t="s">
        <v>150</v>
      </c>
      <c r="F34" s="10" t="s">
        <v>51</v>
      </c>
      <c r="G34" s="17" t="s">
        <v>52</v>
      </c>
      <c r="H34" s="11">
        <f t="shared" si="0"/>
        <v>14000</v>
      </c>
      <c r="I34" s="10">
        <v>2000</v>
      </c>
      <c r="M34" s="10">
        <v>1000</v>
      </c>
      <c r="P34" s="10">
        <v>1000</v>
      </c>
      <c r="Q34" s="10">
        <v>1000</v>
      </c>
      <c r="U34" s="10">
        <v>1000</v>
      </c>
      <c r="W34" s="10">
        <v>2000</v>
      </c>
      <c r="X34" s="10">
        <v>1000</v>
      </c>
      <c r="AA34" s="10">
        <v>1000</v>
      </c>
      <c r="AB34" s="21"/>
      <c r="AD34" s="10">
        <v>1000</v>
      </c>
      <c r="AI34" s="10">
        <v>1000</v>
      </c>
      <c r="AJ34" s="10">
        <v>2000</v>
      </c>
      <c r="AK34"/>
    </row>
    <row r="35" s="10" customFormat="1" spans="1:37">
      <c r="A35" s="10">
        <v>33</v>
      </c>
      <c r="C35" s="10">
        <v>33</v>
      </c>
      <c r="F35" s="10" t="s">
        <v>51</v>
      </c>
      <c r="G35" s="17" t="s">
        <v>53</v>
      </c>
      <c r="H35" s="11">
        <f t="shared" si="0"/>
        <v>7500</v>
      </c>
      <c r="I35" s="10">
        <v>1000</v>
      </c>
      <c r="M35" s="10">
        <v>1000</v>
      </c>
      <c r="O35" s="19">
        <v>1000</v>
      </c>
      <c r="R35" s="10">
        <v>2000</v>
      </c>
      <c r="W35" s="10">
        <v>1000</v>
      </c>
      <c r="AB35" s="21"/>
      <c r="AE35" s="10">
        <v>1000</v>
      </c>
      <c r="AJ35" s="10">
        <v>500</v>
      </c>
      <c r="AK35"/>
    </row>
    <row r="36" s="10" customFormat="1" spans="1:37">
      <c r="A36" s="10">
        <v>34</v>
      </c>
      <c r="C36" s="10">
        <v>34</v>
      </c>
      <c r="E36" s="10">
        <v>7654800030</v>
      </c>
      <c r="F36" s="10" t="s">
        <v>51</v>
      </c>
      <c r="G36" s="17" t="s">
        <v>54</v>
      </c>
      <c r="H36" s="11">
        <f t="shared" si="0"/>
        <v>2000</v>
      </c>
      <c r="J36" s="10">
        <v>2000</v>
      </c>
      <c r="AB36" s="21"/>
      <c r="AK36"/>
    </row>
    <row r="37" s="10" customFormat="1" spans="1:37">
      <c r="A37" s="10">
        <v>35</v>
      </c>
      <c r="C37" s="10">
        <v>35</v>
      </c>
      <c r="F37" s="10" t="s">
        <v>51</v>
      </c>
      <c r="G37" s="17" t="s">
        <v>55</v>
      </c>
      <c r="H37" s="11">
        <f t="shared" si="0"/>
        <v>30000</v>
      </c>
      <c r="K37" s="19">
        <v>6000</v>
      </c>
      <c r="Q37" s="19">
        <v>6000</v>
      </c>
      <c r="U37" s="10">
        <v>3000</v>
      </c>
      <c r="X37" s="19">
        <v>6000</v>
      </c>
      <c r="AA37" s="19">
        <v>3000</v>
      </c>
      <c r="AB37" s="21"/>
      <c r="AD37" s="19">
        <v>3000</v>
      </c>
      <c r="AI37" s="19">
        <v>3000</v>
      </c>
      <c r="AK37"/>
    </row>
    <row r="38" s="10" customFormat="1" spans="1:37">
      <c r="A38" s="10">
        <v>36</v>
      </c>
      <c r="C38" s="10">
        <v>36</v>
      </c>
      <c r="F38" s="10" t="s">
        <v>51</v>
      </c>
      <c r="G38" s="17" t="s">
        <v>56</v>
      </c>
      <c r="H38" s="11">
        <f t="shared" si="0"/>
        <v>0</v>
      </c>
      <c r="AB38" s="21"/>
      <c r="AK38"/>
    </row>
    <row r="39" s="10" customFormat="1" spans="1:37">
      <c r="A39" s="10">
        <v>37</v>
      </c>
      <c r="B39" s="10" t="s">
        <v>151</v>
      </c>
      <c r="C39" s="10">
        <v>37</v>
      </c>
      <c r="D39" s="10" t="s">
        <v>151</v>
      </c>
      <c r="F39" s="10" t="s">
        <v>51</v>
      </c>
      <c r="G39" s="17" t="s">
        <v>57</v>
      </c>
      <c r="H39" s="11">
        <f t="shared" si="0"/>
        <v>15000</v>
      </c>
      <c r="Q39" s="10">
        <v>3000</v>
      </c>
      <c r="U39" s="19">
        <v>3000</v>
      </c>
      <c r="AB39" s="22">
        <v>2000</v>
      </c>
      <c r="AE39" s="19">
        <v>1000</v>
      </c>
      <c r="AI39" s="19">
        <v>3000</v>
      </c>
      <c r="AJ39" s="19">
        <v>3000</v>
      </c>
      <c r="AK39"/>
    </row>
    <row r="40" s="10" customFormat="1" spans="1:37">
      <c r="A40" s="10">
        <v>38</v>
      </c>
      <c r="B40" s="10" t="s">
        <v>152</v>
      </c>
      <c r="C40" s="10">
        <v>38</v>
      </c>
      <c r="D40" s="10" t="s">
        <v>152</v>
      </c>
      <c r="E40" s="10" t="s">
        <v>153</v>
      </c>
      <c r="F40" s="10" t="s">
        <v>51</v>
      </c>
      <c r="G40" s="17" t="s">
        <v>58</v>
      </c>
      <c r="H40" s="11">
        <f t="shared" si="0"/>
        <v>5500</v>
      </c>
      <c r="V40" s="19">
        <v>2000</v>
      </c>
      <c r="AB40" s="22">
        <v>2000</v>
      </c>
      <c r="AJ40" s="19">
        <v>1500</v>
      </c>
      <c r="AK40"/>
    </row>
    <row r="41" s="10" customFormat="1" spans="1:37">
      <c r="A41" s="10">
        <v>39</v>
      </c>
      <c r="C41" s="10">
        <v>39</v>
      </c>
      <c r="F41" s="10" t="s">
        <v>51</v>
      </c>
      <c r="G41" s="17" t="s">
        <v>59</v>
      </c>
      <c r="H41" s="11">
        <f t="shared" si="0"/>
        <v>6000</v>
      </c>
      <c r="I41" s="10">
        <v>2000</v>
      </c>
      <c r="Q41" s="10">
        <v>2000</v>
      </c>
      <c r="X41" s="10">
        <v>2000</v>
      </c>
      <c r="AB41" s="21"/>
      <c r="AK41"/>
    </row>
    <row r="42" s="10" customFormat="1" spans="1:37">
      <c r="A42" s="10">
        <v>40</v>
      </c>
      <c r="C42" s="10">
        <v>40</v>
      </c>
      <c r="F42" s="10" t="s">
        <v>51</v>
      </c>
      <c r="G42" s="17" t="s">
        <v>60</v>
      </c>
      <c r="H42" s="11">
        <f t="shared" si="0"/>
        <v>10000</v>
      </c>
      <c r="M42" s="10">
        <v>2000</v>
      </c>
      <c r="U42" s="10">
        <v>1000</v>
      </c>
      <c r="W42" s="10">
        <v>1000</v>
      </c>
      <c r="AB42" s="21">
        <v>2000</v>
      </c>
      <c r="AH42" s="10">
        <v>1500</v>
      </c>
      <c r="AI42" s="10">
        <v>500</v>
      </c>
      <c r="AJ42" s="10">
        <v>2000</v>
      </c>
      <c r="AK42"/>
    </row>
    <row r="43" s="10" customFormat="1" spans="1:37">
      <c r="A43" s="10">
        <v>41</v>
      </c>
      <c r="C43" s="10">
        <v>41</v>
      </c>
      <c r="E43" s="10">
        <v>8210095108</v>
      </c>
      <c r="F43" s="10" t="s">
        <v>51</v>
      </c>
      <c r="G43" s="17" t="s">
        <v>61</v>
      </c>
      <c r="H43" s="11">
        <f t="shared" si="0"/>
        <v>39000</v>
      </c>
      <c r="I43" s="10">
        <v>3000</v>
      </c>
      <c r="J43" s="10">
        <v>3000</v>
      </c>
      <c r="M43" s="10">
        <v>3000</v>
      </c>
      <c r="P43" s="10">
        <v>3000</v>
      </c>
      <c r="Q43" s="10">
        <v>3000</v>
      </c>
      <c r="U43" s="10">
        <v>6000</v>
      </c>
      <c r="W43" s="10">
        <v>2000</v>
      </c>
      <c r="X43" s="10">
        <v>1000</v>
      </c>
      <c r="Z43" s="10">
        <v>3000</v>
      </c>
      <c r="AB43" s="21">
        <v>3000</v>
      </c>
      <c r="AD43" s="10">
        <v>1000</v>
      </c>
      <c r="AE43" s="10">
        <v>3000</v>
      </c>
      <c r="AH43" s="10">
        <v>3000</v>
      </c>
      <c r="AJ43" s="10">
        <v>2000</v>
      </c>
      <c r="AK43"/>
    </row>
    <row r="44" s="10" customFormat="1" spans="1:37">
      <c r="A44" s="10">
        <v>42</v>
      </c>
      <c r="C44" s="10">
        <v>42</v>
      </c>
      <c r="D44" s="10" t="s">
        <v>154</v>
      </c>
      <c r="F44" s="10" t="s">
        <v>51</v>
      </c>
      <c r="G44" s="17" t="s">
        <v>62</v>
      </c>
      <c r="H44" s="11">
        <f t="shared" si="0"/>
        <v>2000</v>
      </c>
      <c r="U44" s="19">
        <v>2000</v>
      </c>
      <c r="AB44" s="21"/>
      <c r="AK44"/>
    </row>
    <row r="45" s="10" customFormat="1" spans="1:37">
      <c r="A45" s="10">
        <v>43</v>
      </c>
      <c r="C45" s="10">
        <v>43</v>
      </c>
      <c r="D45" s="10" t="s">
        <v>155</v>
      </c>
      <c r="F45" s="10" t="s">
        <v>51</v>
      </c>
      <c r="G45" s="17" t="s">
        <v>63</v>
      </c>
      <c r="H45" s="11">
        <f t="shared" si="0"/>
        <v>24000</v>
      </c>
      <c r="J45" s="10">
        <v>3000</v>
      </c>
      <c r="M45" s="10">
        <v>3000</v>
      </c>
      <c r="O45" s="10">
        <v>3000</v>
      </c>
      <c r="R45" s="10">
        <v>3000</v>
      </c>
      <c r="W45" s="19">
        <v>3000</v>
      </c>
      <c r="Y45" s="19">
        <v>3000</v>
      </c>
      <c r="AB45" s="21"/>
      <c r="AD45" s="10">
        <v>3000</v>
      </c>
      <c r="AH45" s="19">
        <v>3000</v>
      </c>
      <c r="AK45"/>
    </row>
    <row r="46" s="10" customFormat="1" spans="1:37">
      <c r="A46" s="10">
        <v>44</v>
      </c>
      <c r="B46" s="10" t="s">
        <v>156</v>
      </c>
      <c r="C46" s="10">
        <v>44</v>
      </c>
      <c r="D46" s="10" t="s">
        <v>156</v>
      </c>
      <c r="F46" s="10" t="s">
        <v>64</v>
      </c>
      <c r="G46" s="17" t="s">
        <v>65</v>
      </c>
      <c r="H46" s="11">
        <f t="shared" si="0"/>
        <v>18000</v>
      </c>
      <c r="M46" s="19">
        <v>3000</v>
      </c>
      <c r="S46" s="19">
        <v>3000</v>
      </c>
      <c r="X46" s="19">
        <v>3000</v>
      </c>
      <c r="AB46" s="21"/>
      <c r="AD46" s="10">
        <v>3000</v>
      </c>
      <c r="AI46" s="19">
        <v>6000</v>
      </c>
      <c r="AK46"/>
    </row>
    <row r="47" s="10" customFormat="1" spans="1:37">
      <c r="A47" s="10">
        <v>45</v>
      </c>
      <c r="C47" s="10">
        <v>45</v>
      </c>
      <c r="F47" s="10" t="s">
        <v>64</v>
      </c>
      <c r="G47" s="17" t="s">
        <v>66</v>
      </c>
      <c r="H47" s="11">
        <f t="shared" si="0"/>
        <v>12000</v>
      </c>
      <c r="M47" s="10">
        <v>3000</v>
      </c>
      <c r="U47" s="10">
        <v>3000</v>
      </c>
      <c r="AA47" s="10">
        <v>3000</v>
      </c>
      <c r="AB47" s="21"/>
      <c r="AF47" s="10">
        <v>2000</v>
      </c>
      <c r="AH47" s="10">
        <v>1000</v>
      </c>
      <c r="AK47"/>
    </row>
    <row r="48" s="10" customFormat="1" spans="1:37">
      <c r="A48" s="10">
        <v>46</v>
      </c>
      <c r="B48" s="10" t="s">
        <v>157</v>
      </c>
      <c r="C48" s="10">
        <v>46</v>
      </c>
      <c r="D48" s="10" t="s">
        <v>157</v>
      </c>
      <c r="E48" s="10">
        <v>7004729703</v>
      </c>
      <c r="F48" s="10" t="s">
        <v>64</v>
      </c>
      <c r="G48" s="17" t="s">
        <v>67</v>
      </c>
      <c r="H48" s="11">
        <f t="shared" si="0"/>
        <v>4000</v>
      </c>
      <c r="M48" s="19">
        <v>2000</v>
      </c>
      <c r="W48" s="19">
        <v>2000</v>
      </c>
      <c r="AB48" s="21"/>
      <c r="AK48"/>
    </row>
    <row r="49" s="10" customFormat="1" spans="1:37">
      <c r="A49" s="10">
        <v>47</v>
      </c>
      <c r="B49" s="10" t="s">
        <v>158</v>
      </c>
      <c r="C49" s="10">
        <v>47</v>
      </c>
      <c r="D49" s="10" t="s">
        <v>158</v>
      </c>
      <c r="E49" s="10">
        <v>8863097933</v>
      </c>
      <c r="F49" s="10" t="s">
        <v>64</v>
      </c>
      <c r="G49" s="17" t="s">
        <v>68</v>
      </c>
      <c r="H49" s="11">
        <f t="shared" si="0"/>
        <v>34000</v>
      </c>
      <c r="K49" s="10">
        <v>6000</v>
      </c>
      <c r="M49" s="10">
        <v>2500</v>
      </c>
      <c r="P49" s="10">
        <v>3500</v>
      </c>
      <c r="S49" s="19">
        <v>5000</v>
      </c>
      <c r="U49" s="19">
        <v>6000</v>
      </c>
      <c r="AA49" s="19">
        <v>5000</v>
      </c>
      <c r="AB49" s="21"/>
      <c r="AE49" s="19">
        <v>6000</v>
      </c>
      <c r="AK49"/>
    </row>
    <row r="50" s="10" customFormat="1" spans="1:37">
      <c r="A50" s="10">
        <v>48</v>
      </c>
      <c r="B50" s="10" t="s">
        <v>159</v>
      </c>
      <c r="C50" s="10">
        <v>48</v>
      </c>
      <c r="D50" s="10" t="s">
        <v>159</v>
      </c>
      <c r="E50" s="10">
        <v>9835443096</v>
      </c>
      <c r="F50" s="10" t="s">
        <v>64</v>
      </c>
      <c r="G50" s="17" t="s">
        <v>69</v>
      </c>
      <c r="H50" s="11">
        <f t="shared" si="0"/>
        <v>27000</v>
      </c>
      <c r="K50" s="19">
        <v>6000</v>
      </c>
      <c r="M50" s="10">
        <v>3000</v>
      </c>
      <c r="P50" s="10">
        <v>3000</v>
      </c>
      <c r="U50" s="19">
        <v>3000</v>
      </c>
      <c r="X50" s="19">
        <v>6000</v>
      </c>
      <c r="AB50" s="21"/>
      <c r="AI50" s="19">
        <v>6000</v>
      </c>
      <c r="AK50"/>
    </row>
    <row r="51" s="10" customFormat="1" spans="1:37">
      <c r="A51" s="10">
        <v>49</v>
      </c>
      <c r="B51" s="10" t="s">
        <v>160</v>
      </c>
      <c r="C51" s="10">
        <v>49</v>
      </c>
      <c r="D51" s="10" t="s">
        <v>160</v>
      </c>
      <c r="F51" s="10" t="s">
        <v>64</v>
      </c>
      <c r="G51" s="17" t="s">
        <v>70</v>
      </c>
      <c r="H51" s="11">
        <f t="shared" si="0"/>
        <v>4000</v>
      </c>
      <c r="K51" s="10">
        <v>2000</v>
      </c>
      <c r="AA51" s="19">
        <v>2000</v>
      </c>
      <c r="AB51" s="21"/>
      <c r="AK51"/>
    </row>
    <row r="52" s="10" customFormat="1" spans="1:37">
      <c r="A52" s="10">
        <v>50</v>
      </c>
      <c r="C52" s="10">
        <v>50</v>
      </c>
      <c r="F52" s="10" t="s">
        <v>64</v>
      </c>
      <c r="G52" s="17" t="s">
        <v>71</v>
      </c>
      <c r="H52" s="11">
        <f t="shared" si="0"/>
        <v>0</v>
      </c>
      <c r="AB52" s="21"/>
      <c r="AK52"/>
    </row>
    <row r="53" s="10" customFormat="1" spans="1:37">
      <c r="A53" s="10">
        <v>51</v>
      </c>
      <c r="B53" s="10" t="s">
        <v>161</v>
      </c>
      <c r="C53" s="10">
        <v>51</v>
      </c>
      <c r="D53" s="10" t="s">
        <v>161</v>
      </c>
      <c r="F53" s="10" t="s">
        <v>64</v>
      </c>
      <c r="G53" s="17" t="s">
        <v>72</v>
      </c>
      <c r="H53" s="11">
        <f t="shared" si="0"/>
        <v>18000</v>
      </c>
      <c r="K53" s="10">
        <v>3000</v>
      </c>
      <c r="P53" s="19">
        <v>3000</v>
      </c>
      <c r="V53" s="19">
        <v>4000</v>
      </c>
      <c r="X53" s="19">
        <v>2000</v>
      </c>
      <c r="AB53" s="21"/>
      <c r="AC53" s="19">
        <v>2000</v>
      </c>
      <c r="AE53" s="19">
        <v>2000</v>
      </c>
      <c r="AH53" s="19">
        <v>2000</v>
      </c>
      <c r="AK53"/>
    </row>
    <row r="54" s="10" customFormat="1" spans="1:37">
      <c r="A54" s="10">
        <v>52</v>
      </c>
      <c r="C54" s="10">
        <v>52</v>
      </c>
      <c r="F54" s="10" t="s">
        <v>64</v>
      </c>
      <c r="G54" s="17" t="s">
        <v>73</v>
      </c>
      <c r="H54" s="11">
        <f t="shared" si="0"/>
        <v>20000</v>
      </c>
      <c r="M54" s="19">
        <v>2000</v>
      </c>
      <c r="S54" s="19">
        <v>4000</v>
      </c>
      <c r="X54" s="19">
        <v>4000</v>
      </c>
      <c r="AB54" s="21"/>
      <c r="AD54" s="10">
        <v>8000</v>
      </c>
      <c r="AI54" s="19">
        <v>2000</v>
      </c>
      <c r="AK54"/>
    </row>
    <row r="55" s="10" customFormat="1" spans="1:37">
      <c r="A55" s="10">
        <v>53</v>
      </c>
      <c r="B55" s="10" t="s">
        <v>162</v>
      </c>
      <c r="C55" s="10">
        <v>53</v>
      </c>
      <c r="D55" s="10" t="s">
        <v>162</v>
      </c>
      <c r="F55" s="10" t="s">
        <v>64</v>
      </c>
      <c r="G55" s="17" t="s">
        <v>74</v>
      </c>
      <c r="H55" s="11">
        <f t="shared" si="0"/>
        <v>0</v>
      </c>
      <c r="AB55" s="21"/>
      <c r="AK55"/>
    </row>
    <row r="56" s="10" customFormat="1" spans="1:37">
      <c r="A56" s="10">
        <v>54</v>
      </c>
      <c r="B56" s="10" t="s">
        <v>163</v>
      </c>
      <c r="C56" s="10">
        <v>54</v>
      </c>
      <c r="D56" s="10" t="s">
        <v>163</v>
      </c>
      <c r="F56" s="10" t="s">
        <v>64</v>
      </c>
      <c r="G56" s="17" t="s">
        <v>75</v>
      </c>
      <c r="H56" s="11">
        <f t="shared" si="0"/>
        <v>5000</v>
      </c>
      <c r="Q56" s="19">
        <v>2000</v>
      </c>
      <c r="X56" s="19">
        <v>3000</v>
      </c>
      <c r="AB56" s="21"/>
      <c r="AK56"/>
    </row>
    <row r="57" s="10" customFormat="1" spans="1:37">
      <c r="A57" s="10">
        <v>55</v>
      </c>
      <c r="C57" s="10">
        <v>55</v>
      </c>
      <c r="E57" s="10">
        <v>6202424016</v>
      </c>
      <c r="F57" s="10" t="s">
        <v>64</v>
      </c>
      <c r="G57" s="17" t="s">
        <v>76</v>
      </c>
      <c r="H57" s="11">
        <f t="shared" si="0"/>
        <v>0</v>
      </c>
      <c r="AB57" s="21"/>
      <c r="AK57"/>
    </row>
    <row r="58" s="10" customFormat="1" spans="1:37">
      <c r="A58" s="10">
        <v>56</v>
      </c>
      <c r="C58" s="10">
        <v>56</v>
      </c>
      <c r="E58" s="10">
        <v>7004211364</v>
      </c>
      <c r="F58" s="10" t="s">
        <v>77</v>
      </c>
      <c r="G58" s="17" t="s">
        <v>78</v>
      </c>
      <c r="H58" s="11">
        <f t="shared" si="0"/>
        <v>12000</v>
      </c>
      <c r="Q58" s="10">
        <v>4000</v>
      </c>
      <c r="Z58" s="10">
        <v>4000</v>
      </c>
      <c r="AB58" s="21">
        <v>2000</v>
      </c>
      <c r="AE58" s="10">
        <v>2000</v>
      </c>
      <c r="AK58"/>
    </row>
    <row r="59" s="10" customFormat="1" spans="1:37">
      <c r="A59" s="10">
        <v>57</v>
      </c>
      <c r="B59" s="10" t="s">
        <v>164</v>
      </c>
      <c r="C59" s="10">
        <v>57</v>
      </c>
      <c r="D59" s="10" t="s">
        <v>164</v>
      </c>
      <c r="F59" s="10" t="s">
        <v>77</v>
      </c>
      <c r="G59" s="17" t="s">
        <v>79</v>
      </c>
      <c r="H59" s="11">
        <f t="shared" si="0"/>
        <v>30000</v>
      </c>
      <c r="O59" s="19">
        <v>10000</v>
      </c>
      <c r="X59" s="19">
        <v>10000</v>
      </c>
      <c r="AB59" s="21"/>
      <c r="AF59" s="19">
        <v>10000</v>
      </c>
      <c r="AK59"/>
    </row>
    <row r="60" s="10" customFormat="1" spans="1:37">
      <c r="A60" s="10">
        <v>58</v>
      </c>
      <c r="C60" s="10">
        <v>58</v>
      </c>
      <c r="F60" s="10" t="s">
        <v>77</v>
      </c>
      <c r="G60" s="17" t="s">
        <v>80</v>
      </c>
      <c r="H60" s="11">
        <f t="shared" si="0"/>
        <v>20000</v>
      </c>
      <c r="K60" s="10">
        <v>5000</v>
      </c>
      <c r="Q60" s="10">
        <v>5000</v>
      </c>
      <c r="X60" s="10">
        <v>5000</v>
      </c>
      <c r="AB60" s="21">
        <v>5000</v>
      </c>
      <c r="AK60"/>
    </row>
    <row r="61" s="10" customFormat="1" spans="1:37">
      <c r="A61" s="10">
        <v>59</v>
      </c>
      <c r="C61" s="10">
        <v>59</v>
      </c>
      <c r="E61" s="10">
        <v>9798805204</v>
      </c>
      <c r="F61" s="10" t="s">
        <v>77</v>
      </c>
      <c r="G61" s="17" t="s">
        <v>81</v>
      </c>
      <c r="H61" s="11">
        <f t="shared" si="0"/>
        <v>8000</v>
      </c>
      <c r="P61" s="10">
        <v>1000</v>
      </c>
      <c r="Q61" s="10">
        <v>1000</v>
      </c>
      <c r="Z61" s="10">
        <v>4000</v>
      </c>
      <c r="AB61" s="21"/>
      <c r="AE61" s="10">
        <v>2000</v>
      </c>
      <c r="AK61"/>
    </row>
    <row r="62" s="10" customFormat="1" spans="1:37">
      <c r="A62" s="10">
        <v>60</v>
      </c>
      <c r="B62" s="10" t="s">
        <v>165</v>
      </c>
      <c r="C62" s="10">
        <v>60</v>
      </c>
      <c r="D62" s="10" t="s">
        <v>165</v>
      </c>
      <c r="E62" s="10">
        <v>9504958065</v>
      </c>
      <c r="F62" s="10" t="s">
        <v>82</v>
      </c>
      <c r="G62" s="17" t="s">
        <v>83</v>
      </c>
      <c r="H62" s="11">
        <f t="shared" si="0"/>
        <v>25000</v>
      </c>
      <c r="N62" s="10">
        <v>10000</v>
      </c>
      <c r="T62" s="10">
        <v>5000</v>
      </c>
      <c r="Y62" s="10">
        <v>5000</v>
      </c>
      <c r="AB62" s="21"/>
      <c r="AH62" s="19">
        <v>5000</v>
      </c>
      <c r="AK62"/>
    </row>
    <row r="63" s="10" customFormat="1" spans="1:37">
      <c r="A63" s="10">
        <v>61</v>
      </c>
      <c r="C63" s="10">
        <v>61</v>
      </c>
      <c r="E63" s="10">
        <v>9852299192</v>
      </c>
      <c r="F63" s="10" t="s">
        <v>82</v>
      </c>
      <c r="G63" s="17" t="s">
        <v>84</v>
      </c>
      <c r="H63" s="11">
        <f t="shared" si="0"/>
        <v>0</v>
      </c>
      <c r="AB63" s="21"/>
      <c r="AK63"/>
    </row>
    <row r="64" s="10" customFormat="1" spans="1:37">
      <c r="A64" s="10">
        <v>62</v>
      </c>
      <c r="B64" s="10" t="s">
        <v>166</v>
      </c>
      <c r="C64" s="10">
        <v>62</v>
      </c>
      <c r="D64" s="10" t="s">
        <v>166</v>
      </c>
      <c r="E64" s="10" t="s">
        <v>167</v>
      </c>
      <c r="F64" s="10" t="s">
        <v>82</v>
      </c>
      <c r="G64" s="17" t="s">
        <v>86</v>
      </c>
      <c r="H64" s="11">
        <f t="shared" si="0"/>
        <v>5000</v>
      </c>
      <c r="AB64" s="21"/>
      <c r="AD64" s="19">
        <v>5000</v>
      </c>
      <c r="AK64"/>
    </row>
    <row r="65" s="10" customFormat="1" spans="1:37">
      <c r="A65" s="10">
        <v>63</v>
      </c>
      <c r="B65" s="10" t="s">
        <v>168</v>
      </c>
      <c r="C65" s="10">
        <v>63</v>
      </c>
      <c r="D65" s="10" t="s">
        <v>169</v>
      </c>
      <c r="E65" s="10">
        <v>7004399486</v>
      </c>
      <c r="F65" s="10" t="s">
        <v>87</v>
      </c>
      <c r="G65" s="10" t="s">
        <v>88</v>
      </c>
      <c r="H65" s="11">
        <f t="shared" si="0"/>
        <v>12000</v>
      </c>
      <c r="J65" s="19">
        <v>2000</v>
      </c>
      <c r="N65" s="19">
        <v>2000</v>
      </c>
      <c r="T65" s="19">
        <v>2000</v>
      </c>
      <c r="W65" s="19">
        <v>2000</v>
      </c>
      <c r="AB65" s="22">
        <v>2000</v>
      </c>
      <c r="AF65" s="19">
        <v>2000</v>
      </c>
      <c r="AK65"/>
    </row>
    <row r="66" s="10" customFormat="1" spans="1:37">
      <c r="A66" s="10">
        <v>64</v>
      </c>
      <c r="B66" s="10" t="s">
        <v>170</v>
      </c>
      <c r="C66" s="10">
        <v>64</v>
      </c>
      <c r="D66" s="10" t="s">
        <v>170</v>
      </c>
      <c r="F66" s="10" t="s">
        <v>87</v>
      </c>
      <c r="G66" s="17" t="s">
        <v>89</v>
      </c>
      <c r="H66" s="11">
        <f t="shared" ref="H66:H96" si="2">SUM(I66:AM66)</f>
        <v>9000</v>
      </c>
      <c r="N66" s="19">
        <v>3000</v>
      </c>
      <c r="S66" s="19">
        <v>2000</v>
      </c>
      <c r="AB66" s="22">
        <v>2000</v>
      </c>
      <c r="AH66" s="19">
        <v>2000</v>
      </c>
      <c r="AK66"/>
    </row>
    <row r="67" s="10" customFormat="1" spans="1:37">
      <c r="A67" s="10">
        <v>65</v>
      </c>
      <c r="C67" s="10">
        <v>65</v>
      </c>
      <c r="F67" s="10" t="s">
        <v>90</v>
      </c>
      <c r="G67" s="17" t="s">
        <v>91</v>
      </c>
      <c r="H67" s="11">
        <f t="shared" si="2"/>
        <v>5000</v>
      </c>
      <c r="R67" s="10">
        <v>3000</v>
      </c>
      <c r="AB67" s="21"/>
      <c r="AJ67" s="10">
        <v>2000</v>
      </c>
      <c r="AK67"/>
    </row>
    <row r="68" s="10" customFormat="1" spans="1:37">
      <c r="A68" s="10">
        <v>66</v>
      </c>
      <c r="C68" s="10">
        <v>66</v>
      </c>
      <c r="F68" s="10" t="s">
        <v>92</v>
      </c>
      <c r="G68" s="17" t="s">
        <v>93</v>
      </c>
      <c r="H68" s="11">
        <f t="shared" si="2"/>
        <v>10000</v>
      </c>
      <c r="M68" s="10">
        <v>6000</v>
      </c>
      <c r="X68" s="10">
        <v>4000</v>
      </c>
      <c r="AB68" s="21"/>
      <c r="AK68"/>
    </row>
    <row r="69" s="10" customFormat="1" spans="1:37">
      <c r="A69" s="10">
        <v>67</v>
      </c>
      <c r="C69" s="10">
        <v>67</v>
      </c>
      <c r="F69" s="10" t="s">
        <v>92</v>
      </c>
      <c r="G69" s="17" t="s">
        <v>94</v>
      </c>
      <c r="H69" s="11">
        <f t="shared" si="2"/>
        <v>8000</v>
      </c>
      <c r="M69" s="10">
        <v>2000</v>
      </c>
      <c r="U69" s="10">
        <v>3000</v>
      </c>
      <c r="Z69" s="10">
        <v>1000</v>
      </c>
      <c r="AB69" s="21"/>
      <c r="AE69" s="10">
        <v>2000</v>
      </c>
      <c r="AK69"/>
    </row>
    <row r="70" s="10" customFormat="1" spans="1:37">
      <c r="A70" s="10">
        <v>68</v>
      </c>
      <c r="C70" s="10">
        <v>68</v>
      </c>
      <c r="E70" s="10">
        <v>7903311240</v>
      </c>
      <c r="F70" s="10" t="s">
        <v>92</v>
      </c>
      <c r="G70" s="17" t="s">
        <v>95</v>
      </c>
      <c r="H70" s="11">
        <f t="shared" si="2"/>
        <v>3000</v>
      </c>
      <c r="X70" s="10">
        <v>2000</v>
      </c>
      <c r="AB70" s="21"/>
      <c r="AH70" s="10">
        <v>1000</v>
      </c>
      <c r="AK70"/>
    </row>
    <row r="71" s="10" customFormat="1" spans="1:37">
      <c r="A71" s="10">
        <v>69</v>
      </c>
      <c r="C71" s="10">
        <v>69</v>
      </c>
      <c r="F71" s="10" t="s">
        <v>92</v>
      </c>
      <c r="G71" s="17" t="s">
        <v>96</v>
      </c>
      <c r="H71" s="11">
        <f t="shared" si="2"/>
        <v>4000</v>
      </c>
      <c r="M71" s="10">
        <v>1000</v>
      </c>
      <c r="U71" s="10">
        <v>1000</v>
      </c>
      <c r="Z71" s="10">
        <v>1000</v>
      </c>
      <c r="AB71" s="21"/>
      <c r="AH71" s="10">
        <v>1000</v>
      </c>
      <c r="AK71"/>
    </row>
    <row r="72" s="10" customFormat="1" spans="1:37">
      <c r="A72" s="10">
        <v>70</v>
      </c>
      <c r="C72" s="10">
        <v>70</v>
      </c>
      <c r="F72" s="10" t="s">
        <v>92</v>
      </c>
      <c r="G72" s="17" t="s">
        <v>97</v>
      </c>
      <c r="H72" s="11">
        <f t="shared" si="2"/>
        <v>45000</v>
      </c>
      <c r="M72" s="19">
        <v>10000</v>
      </c>
      <c r="Q72" s="19">
        <v>10000</v>
      </c>
      <c r="U72" s="10">
        <v>5000</v>
      </c>
      <c r="X72" s="19">
        <v>5000</v>
      </c>
      <c r="Z72" s="10">
        <v>5000</v>
      </c>
      <c r="AB72" s="21"/>
      <c r="AE72" s="10">
        <v>5000</v>
      </c>
      <c r="AH72" s="10">
        <v>5000</v>
      </c>
      <c r="AK72"/>
    </row>
    <row r="73" s="10" customFormat="1" spans="1:37">
      <c r="A73" s="10">
        <v>71</v>
      </c>
      <c r="C73" s="10">
        <v>71</v>
      </c>
      <c r="F73" s="10" t="s">
        <v>92</v>
      </c>
      <c r="G73" s="17" t="s">
        <v>98</v>
      </c>
      <c r="H73" s="11">
        <f t="shared" si="2"/>
        <v>27000</v>
      </c>
      <c r="K73" s="10">
        <v>3000</v>
      </c>
      <c r="L73" s="10">
        <v>3000</v>
      </c>
      <c r="O73" s="10">
        <v>3000</v>
      </c>
      <c r="Q73" s="10">
        <v>500</v>
      </c>
      <c r="U73" s="10">
        <v>3000</v>
      </c>
      <c r="AA73" s="10">
        <v>5500</v>
      </c>
      <c r="AB73" s="21"/>
      <c r="AD73" s="10">
        <v>6000</v>
      </c>
      <c r="AI73" s="10">
        <v>3000</v>
      </c>
      <c r="AK73"/>
    </row>
    <row r="74" s="10" customFormat="1" spans="1:37">
      <c r="A74" s="10">
        <v>72</v>
      </c>
      <c r="B74" s="10" t="s">
        <v>171</v>
      </c>
      <c r="C74" s="10">
        <v>72</v>
      </c>
      <c r="D74" s="23" t="s">
        <v>172</v>
      </c>
      <c r="E74" s="10">
        <v>8825370430</v>
      </c>
      <c r="F74" s="10" t="s">
        <v>92</v>
      </c>
      <c r="G74" s="17" t="s">
        <v>99</v>
      </c>
      <c r="H74" s="11">
        <f t="shared" si="2"/>
        <v>13000</v>
      </c>
      <c r="O74" s="10">
        <v>3000</v>
      </c>
      <c r="R74" s="10">
        <v>2000</v>
      </c>
      <c r="X74" s="19">
        <v>4000</v>
      </c>
      <c r="AB74" s="21"/>
      <c r="AE74" s="10">
        <v>2000</v>
      </c>
      <c r="AH74" s="19">
        <v>2000</v>
      </c>
      <c r="AK74"/>
    </row>
    <row r="75" s="10" customFormat="1" spans="1:37">
      <c r="A75" s="10">
        <v>73</v>
      </c>
      <c r="C75" s="10">
        <v>73</v>
      </c>
      <c r="E75" s="10">
        <v>9631378928</v>
      </c>
      <c r="F75" s="10" t="s">
        <v>92</v>
      </c>
      <c r="G75" s="17" t="s">
        <v>100</v>
      </c>
      <c r="H75" s="11">
        <f t="shared" si="2"/>
        <v>0</v>
      </c>
      <c r="AB75" s="21"/>
      <c r="AK75"/>
    </row>
    <row r="76" s="10" customFormat="1" spans="1:37">
      <c r="A76" s="10">
        <v>74</v>
      </c>
      <c r="C76" s="10">
        <v>74</v>
      </c>
      <c r="F76" s="10" t="s">
        <v>92</v>
      </c>
      <c r="G76" s="17" t="s">
        <v>101</v>
      </c>
      <c r="H76" s="11">
        <f t="shared" si="2"/>
        <v>2000</v>
      </c>
      <c r="X76" s="10">
        <v>1000</v>
      </c>
      <c r="Z76" s="10">
        <v>1000</v>
      </c>
      <c r="AB76" s="21"/>
      <c r="AK76"/>
    </row>
    <row r="77" s="10" customFormat="1" spans="1:37">
      <c r="A77" s="10">
        <v>75</v>
      </c>
      <c r="B77" s="10" t="s">
        <v>173</v>
      </c>
      <c r="C77" s="10">
        <v>75</v>
      </c>
      <c r="D77" s="10" t="s">
        <v>173</v>
      </c>
      <c r="E77" s="10">
        <v>6200769032</v>
      </c>
      <c r="F77" s="10" t="s">
        <v>102</v>
      </c>
      <c r="G77" s="17" t="s">
        <v>103</v>
      </c>
      <c r="H77" s="11">
        <f t="shared" si="2"/>
        <v>14500</v>
      </c>
      <c r="L77" s="10">
        <v>2000</v>
      </c>
      <c r="O77" s="10">
        <v>1100</v>
      </c>
      <c r="S77" s="19">
        <v>1500</v>
      </c>
      <c r="T77" s="19">
        <v>1000</v>
      </c>
      <c r="X77" s="10">
        <v>1400</v>
      </c>
      <c r="Z77" s="19">
        <v>2000</v>
      </c>
      <c r="AB77" s="21">
        <v>500</v>
      </c>
      <c r="AD77" s="10">
        <v>1000</v>
      </c>
      <c r="AE77" s="10">
        <v>500</v>
      </c>
      <c r="AF77" s="10">
        <v>1000</v>
      </c>
      <c r="AH77" s="10">
        <v>500</v>
      </c>
      <c r="AI77" s="19">
        <v>2000</v>
      </c>
      <c r="AK77"/>
    </row>
    <row r="78" s="10" customFormat="1" spans="1:37">
      <c r="A78" s="10">
        <v>76</v>
      </c>
      <c r="B78" s="10" t="s">
        <v>174</v>
      </c>
      <c r="C78" s="10">
        <v>76</v>
      </c>
      <c r="D78" s="10" t="s">
        <v>175</v>
      </c>
      <c r="F78" s="10" t="s">
        <v>102</v>
      </c>
      <c r="G78" s="17" t="s">
        <v>104</v>
      </c>
      <c r="H78" s="11">
        <f t="shared" si="2"/>
        <v>27000</v>
      </c>
      <c r="I78" s="19">
        <v>3000</v>
      </c>
      <c r="N78" s="19">
        <v>5000</v>
      </c>
      <c r="R78" s="10">
        <v>4000</v>
      </c>
      <c r="U78" s="19">
        <v>3000</v>
      </c>
      <c r="X78" s="10">
        <v>3000</v>
      </c>
      <c r="AB78" s="21"/>
      <c r="AD78" s="19">
        <v>6000</v>
      </c>
      <c r="AI78" s="19">
        <v>3000</v>
      </c>
      <c r="AK78"/>
    </row>
    <row r="79" s="10" customFormat="1" spans="1:37">
      <c r="A79" s="10">
        <v>77</v>
      </c>
      <c r="B79" s="10" t="s">
        <v>176</v>
      </c>
      <c r="C79" s="10">
        <v>77</v>
      </c>
      <c r="D79" s="10" t="s">
        <v>176</v>
      </c>
      <c r="F79" s="10" t="s">
        <v>102</v>
      </c>
      <c r="G79" s="17" t="s">
        <v>105</v>
      </c>
      <c r="H79" s="11">
        <f t="shared" si="2"/>
        <v>16000</v>
      </c>
      <c r="L79" s="10">
        <v>3000</v>
      </c>
      <c r="N79" s="10">
        <v>3000</v>
      </c>
      <c r="U79" s="10">
        <v>6000</v>
      </c>
      <c r="AB79" s="21"/>
      <c r="AD79" s="10">
        <v>2000</v>
      </c>
      <c r="AH79" s="10">
        <v>2000</v>
      </c>
      <c r="AK79"/>
    </row>
    <row r="80" s="10" customFormat="1" spans="1:37">
      <c r="A80" s="10">
        <v>78</v>
      </c>
      <c r="C80" s="10">
        <v>78</v>
      </c>
      <c r="G80" s="17" t="s">
        <v>106</v>
      </c>
      <c r="H80" s="11">
        <f t="shared" si="2"/>
        <v>0</v>
      </c>
      <c r="AB80" s="21"/>
      <c r="AK80"/>
    </row>
    <row r="81" s="10" customFormat="1" spans="1:37">
      <c r="A81" s="10">
        <v>79</v>
      </c>
      <c r="B81" s="10" t="s">
        <v>177</v>
      </c>
      <c r="C81" s="10">
        <v>79</v>
      </c>
      <c r="D81" s="10" t="s">
        <v>177</v>
      </c>
      <c r="E81" s="10" t="s">
        <v>178</v>
      </c>
      <c r="F81" s="10" t="s">
        <v>107</v>
      </c>
      <c r="G81" s="17" t="s">
        <v>108</v>
      </c>
      <c r="H81" s="11">
        <f t="shared" si="2"/>
        <v>11000</v>
      </c>
      <c r="L81" s="19">
        <v>2000</v>
      </c>
      <c r="R81" s="19">
        <v>2000</v>
      </c>
      <c r="S81" s="19">
        <v>2000</v>
      </c>
      <c r="AB81" s="21"/>
      <c r="AD81" s="19">
        <v>1000</v>
      </c>
      <c r="AE81" s="19">
        <v>2000</v>
      </c>
      <c r="AI81" s="19">
        <v>2000</v>
      </c>
      <c r="AK81"/>
    </row>
    <row r="82" s="10" customFormat="1" spans="1:37">
      <c r="A82" s="10">
        <v>80</v>
      </c>
      <c r="C82" s="10">
        <v>80</v>
      </c>
      <c r="G82" s="17" t="s">
        <v>109</v>
      </c>
      <c r="H82" s="11">
        <f t="shared" si="2"/>
        <v>0</v>
      </c>
      <c r="AB82" s="21"/>
      <c r="AK82"/>
    </row>
    <row r="83" s="10" customFormat="1" spans="1:37">
      <c r="A83" s="10">
        <v>81</v>
      </c>
      <c r="C83" s="10">
        <v>81</v>
      </c>
      <c r="F83" s="10" t="s">
        <v>110</v>
      </c>
      <c r="G83" s="17" t="s">
        <v>111</v>
      </c>
      <c r="H83" s="11">
        <f t="shared" si="2"/>
        <v>4000</v>
      </c>
      <c r="X83" s="10">
        <v>2000</v>
      </c>
      <c r="Z83" s="19">
        <v>2000</v>
      </c>
      <c r="AB83" s="21"/>
      <c r="AK83"/>
    </row>
    <row r="84" s="10" customFormat="1" spans="1:37">
      <c r="A84" s="10">
        <v>82</v>
      </c>
      <c r="C84" s="10">
        <v>82</v>
      </c>
      <c r="G84" s="17" t="s">
        <v>112</v>
      </c>
      <c r="H84" s="11">
        <f t="shared" si="2"/>
        <v>0</v>
      </c>
      <c r="AB84" s="21"/>
      <c r="AK84"/>
    </row>
    <row r="85" s="10" customFormat="1" spans="1:37">
      <c r="A85" s="10">
        <v>83</v>
      </c>
      <c r="B85" s="10" t="s">
        <v>179</v>
      </c>
      <c r="C85" s="10">
        <v>83</v>
      </c>
      <c r="D85" s="10" t="s">
        <v>179</v>
      </c>
      <c r="F85" s="10" t="s">
        <v>113</v>
      </c>
      <c r="G85" s="17" t="s">
        <v>114</v>
      </c>
      <c r="H85" s="11">
        <f t="shared" si="2"/>
        <v>20000</v>
      </c>
      <c r="M85" s="19">
        <v>10000</v>
      </c>
      <c r="Y85" s="19">
        <v>10000</v>
      </c>
      <c r="AB85" s="21"/>
      <c r="AK85"/>
    </row>
    <row r="86" s="10" customFormat="1" spans="1:37">
      <c r="A86" s="10">
        <v>84</v>
      </c>
      <c r="C86" s="10">
        <v>84</v>
      </c>
      <c r="E86" s="10">
        <v>9934079439</v>
      </c>
      <c r="F86" s="10" t="s">
        <v>113</v>
      </c>
      <c r="G86" s="17" t="s">
        <v>115</v>
      </c>
      <c r="H86" s="11">
        <f t="shared" si="2"/>
        <v>10000</v>
      </c>
      <c r="I86" s="10">
        <v>5000</v>
      </c>
      <c r="AB86" s="21"/>
      <c r="AE86" s="10">
        <v>5000</v>
      </c>
      <c r="AK86"/>
    </row>
    <row r="87" s="10" customFormat="1" spans="1:37">
      <c r="A87" s="10">
        <v>85</v>
      </c>
      <c r="B87" s="10" t="s">
        <v>180</v>
      </c>
      <c r="C87" s="10">
        <v>85</v>
      </c>
      <c r="D87" s="10" t="s">
        <v>180</v>
      </c>
      <c r="E87" s="10">
        <v>7903552643</v>
      </c>
      <c r="F87" s="10" t="s">
        <v>113</v>
      </c>
      <c r="G87" s="17" t="s">
        <v>116</v>
      </c>
      <c r="H87" s="11">
        <f t="shared" si="2"/>
        <v>2000</v>
      </c>
      <c r="Y87" s="10">
        <v>2000</v>
      </c>
      <c r="AB87" s="21"/>
      <c r="AK87"/>
    </row>
    <row r="88" s="10" customFormat="1" spans="1:37">
      <c r="A88" s="10">
        <v>86</v>
      </c>
      <c r="C88" s="10">
        <v>86</v>
      </c>
      <c r="D88" s="10" t="s">
        <v>181</v>
      </c>
      <c r="E88" s="10">
        <v>9911430509</v>
      </c>
      <c r="F88" s="10" t="s">
        <v>117</v>
      </c>
      <c r="G88" s="17" t="s">
        <v>118</v>
      </c>
      <c r="H88" s="11">
        <f t="shared" si="2"/>
        <v>6000</v>
      </c>
      <c r="U88" s="10">
        <v>2000</v>
      </c>
      <c r="Y88" s="10">
        <v>2000</v>
      </c>
      <c r="AB88" s="21"/>
      <c r="AI88" s="10">
        <v>2000</v>
      </c>
      <c r="AK88"/>
    </row>
    <row r="89" s="10" customFormat="1" spans="1:37">
      <c r="A89" s="10">
        <v>87</v>
      </c>
      <c r="C89" s="10">
        <v>87</v>
      </c>
      <c r="G89" s="17" t="s">
        <v>119</v>
      </c>
      <c r="H89" s="11">
        <f t="shared" si="2"/>
        <v>0</v>
      </c>
      <c r="AB89" s="21"/>
      <c r="AK89"/>
    </row>
    <row r="90" s="10" customFormat="1" spans="1:37">
      <c r="A90" s="10">
        <v>88</v>
      </c>
      <c r="B90" s="10" t="s">
        <v>182</v>
      </c>
      <c r="C90" s="10">
        <v>88</v>
      </c>
      <c r="D90" s="10" t="s">
        <v>182</v>
      </c>
      <c r="G90" s="17" t="s">
        <v>120</v>
      </c>
      <c r="H90" s="11">
        <f t="shared" si="2"/>
        <v>2000</v>
      </c>
      <c r="M90" s="19">
        <v>1000</v>
      </c>
      <c r="AB90" s="21"/>
      <c r="AG90" s="19">
        <v>1000</v>
      </c>
      <c r="AK90"/>
    </row>
    <row r="91" s="10" customFormat="1" spans="1:37">
      <c r="A91" s="10">
        <v>89</v>
      </c>
      <c r="C91" s="10">
        <v>89</v>
      </c>
      <c r="G91" s="17" t="s">
        <v>121</v>
      </c>
      <c r="H91" s="11">
        <f t="shared" si="2"/>
        <v>0</v>
      </c>
      <c r="AB91" s="21"/>
      <c r="AK91"/>
    </row>
    <row r="92" s="10" customFormat="1" spans="1:37">
      <c r="A92" s="10">
        <v>90</v>
      </c>
      <c r="C92" s="10">
        <v>90</v>
      </c>
      <c r="D92" s="10" t="s">
        <v>183</v>
      </c>
      <c r="E92" s="10">
        <v>9015378357</v>
      </c>
      <c r="F92" s="10" t="s">
        <v>184</v>
      </c>
      <c r="G92" s="17" t="s">
        <v>122</v>
      </c>
      <c r="H92" s="11">
        <f t="shared" si="2"/>
        <v>6000</v>
      </c>
      <c r="AA92" s="10">
        <v>2000</v>
      </c>
      <c r="AB92" s="21"/>
      <c r="AJ92" s="19">
        <v>4000</v>
      </c>
      <c r="AK92"/>
    </row>
    <row r="93" s="10" customFormat="1" spans="1:37">
      <c r="A93" s="10">
        <v>91</v>
      </c>
      <c r="C93" s="10">
        <v>91</v>
      </c>
      <c r="G93" s="17" t="s">
        <v>123</v>
      </c>
      <c r="H93" s="11">
        <f t="shared" si="2"/>
        <v>0</v>
      </c>
      <c r="AB93" s="21"/>
      <c r="AK93"/>
    </row>
    <row r="94" s="10" customFormat="1" spans="1:37">
      <c r="A94" s="10">
        <v>92</v>
      </c>
      <c r="C94" s="10">
        <v>92</v>
      </c>
      <c r="F94" s="10" t="s">
        <v>124</v>
      </c>
      <c r="G94" s="17" t="s">
        <v>125</v>
      </c>
      <c r="H94" s="11">
        <f t="shared" si="2"/>
        <v>2000</v>
      </c>
      <c r="L94" s="10">
        <v>2000</v>
      </c>
      <c r="AB94" s="21"/>
      <c r="AK94"/>
    </row>
    <row r="95" s="10" customFormat="1" spans="1:37">
      <c r="A95" s="10">
        <v>93</v>
      </c>
      <c r="C95" s="10">
        <v>93</v>
      </c>
      <c r="G95" s="17" t="s">
        <v>126</v>
      </c>
      <c r="H95" s="11">
        <f t="shared" si="2"/>
        <v>0</v>
      </c>
      <c r="AB95" s="21"/>
      <c r="AK95"/>
    </row>
    <row r="96" s="10" customFormat="1" spans="1:37">
      <c r="A96" s="10">
        <v>94</v>
      </c>
      <c r="C96" s="10">
        <v>94</v>
      </c>
      <c r="G96" s="17" t="s">
        <v>127</v>
      </c>
      <c r="H96" s="11">
        <f t="shared" si="2"/>
        <v>0</v>
      </c>
      <c r="AB96" s="21"/>
      <c r="AK96"/>
    </row>
    <row r="97" spans="8:8">
      <c r="H97" s="11"/>
    </row>
    <row r="98" spans="8:8">
      <c r="H98" s="11"/>
    </row>
    <row r="99" spans="8:8">
      <c r="H99" s="11"/>
    </row>
    <row r="100" spans="8:8">
      <c r="H100" s="11"/>
    </row>
    <row r="101" spans="8:8">
      <c r="H101" s="11"/>
    </row>
    <row r="102" spans="8:8">
      <c r="H102" s="11"/>
    </row>
    <row r="103" spans="8:8">
      <c r="H103" s="11"/>
    </row>
    <row r="104" spans="8:8">
      <c r="H104" s="11"/>
    </row>
    <row r="105" spans="8:8">
      <c r="H105" s="11"/>
    </row>
    <row r="106" spans="8:8">
      <c r="H106" s="11"/>
    </row>
    <row r="107" spans="8:8">
      <c r="H107" s="11"/>
    </row>
    <row r="108" spans="8:8">
      <c r="H108" s="11"/>
    </row>
    <row r="109" spans="8:8">
      <c r="H109" s="11"/>
    </row>
    <row r="110" spans="8:8">
      <c r="H110" s="11"/>
    </row>
    <row r="111" spans="8:8">
      <c r="H111" s="11"/>
    </row>
    <row r="112" spans="8:8">
      <c r="H112" s="1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workbookViewId="0">
      <selection activeCell="D4" sqref="D4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185</v>
      </c>
    </row>
    <row r="2" spans="1:4">
      <c r="A2" s="4"/>
      <c r="B2" s="4"/>
      <c r="C2" s="5" t="s">
        <v>8</v>
      </c>
      <c r="D2" s="6">
        <f>Orders!F2-Collection!H2</f>
        <v>216900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1000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1000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1000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15000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5000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1000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6000</v>
      </c>
    </row>
    <row r="15" spans="1:4">
      <c r="A15" s="7" t="s">
        <v>23</v>
      </c>
      <c r="B15" s="7">
        <v>7004936104</v>
      </c>
      <c r="C15" s="8" t="s">
        <v>29</v>
      </c>
      <c r="D15" s="9">
        <f>Orders!F15-Collection!H15</f>
        <v>2000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2000</v>
      </c>
    </row>
    <row r="17" spans="1:4">
      <c r="A17" s="7" t="s">
        <v>23</v>
      </c>
      <c r="B17" s="10">
        <v>7903378748</v>
      </c>
      <c r="C17" s="8" t="s">
        <v>32</v>
      </c>
      <c r="D17" s="9">
        <f>Orders!F17-Collection!H17</f>
        <v>500</v>
      </c>
    </row>
    <row r="18" spans="1:4">
      <c r="A18" s="7" t="s">
        <v>23</v>
      </c>
      <c r="B18" s="7">
        <v>7004493350</v>
      </c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5000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2000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1000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5000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3000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3000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1000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-2000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2000</v>
      </c>
    </row>
    <row r="31" spans="1:4">
      <c r="A31" s="7" t="s">
        <v>36</v>
      </c>
      <c r="B31" s="7">
        <v>8340565882</v>
      </c>
      <c r="C31" s="8" t="s">
        <v>48</v>
      </c>
      <c r="D31" s="9">
        <f>Orders!F31-Collection!H31</f>
        <v>0</v>
      </c>
    </row>
    <row r="32" spans="1:4">
      <c r="A32" s="7" t="s">
        <v>36</v>
      </c>
      <c r="B32" s="7">
        <v>7004134938</v>
      </c>
      <c r="C32" s="8" t="s">
        <v>49</v>
      </c>
      <c r="D32" s="9">
        <f>Orders!F32-Collection!H32</f>
        <v>21000</v>
      </c>
    </row>
    <row r="33" spans="1:4">
      <c r="A33" s="7" t="s">
        <v>36</v>
      </c>
      <c r="B33" s="7">
        <v>7488143097</v>
      </c>
      <c r="C33" s="8" t="s">
        <v>50</v>
      </c>
      <c r="D33" s="9">
        <f>Orders!F33-Collection!H33</f>
        <v>0</v>
      </c>
    </row>
    <row r="34" spans="1:4">
      <c r="A34" s="7" t="s">
        <v>51</v>
      </c>
      <c r="B34" s="7">
        <v>9110951966</v>
      </c>
      <c r="C34" s="8" t="s">
        <v>52</v>
      </c>
      <c r="D34" s="9">
        <f>Orders!F34-Collection!H34</f>
        <v>-1000</v>
      </c>
    </row>
    <row r="35" spans="1:4">
      <c r="A35" s="7" t="s">
        <v>51</v>
      </c>
      <c r="B35" s="7">
        <v>7909015301</v>
      </c>
      <c r="C35" s="8" t="s">
        <v>53</v>
      </c>
      <c r="D35" s="9">
        <f>Orders!F35-Collection!H35</f>
        <v>500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>
        <v>7004687743</v>
      </c>
      <c r="C37" s="8" t="s">
        <v>55</v>
      </c>
      <c r="D37" s="9">
        <f>Orders!F37-Collection!H37</f>
        <v>3000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>
        <v>9708329918</v>
      </c>
      <c r="C39" s="8" t="s">
        <v>57</v>
      </c>
      <c r="D39" s="9">
        <f>Orders!F39-Collection!H39</f>
        <v>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>
        <v>8102542369</v>
      </c>
      <c r="C41" s="8" t="s">
        <v>59</v>
      </c>
      <c r="D41" s="9">
        <f>Orders!F41-Collection!H41</f>
        <v>0</v>
      </c>
    </row>
    <row r="42" spans="1:4">
      <c r="A42" s="7" t="s">
        <v>51</v>
      </c>
      <c r="B42" s="7">
        <v>9304671707</v>
      </c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>
        <v>8588878618</v>
      </c>
      <c r="C45" s="8" t="s">
        <v>63</v>
      </c>
      <c r="D45" s="9">
        <f>Orders!F45-Collection!H45</f>
        <v>3000</v>
      </c>
    </row>
    <row r="46" spans="1:4">
      <c r="A46" s="7" t="s">
        <v>64</v>
      </c>
      <c r="B46" s="7">
        <v>7004687745</v>
      </c>
      <c r="C46" s="8" t="s">
        <v>65</v>
      </c>
      <c r="D46" s="9">
        <f>Orders!F46-Collection!H46</f>
        <v>0</v>
      </c>
    </row>
    <row r="47" spans="1:4">
      <c r="A47" s="7" t="s">
        <v>64</v>
      </c>
      <c r="B47" s="7">
        <v>7004454705</v>
      </c>
      <c r="C47" s="8" t="s">
        <v>66</v>
      </c>
      <c r="D47" s="9">
        <f>Orders!F47-Collection!H47</f>
        <v>3000</v>
      </c>
    </row>
    <row r="48" spans="1:4">
      <c r="A48" s="7" t="s">
        <v>64</v>
      </c>
      <c r="B48" s="7"/>
      <c r="C48" s="8" t="s">
        <v>67</v>
      </c>
      <c r="D48" s="9">
        <f>Orders!F48-Collection!H48</f>
        <v>2000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8000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0</v>
      </c>
    </row>
    <row r="51" spans="1:4">
      <c r="A51" s="7" t="s">
        <v>64</v>
      </c>
      <c r="B51" s="7">
        <v>7004191817</v>
      </c>
      <c r="C51" s="8" t="s">
        <v>70</v>
      </c>
      <c r="D51" s="9">
        <f>Orders!F51-Collection!H51</f>
        <v>2000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>
        <v>7004423721</v>
      </c>
      <c r="C53" s="8" t="s">
        <v>72</v>
      </c>
      <c r="D53" s="9">
        <f>Orders!F53-Collection!H53</f>
        <v>1000</v>
      </c>
    </row>
    <row r="54" spans="1:4">
      <c r="A54" s="7" t="s">
        <v>64</v>
      </c>
      <c r="B54" s="7">
        <v>6202424016</v>
      </c>
      <c r="C54" s="8" t="s">
        <v>73</v>
      </c>
      <c r="D54" s="9">
        <f>Orders!F54-Collection!H54</f>
        <v>2000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>
        <v>7870055507</v>
      </c>
      <c r="C56" s="8" t="s">
        <v>75</v>
      </c>
      <c r="D56" s="9">
        <f>Orders!F56-Collection!H56</f>
        <v>2000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2000</v>
      </c>
    </row>
    <row r="59" spans="1:4">
      <c r="A59" s="7" t="s">
        <v>77</v>
      </c>
      <c r="B59" s="7">
        <v>7979985074</v>
      </c>
      <c r="C59" s="8" t="s">
        <v>79</v>
      </c>
      <c r="D59" s="9">
        <f>Orders!F59-Collection!H59</f>
        <v>10000</v>
      </c>
    </row>
    <row r="60" spans="1:4">
      <c r="A60" s="7" t="s">
        <v>77</v>
      </c>
      <c r="B60" s="7">
        <v>9304063435</v>
      </c>
      <c r="C60" s="8" t="s">
        <v>80</v>
      </c>
      <c r="D60" s="9">
        <f>Orders!F60-Collection!H60</f>
        <v>0</v>
      </c>
    </row>
    <row r="61" spans="1:4">
      <c r="A61" s="7" t="s">
        <v>77</v>
      </c>
      <c r="B61" s="10">
        <v>9798805204</v>
      </c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5000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2000</v>
      </c>
    </row>
    <row r="66" spans="1:4">
      <c r="A66" s="7" t="s">
        <v>87</v>
      </c>
      <c r="B66" s="7">
        <v>9939935008</v>
      </c>
      <c r="C66" s="8" t="s">
        <v>89</v>
      </c>
      <c r="D66" s="9">
        <f>Orders!F66-Collection!H66</f>
        <v>6000</v>
      </c>
    </row>
    <row r="67" spans="1:4">
      <c r="A67" s="7" t="s">
        <v>90</v>
      </c>
      <c r="B67" s="7">
        <v>8271027441</v>
      </c>
      <c r="C67" s="8" t="s">
        <v>91</v>
      </c>
      <c r="D67" s="9">
        <f>Orders!F67-Collection!H67</f>
        <v>0</v>
      </c>
    </row>
    <row r="68" spans="1:4">
      <c r="A68" s="7" t="s">
        <v>92</v>
      </c>
      <c r="B68" s="7">
        <v>8709494155</v>
      </c>
      <c r="C68" s="8" t="s">
        <v>93</v>
      </c>
      <c r="D68" s="9">
        <f>Orders!F68-Collection!H68</f>
        <v>4000</v>
      </c>
    </row>
    <row r="69" spans="1:4">
      <c r="A69" s="7" t="s">
        <v>92</v>
      </c>
      <c r="B69" s="7">
        <v>8210273217</v>
      </c>
      <c r="C69" s="8" t="s">
        <v>94</v>
      </c>
      <c r="D69" s="9">
        <f>Orders!F69-Collection!H69</f>
        <v>0</v>
      </c>
    </row>
    <row r="70" spans="1:4">
      <c r="A70" s="7" t="s">
        <v>92</v>
      </c>
      <c r="B70" s="10">
        <v>7903311240</v>
      </c>
      <c r="C70" s="8" t="s">
        <v>95</v>
      </c>
      <c r="D70" s="9">
        <f>Orders!F70-Collection!H70</f>
        <v>1000</v>
      </c>
    </row>
    <row r="71" spans="1:4">
      <c r="A71" s="7" t="s">
        <v>92</v>
      </c>
      <c r="B71" s="7">
        <v>6202448688</v>
      </c>
      <c r="C71" s="8" t="s">
        <v>96</v>
      </c>
      <c r="D71" s="9">
        <f>Orders!F71-Collection!H71</f>
        <v>0</v>
      </c>
    </row>
    <row r="72" spans="1:4">
      <c r="A72" s="7" t="s">
        <v>92</v>
      </c>
      <c r="B72" s="7">
        <v>8709017189</v>
      </c>
      <c r="C72" s="8" t="s">
        <v>97</v>
      </c>
      <c r="D72" s="9">
        <f>Orders!F72-Collection!H72</f>
        <v>5000</v>
      </c>
    </row>
    <row r="73" spans="1:4">
      <c r="A73" s="7" t="s">
        <v>92</v>
      </c>
      <c r="B73" s="7">
        <v>7909071642</v>
      </c>
      <c r="C73" s="8" t="s">
        <v>98</v>
      </c>
      <c r="D73" s="9">
        <f>Orders!F73-Collection!H73</f>
        <v>3000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>
        <v>8271027441</v>
      </c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1800</v>
      </c>
    </row>
    <row r="78" spans="1:4">
      <c r="A78" s="7" t="s">
        <v>102</v>
      </c>
      <c r="B78" s="7">
        <v>7004695819</v>
      </c>
      <c r="C78" s="8" t="s">
        <v>104</v>
      </c>
      <c r="D78" s="9">
        <f>Orders!F78-Collection!H78</f>
        <v>0</v>
      </c>
    </row>
    <row r="79" spans="1:4">
      <c r="A79" s="7" t="s">
        <v>102</v>
      </c>
      <c r="B79" s="7">
        <v>8789354609</v>
      </c>
      <c r="C79" s="8" t="s">
        <v>105</v>
      </c>
      <c r="D79" s="9">
        <f>Orders!F79-Collection!H79</f>
        <v>2000</v>
      </c>
    </row>
    <row r="80" spans="1:4">
      <c r="A80" s="7"/>
      <c r="B80" s="7"/>
      <c r="C80" s="8" t="s">
        <v>106</v>
      </c>
      <c r="D80" s="9">
        <f>Orders!F80-Collection!H80</f>
        <v>61000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>
        <v>7079312729</v>
      </c>
      <c r="C83" s="8" t="s">
        <v>111</v>
      </c>
      <c r="D83" s="9">
        <f>Orders!F83-Collection!H83</f>
        <v>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>
        <v>7979068575</v>
      </c>
      <c r="C85" s="8" t="s">
        <v>114</v>
      </c>
      <c r="D85" s="9">
        <f>Orders!F85-Collection!H85</f>
        <v>10000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spans="1:4">
      <c r="A87" s="7" t="s">
        <v>113</v>
      </c>
      <c r="B87" s="7">
        <v>7903552643</v>
      </c>
      <c r="C87" s="8" t="s">
        <v>116</v>
      </c>
      <c r="D87" s="9">
        <f>Orders!F87-Collection!H87</f>
        <v>0</v>
      </c>
    </row>
    <row r="88" spans="1:4">
      <c r="A88" s="7" t="s">
        <v>117</v>
      </c>
      <c r="B88" s="7">
        <v>9911430509</v>
      </c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>
        <v>7254967519</v>
      </c>
      <c r="C94" s="8" t="s">
        <v>125</v>
      </c>
      <c r="D94" s="9">
        <f>Orders!F94-Collection!H94</f>
        <v>1000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2021-03-30T01:46:13Z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