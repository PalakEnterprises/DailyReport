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</commentList>
</comments>
</file>

<file path=xl/sharedStrings.xml><?xml version="1.0" encoding="utf-8"?>
<sst xmlns="http://schemas.openxmlformats.org/spreadsheetml/2006/main" count="650" uniqueCount="176">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</sst>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[$-409]d\-mmm;@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7" borderId="3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6" borderId="2" applyNumberFormat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6" fillId="19" borderId="7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2" fillId="19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6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I54" activePane="bottomRight" state="frozen"/>
      <selection/>
      <selection pane="topRight"/>
      <selection pane="bottomLeft"/>
      <selection pane="bottomRight" activeCell="J74" sqref="J74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3">
        <v>44256</v>
      </c>
      <c r="J1" s="33">
        <v>44257</v>
      </c>
      <c r="K1" s="33">
        <v>44258</v>
      </c>
      <c r="L1" s="33">
        <v>44259</v>
      </c>
      <c r="M1" s="33">
        <v>44260</v>
      </c>
      <c r="N1" s="33">
        <v>44261</v>
      </c>
      <c r="O1" s="33">
        <v>44262</v>
      </c>
      <c r="P1" s="33">
        <v>44263</v>
      </c>
      <c r="Q1" s="33">
        <v>44264</v>
      </c>
      <c r="R1" s="33">
        <v>44265</v>
      </c>
      <c r="S1" s="33">
        <v>44266</v>
      </c>
      <c r="T1" s="33">
        <v>44267</v>
      </c>
      <c r="U1" s="33">
        <v>44268</v>
      </c>
      <c r="V1" s="33">
        <v>44269</v>
      </c>
      <c r="W1" s="33">
        <v>44270</v>
      </c>
      <c r="X1" s="33">
        <v>44271</v>
      </c>
      <c r="Y1" s="33">
        <v>44272</v>
      </c>
      <c r="Z1" s="33">
        <v>44273</v>
      </c>
      <c r="AA1" s="33">
        <v>44274</v>
      </c>
      <c r="AB1" s="33">
        <v>44275</v>
      </c>
      <c r="AC1" s="33">
        <v>44276</v>
      </c>
      <c r="AD1" s="33">
        <v>44277</v>
      </c>
      <c r="AE1" s="33">
        <v>44278</v>
      </c>
      <c r="AF1" s="33">
        <v>44279</v>
      </c>
      <c r="AG1" s="33">
        <v>44280</v>
      </c>
      <c r="AH1" s="33">
        <v>44281</v>
      </c>
      <c r="AI1" s="33">
        <v>44282</v>
      </c>
      <c r="AJ1" s="33">
        <v>44283</v>
      </c>
      <c r="AK1" s="33">
        <v>44284</v>
      </c>
      <c r="AL1" s="33">
        <v>44285</v>
      </c>
      <c r="AM1" s="33">
        <v>44286</v>
      </c>
      <c r="AN1" s="35"/>
      <c r="AO1" s="35"/>
      <c r="AP1" s="35"/>
      <c r="AQ1" s="35"/>
      <c r="AR1" s="35"/>
      <c r="AS1" s="35"/>
    </row>
    <row r="2" s="10" customFormat="1" spans="1:39">
      <c r="A2" s="13"/>
      <c r="B2" s="25">
        <f>SUM(F3:F121)</f>
        <v>264900</v>
      </c>
      <c r="D2" s="14">
        <f>SUM(G3:G121)</f>
        <v>94640</v>
      </c>
      <c r="E2" s="15" t="s">
        <v>8</v>
      </c>
      <c r="F2" s="26">
        <f>G2/1.04+H2</f>
        <v>264900</v>
      </c>
      <c r="G2" s="14">
        <f>SUM(I2:AM2)</f>
        <v>94640</v>
      </c>
      <c r="H2" s="27">
        <f>SUM(H3:H121)</f>
        <v>173900</v>
      </c>
      <c r="I2" s="10">
        <f>SUM(I3:I121)</f>
        <v>44720</v>
      </c>
      <c r="J2" s="10">
        <f t="shared" ref="J2:AM2" si="0">SUM(J3:J121)</f>
        <v>49920</v>
      </c>
      <c r="K2" s="10">
        <f t="shared" si="0"/>
        <v>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8">
      <c r="A3" s="11">
        <v>1</v>
      </c>
      <c r="D3" s="11" t="s">
        <v>9</v>
      </c>
      <c r="E3" s="17" t="s">
        <v>10</v>
      </c>
      <c r="F3" s="10">
        <f t="shared" ref="F2:F18" si="1">G3/1.04+H3</f>
        <v>0</v>
      </c>
      <c r="G3" s="10">
        <f>SUM(I3:AM3)</f>
        <v>0</v>
      </c>
      <c r="H3" s="28">
        <v>0</v>
      </c>
    </row>
    <row r="4" s="11" customFormat="1" spans="1:8">
      <c r="A4" s="11">
        <v>2</v>
      </c>
      <c r="D4" s="11" t="s">
        <v>9</v>
      </c>
      <c r="E4" s="17" t="s">
        <v>11</v>
      </c>
      <c r="F4" s="10">
        <f t="shared" si="1"/>
        <v>1000</v>
      </c>
      <c r="G4" s="10">
        <f t="shared" ref="G4:G35" si="2">SUM(I4:AM4)</f>
        <v>0</v>
      </c>
      <c r="H4" s="28">
        <v>1000</v>
      </c>
    </row>
    <row r="5" s="11" customFormat="1" spans="1:10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1"/>
        <v>3500</v>
      </c>
      <c r="G5" s="10">
        <f t="shared" si="2"/>
        <v>1040</v>
      </c>
      <c r="H5" s="28">
        <v>2500</v>
      </c>
      <c r="J5" s="11">
        <v>1040</v>
      </c>
    </row>
    <row r="6" s="11" customFormat="1" spans="1:10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1"/>
        <v>5000</v>
      </c>
      <c r="G6" s="10">
        <f t="shared" si="2"/>
        <v>5200</v>
      </c>
      <c r="H6" s="28">
        <v>0</v>
      </c>
      <c r="J6" s="11">
        <v>5200</v>
      </c>
    </row>
    <row r="7" s="11" customFormat="1" spans="1:10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1"/>
        <v>18000</v>
      </c>
      <c r="G7" s="10">
        <f t="shared" si="2"/>
        <v>6240</v>
      </c>
      <c r="H7" s="28">
        <v>12000</v>
      </c>
      <c r="I7" s="11">
        <v>2080</v>
      </c>
      <c r="J7" s="11">
        <v>4160</v>
      </c>
    </row>
    <row r="8" s="11" customFormat="1" spans="1:10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1"/>
        <v>2000</v>
      </c>
      <c r="G8" s="10">
        <f t="shared" si="2"/>
        <v>2080</v>
      </c>
      <c r="H8" s="28">
        <v>0</v>
      </c>
      <c r="J8" s="11">
        <v>2080</v>
      </c>
    </row>
    <row r="9" s="11" customFormat="1" spans="1:8">
      <c r="A9" s="11">
        <v>7</v>
      </c>
      <c r="D9" s="11" t="s">
        <v>9</v>
      </c>
      <c r="E9" s="17" t="s">
        <v>20</v>
      </c>
      <c r="F9" s="10">
        <f t="shared" si="1"/>
        <v>0</v>
      </c>
      <c r="G9" s="10">
        <f t="shared" si="2"/>
        <v>0</v>
      </c>
      <c r="H9" s="28">
        <v>0</v>
      </c>
    </row>
    <row r="10" s="11" customFormat="1" spans="1:9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1"/>
        <v>5000</v>
      </c>
      <c r="G10" s="10">
        <f t="shared" si="2"/>
        <v>5200</v>
      </c>
      <c r="H10" s="28">
        <v>0</v>
      </c>
      <c r="I10" s="11">
        <v>5200</v>
      </c>
    </row>
    <row r="11" s="11" customFormat="1" spans="1:9">
      <c r="A11" s="11">
        <v>9</v>
      </c>
      <c r="D11" s="11" t="s">
        <v>23</v>
      </c>
      <c r="E11" s="17" t="s">
        <v>24</v>
      </c>
      <c r="F11" s="10">
        <f t="shared" si="1"/>
        <v>2000</v>
      </c>
      <c r="G11" s="10">
        <f t="shared" si="2"/>
        <v>2080</v>
      </c>
      <c r="H11" s="28">
        <v>0</v>
      </c>
      <c r="I11" s="11">
        <v>2080</v>
      </c>
    </row>
    <row r="12" s="11" customFormat="1" spans="1:8">
      <c r="A12" s="11">
        <v>10</v>
      </c>
      <c r="D12" s="11" t="s">
        <v>23</v>
      </c>
      <c r="E12" s="17" t="s">
        <v>25</v>
      </c>
      <c r="F12" s="10">
        <f t="shared" si="1"/>
        <v>0</v>
      </c>
      <c r="G12" s="10">
        <f t="shared" si="2"/>
        <v>0</v>
      </c>
      <c r="H12" s="28">
        <v>0</v>
      </c>
    </row>
    <row r="13" s="11" customFormat="1" spans="1:10">
      <c r="A13" s="11">
        <v>11</v>
      </c>
      <c r="D13" s="11" t="s">
        <v>23</v>
      </c>
      <c r="E13" s="17" t="s">
        <v>26</v>
      </c>
      <c r="F13" s="10">
        <f t="shared" si="1"/>
        <v>5000</v>
      </c>
      <c r="G13" s="10">
        <f t="shared" si="2"/>
        <v>5200</v>
      </c>
      <c r="H13" s="28">
        <v>0</v>
      </c>
      <c r="J13" s="11">
        <v>5200</v>
      </c>
    </row>
    <row r="14" s="11" customFormat="1" spans="1:10">
      <c r="A14" s="11">
        <v>12</v>
      </c>
      <c r="D14" s="11" t="s">
        <v>23</v>
      </c>
      <c r="E14" s="17" t="s">
        <v>27</v>
      </c>
      <c r="F14" s="10">
        <f t="shared" si="1"/>
        <v>10000</v>
      </c>
      <c r="G14" s="10">
        <f t="shared" si="2"/>
        <v>5200</v>
      </c>
      <c r="H14" s="28">
        <v>5000</v>
      </c>
      <c r="J14" s="11">
        <v>5200</v>
      </c>
    </row>
    <row r="15" s="11" customFormat="1" spans="1:8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1"/>
        <v>2000</v>
      </c>
      <c r="G15" s="10">
        <f t="shared" si="2"/>
        <v>0</v>
      </c>
      <c r="H15" s="28">
        <v>2000</v>
      </c>
    </row>
    <row r="16" s="11" customFormat="1" spans="1:8">
      <c r="A16" s="11">
        <v>14</v>
      </c>
      <c r="D16" s="11" t="s">
        <v>23</v>
      </c>
      <c r="E16" s="17" t="s">
        <v>30</v>
      </c>
      <c r="F16" s="10">
        <f t="shared" si="1"/>
        <v>2000</v>
      </c>
      <c r="G16" s="10">
        <f t="shared" si="2"/>
        <v>0</v>
      </c>
      <c r="H16" s="28">
        <v>2000</v>
      </c>
    </row>
    <row r="17" s="11" customFormat="1" spans="1:10">
      <c r="A17" s="11">
        <v>15</v>
      </c>
      <c r="B17" s="29" t="s">
        <v>31</v>
      </c>
      <c r="D17" s="11" t="s">
        <v>23</v>
      </c>
      <c r="E17" s="17" t="s">
        <v>32</v>
      </c>
      <c r="F17" s="10">
        <f t="shared" si="1"/>
        <v>3000</v>
      </c>
      <c r="G17" s="10">
        <f t="shared" si="2"/>
        <v>1040</v>
      </c>
      <c r="H17" s="28">
        <v>2000</v>
      </c>
      <c r="J17" s="11">
        <v>1040</v>
      </c>
    </row>
    <row r="18" s="11" customFormat="1" spans="1:27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0">
        <f t="shared" si="1"/>
        <v>1000</v>
      </c>
      <c r="G18" s="10">
        <f t="shared" si="2"/>
        <v>0</v>
      </c>
      <c r="H18" s="28">
        <v>1000</v>
      </c>
      <c r="I18" s="34"/>
      <c r="J18" s="34"/>
      <c r="K18" s="34"/>
      <c r="L18" s="34"/>
      <c r="M18" s="32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2"/>
      <c r="Y18" s="34"/>
      <c r="Z18" s="34"/>
      <c r="AA18" s="34"/>
    </row>
    <row r="19" s="11" customFormat="1" spans="1:8">
      <c r="A19" s="11">
        <v>17</v>
      </c>
      <c r="D19" s="11" t="s">
        <v>23</v>
      </c>
      <c r="E19" s="17" t="s">
        <v>35</v>
      </c>
      <c r="F19" s="10">
        <f t="shared" ref="F19:F82" si="3">G19/1.04+H19</f>
        <v>1500</v>
      </c>
      <c r="G19" s="10">
        <f t="shared" si="2"/>
        <v>0</v>
      </c>
      <c r="H19" s="28">
        <v>1500</v>
      </c>
    </row>
    <row r="20" s="11" customFormat="1" spans="1:10">
      <c r="A20" s="11">
        <v>18</v>
      </c>
      <c r="D20" s="11" t="s">
        <v>36</v>
      </c>
      <c r="E20" s="17" t="s">
        <v>37</v>
      </c>
      <c r="F20" s="10">
        <f t="shared" si="3"/>
        <v>10000</v>
      </c>
      <c r="G20" s="10">
        <f t="shared" si="2"/>
        <v>5200</v>
      </c>
      <c r="H20" s="28">
        <v>5000</v>
      </c>
      <c r="J20" s="11">
        <v>5200</v>
      </c>
    </row>
    <row r="21" s="11" customFormat="1" spans="1:8">
      <c r="A21" s="11">
        <v>19</v>
      </c>
      <c r="D21" s="11" t="s">
        <v>36</v>
      </c>
      <c r="E21" s="17" t="s">
        <v>38</v>
      </c>
      <c r="F21" s="10">
        <f t="shared" si="3"/>
        <v>0</v>
      </c>
      <c r="G21" s="10">
        <f t="shared" si="2"/>
        <v>0</v>
      </c>
      <c r="H21" s="28">
        <v>0</v>
      </c>
    </row>
    <row r="22" s="11" customFormat="1" spans="1:10">
      <c r="A22" s="11">
        <v>20</v>
      </c>
      <c r="D22" s="11" t="s">
        <v>36</v>
      </c>
      <c r="E22" s="17" t="s">
        <v>39</v>
      </c>
      <c r="F22" s="10">
        <f t="shared" si="3"/>
        <v>2000</v>
      </c>
      <c r="G22" s="10">
        <f t="shared" si="2"/>
        <v>1040</v>
      </c>
      <c r="H22" s="28">
        <v>1000</v>
      </c>
      <c r="J22" s="11">
        <v>1040</v>
      </c>
    </row>
    <row r="23" s="11" customFormat="1" spans="1:8">
      <c r="A23" s="11">
        <v>21</v>
      </c>
      <c r="D23" s="11" t="s">
        <v>36</v>
      </c>
      <c r="E23" s="17" t="s">
        <v>40</v>
      </c>
      <c r="F23" s="10">
        <f t="shared" si="3"/>
        <v>5000</v>
      </c>
      <c r="G23" s="10">
        <f t="shared" si="2"/>
        <v>0</v>
      </c>
      <c r="H23" s="28">
        <v>5000</v>
      </c>
    </row>
    <row r="24" s="11" customFormat="1" spans="1:8">
      <c r="A24" s="11">
        <v>22</v>
      </c>
      <c r="D24" s="11" t="s">
        <v>36</v>
      </c>
      <c r="E24" s="17" t="s">
        <v>41</v>
      </c>
      <c r="F24" s="10">
        <f t="shared" si="3"/>
        <v>0</v>
      </c>
      <c r="G24" s="10">
        <f t="shared" si="2"/>
        <v>0</v>
      </c>
      <c r="H24" s="28">
        <v>0</v>
      </c>
    </row>
    <row r="25" s="11" customFormat="1" spans="1:10">
      <c r="A25" s="11">
        <v>23</v>
      </c>
      <c r="D25" s="11" t="s">
        <v>36</v>
      </c>
      <c r="E25" s="17" t="s">
        <v>42</v>
      </c>
      <c r="F25" s="10">
        <f t="shared" si="3"/>
        <v>3000</v>
      </c>
      <c r="G25" s="10">
        <f t="shared" si="2"/>
        <v>3120</v>
      </c>
      <c r="H25" s="28">
        <v>0</v>
      </c>
      <c r="J25" s="11">
        <v>3120</v>
      </c>
    </row>
    <row r="26" s="11" customFormat="1" spans="1:8">
      <c r="A26" s="11">
        <v>24</v>
      </c>
      <c r="D26" s="11" t="s">
        <v>36</v>
      </c>
      <c r="E26" s="17" t="s">
        <v>43</v>
      </c>
      <c r="F26" s="10">
        <f t="shared" si="3"/>
        <v>0</v>
      </c>
      <c r="G26" s="10">
        <f t="shared" si="2"/>
        <v>0</v>
      </c>
      <c r="H26" s="28">
        <v>0</v>
      </c>
    </row>
    <row r="27" s="11" customFormat="1" spans="1:10">
      <c r="A27" s="11">
        <v>25</v>
      </c>
      <c r="D27" s="11" t="s">
        <v>36</v>
      </c>
      <c r="E27" s="17" t="s">
        <v>44</v>
      </c>
      <c r="F27" s="10">
        <f t="shared" si="3"/>
        <v>6000</v>
      </c>
      <c r="G27" s="10">
        <f t="shared" si="2"/>
        <v>3120</v>
      </c>
      <c r="H27" s="28">
        <v>3000</v>
      </c>
      <c r="J27" s="11">
        <v>3120</v>
      </c>
    </row>
    <row r="28" s="11" customFormat="1" spans="1:8">
      <c r="A28" s="11">
        <v>26</v>
      </c>
      <c r="D28" s="11" t="s">
        <v>36</v>
      </c>
      <c r="E28" s="17" t="s">
        <v>45</v>
      </c>
      <c r="F28" s="10">
        <f t="shared" si="3"/>
        <v>3000</v>
      </c>
      <c r="G28" s="10">
        <f t="shared" si="2"/>
        <v>0</v>
      </c>
      <c r="H28" s="28">
        <v>3000</v>
      </c>
    </row>
    <row r="29" s="11" customFormat="1" spans="1:8">
      <c r="A29" s="11">
        <v>27</v>
      </c>
      <c r="D29" s="11" t="s">
        <v>36</v>
      </c>
      <c r="E29" s="17" t="s">
        <v>46</v>
      </c>
      <c r="F29" s="10">
        <f t="shared" si="3"/>
        <v>0</v>
      </c>
      <c r="G29" s="10">
        <f t="shared" si="2"/>
        <v>0</v>
      </c>
      <c r="H29" s="28">
        <v>0</v>
      </c>
    </row>
    <row r="30" s="11" customFormat="1" spans="1:8">
      <c r="A30" s="11">
        <v>28</v>
      </c>
      <c r="D30" s="11" t="s">
        <v>36</v>
      </c>
      <c r="E30" s="17" t="s">
        <v>47</v>
      </c>
      <c r="F30" s="10">
        <f t="shared" si="3"/>
        <v>2000</v>
      </c>
      <c r="G30" s="10">
        <f t="shared" si="2"/>
        <v>0</v>
      </c>
      <c r="H30" s="28">
        <v>2000</v>
      </c>
    </row>
    <row r="31" s="11" customFormat="1" spans="1:8">
      <c r="A31" s="11">
        <v>29</v>
      </c>
      <c r="D31" s="11" t="s">
        <v>36</v>
      </c>
      <c r="E31" s="17" t="s">
        <v>48</v>
      </c>
      <c r="F31" s="10">
        <f t="shared" si="3"/>
        <v>5000</v>
      </c>
      <c r="G31" s="10">
        <f t="shared" si="2"/>
        <v>0</v>
      </c>
      <c r="H31" s="28">
        <v>5000</v>
      </c>
    </row>
    <row r="32" s="11" customFormat="1" spans="1:9">
      <c r="A32" s="11">
        <v>30</v>
      </c>
      <c r="D32" s="11" t="s">
        <v>36</v>
      </c>
      <c r="E32" s="17" t="s">
        <v>49</v>
      </c>
      <c r="F32" s="10">
        <f t="shared" si="3"/>
        <v>5000</v>
      </c>
      <c r="G32" s="10">
        <f t="shared" si="2"/>
        <v>5200</v>
      </c>
      <c r="H32" s="28">
        <v>0</v>
      </c>
      <c r="I32" s="11">
        <v>5200</v>
      </c>
    </row>
    <row r="33" s="11" customFormat="1" spans="1:8">
      <c r="A33" s="11">
        <v>31</v>
      </c>
      <c r="D33" s="11" t="s">
        <v>36</v>
      </c>
      <c r="E33" s="17" t="s">
        <v>50</v>
      </c>
      <c r="F33" s="10">
        <f t="shared" si="3"/>
        <v>0</v>
      </c>
      <c r="G33" s="10">
        <f t="shared" si="2"/>
        <v>0</v>
      </c>
      <c r="H33" s="28">
        <v>0</v>
      </c>
    </row>
    <row r="34" s="11" customFormat="1" spans="1:8">
      <c r="A34" s="11">
        <v>32</v>
      </c>
      <c r="D34" s="11" t="s">
        <v>51</v>
      </c>
      <c r="E34" s="17" t="s">
        <v>52</v>
      </c>
      <c r="F34" s="10">
        <f t="shared" si="3"/>
        <v>2000</v>
      </c>
      <c r="G34" s="10">
        <f t="shared" si="2"/>
        <v>0</v>
      </c>
      <c r="H34" s="28">
        <v>2000</v>
      </c>
    </row>
    <row r="35" s="11" customFormat="1" spans="1:8">
      <c r="A35" s="11">
        <v>33</v>
      </c>
      <c r="D35" s="11" t="s">
        <v>51</v>
      </c>
      <c r="E35" s="17" t="s">
        <v>53</v>
      </c>
      <c r="F35" s="10">
        <f t="shared" si="3"/>
        <v>1000</v>
      </c>
      <c r="G35" s="10">
        <f t="shared" si="2"/>
        <v>0</v>
      </c>
      <c r="H35" s="28">
        <v>1000</v>
      </c>
    </row>
    <row r="36" s="11" customFormat="1" spans="1:10">
      <c r="A36" s="11">
        <v>34</v>
      </c>
      <c r="D36" s="11" t="s">
        <v>51</v>
      </c>
      <c r="E36" s="17" t="s">
        <v>54</v>
      </c>
      <c r="F36" s="10">
        <f t="shared" si="3"/>
        <v>2000</v>
      </c>
      <c r="G36" s="10">
        <f t="shared" ref="G36:G67" si="4">SUM(I36:AM36)</f>
        <v>2080</v>
      </c>
      <c r="H36" s="28">
        <v>0</v>
      </c>
      <c r="J36" s="11">
        <v>2080</v>
      </c>
    </row>
    <row r="37" s="11" customFormat="1" spans="1:9">
      <c r="A37" s="11">
        <v>35</v>
      </c>
      <c r="D37" s="11" t="s">
        <v>51</v>
      </c>
      <c r="E37" s="17" t="s">
        <v>55</v>
      </c>
      <c r="F37" s="10">
        <f t="shared" si="3"/>
        <v>6000</v>
      </c>
      <c r="G37" s="10">
        <f t="shared" si="4"/>
        <v>3120</v>
      </c>
      <c r="H37" s="28">
        <v>3000</v>
      </c>
      <c r="I37" s="11">
        <v>3120</v>
      </c>
    </row>
    <row r="38" s="11" customFormat="1" spans="1:8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8">
        <v>0</v>
      </c>
    </row>
    <row r="39" s="11" customFormat="1" spans="1:8">
      <c r="A39" s="11">
        <v>37</v>
      </c>
      <c r="D39" s="11" t="s">
        <v>51</v>
      </c>
      <c r="E39" s="17" t="s">
        <v>57</v>
      </c>
      <c r="F39" s="10">
        <f t="shared" si="3"/>
        <v>0</v>
      </c>
      <c r="G39" s="10">
        <f t="shared" si="4"/>
        <v>0</v>
      </c>
      <c r="H39" s="28">
        <v>0</v>
      </c>
    </row>
    <row r="40" s="11" customFormat="1" spans="1:8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0</v>
      </c>
      <c r="G40" s="10">
        <f t="shared" si="4"/>
        <v>0</v>
      </c>
      <c r="H40" s="28">
        <v>0</v>
      </c>
    </row>
    <row r="41" s="11" customFormat="1" spans="1:8">
      <c r="A41" s="11">
        <v>39</v>
      </c>
      <c r="D41" s="11" t="s">
        <v>51</v>
      </c>
      <c r="E41" s="17" t="s">
        <v>59</v>
      </c>
      <c r="F41" s="10">
        <f t="shared" si="3"/>
        <v>2000</v>
      </c>
      <c r="G41" s="10">
        <f t="shared" si="4"/>
        <v>0</v>
      </c>
      <c r="H41" s="28">
        <v>2000</v>
      </c>
    </row>
    <row r="42" s="11" customFormat="1" spans="1:8">
      <c r="A42" s="11">
        <v>40</v>
      </c>
      <c r="D42" s="11" t="s">
        <v>51</v>
      </c>
      <c r="E42" s="17" t="s">
        <v>60</v>
      </c>
      <c r="F42" s="10">
        <f t="shared" si="3"/>
        <v>0</v>
      </c>
      <c r="G42" s="10">
        <f t="shared" si="4"/>
        <v>0</v>
      </c>
      <c r="H42" s="28">
        <v>0</v>
      </c>
    </row>
    <row r="43" s="11" customFormat="1" spans="1:9">
      <c r="A43" s="11">
        <v>41</v>
      </c>
      <c r="D43" s="11" t="s">
        <v>51</v>
      </c>
      <c r="E43" s="17" t="s">
        <v>61</v>
      </c>
      <c r="F43" s="10">
        <f t="shared" si="3"/>
        <v>6000</v>
      </c>
      <c r="G43" s="10">
        <f t="shared" si="4"/>
        <v>3120</v>
      </c>
      <c r="H43" s="28">
        <v>3000</v>
      </c>
      <c r="I43" s="11">
        <v>3120</v>
      </c>
    </row>
    <row r="44" s="11" customFormat="1" spans="1:8">
      <c r="A44" s="11">
        <v>42</v>
      </c>
      <c r="D44" s="11" t="s">
        <v>51</v>
      </c>
      <c r="E44" s="17" t="s">
        <v>62</v>
      </c>
      <c r="F44" s="10">
        <f t="shared" si="3"/>
        <v>0</v>
      </c>
      <c r="G44" s="10">
        <f t="shared" si="4"/>
        <v>0</v>
      </c>
      <c r="H44" s="28">
        <v>0</v>
      </c>
    </row>
    <row r="45" s="11" customFormat="1" spans="1:9">
      <c r="A45" s="11">
        <v>43</v>
      </c>
      <c r="D45" s="11" t="s">
        <v>51</v>
      </c>
      <c r="E45" s="17" t="s">
        <v>63</v>
      </c>
      <c r="F45" s="10">
        <f t="shared" si="3"/>
        <v>3000</v>
      </c>
      <c r="G45" s="10">
        <f t="shared" si="4"/>
        <v>3120</v>
      </c>
      <c r="H45" s="28">
        <v>0</v>
      </c>
      <c r="I45" s="11">
        <v>3120</v>
      </c>
    </row>
    <row r="46" s="11" customFormat="1" spans="1:8">
      <c r="A46" s="11">
        <v>44</v>
      </c>
      <c r="D46" s="11" t="s">
        <v>64</v>
      </c>
      <c r="E46" s="17" t="s">
        <v>65</v>
      </c>
      <c r="F46" s="10">
        <f t="shared" si="3"/>
        <v>0</v>
      </c>
      <c r="G46" s="10">
        <f t="shared" si="4"/>
        <v>0</v>
      </c>
      <c r="H46" s="28">
        <v>0</v>
      </c>
    </row>
    <row r="47" s="11" customFormat="1" spans="1:8">
      <c r="A47" s="11">
        <v>45</v>
      </c>
      <c r="D47" s="11" t="s">
        <v>64</v>
      </c>
      <c r="E47" s="17" t="s">
        <v>66</v>
      </c>
      <c r="F47" s="10">
        <f t="shared" si="3"/>
        <v>0</v>
      </c>
      <c r="G47" s="10">
        <f t="shared" si="4"/>
        <v>0</v>
      </c>
      <c r="H47" s="28">
        <v>0</v>
      </c>
    </row>
    <row r="48" s="11" customFormat="1" spans="1:8">
      <c r="A48" s="11">
        <v>46</v>
      </c>
      <c r="D48" s="11" t="s">
        <v>64</v>
      </c>
      <c r="E48" s="17" t="s">
        <v>67</v>
      </c>
      <c r="F48" s="10">
        <f t="shared" si="3"/>
        <v>0</v>
      </c>
      <c r="G48" s="10">
        <f t="shared" si="4"/>
        <v>0</v>
      </c>
      <c r="H48" s="28">
        <v>0</v>
      </c>
    </row>
    <row r="49" s="11" customFormat="1" spans="1:10">
      <c r="A49" s="11">
        <v>47</v>
      </c>
      <c r="D49" s="11" t="s">
        <v>64</v>
      </c>
      <c r="E49" s="17" t="s">
        <v>68</v>
      </c>
      <c r="F49" s="10">
        <f t="shared" si="3"/>
        <v>9000</v>
      </c>
      <c r="G49" s="10">
        <f t="shared" si="4"/>
        <v>3120</v>
      </c>
      <c r="H49" s="28">
        <v>6000</v>
      </c>
      <c r="J49" s="11">
        <v>3120</v>
      </c>
    </row>
    <row r="50" s="11" customFormat="1" spans="1:8">
      <c r="A50" s="11">
        <v>48</v>
      </c>
      <c r="D50" s="11" t="s">
        <v>64</v>
      </c>
      <c r="E50" s="17" t="s">
        <v>69</v>
      </c>
      <c r="F50" s="10">
        <f t="shared" si="3"/>
        <v>6000</v>
      </c>
      <c r="G50" s="10">
        <f t="shared" si="4"/>
        <v>0</v>
      </c>
      <c r="H50" s="28">
        <v>6000</v>
      </c>
    </row>
    <row r="51" s="11" customFormat="1" spans="1:8">
      <c r="A51" s="11">
        <v>49</v>
      </c>
      <c r="D51" s="11" t="s">
        <v>64</v>
      </c>
      <c r="E51" s="17" t="s">
        <v>70</v>
      </c>
      <c r="F51" s="10">
        <f t="shared" si="3"/>
        <v>2000</v>
      </c>
      <c r="G51" s="10">
        <f t="shared" si="4"/>
        <v>0</v>
      </c>
      <c r="H51" s="28">
        <v>2000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4"/>
        <v>0</v>
      </c>
      <c r="H52" s="28">
        <v>0</v>
      </c>
    </row>
    <row r="53" s="11" customFormat="1" spans="1:9">
      <c r="A53" s="11">
        <v>51</v>
      </c>
      <c r="D53" s="11" t="s">
        <v>64</v>
      </c>
      <c r="E53" s="17" t="s">
        <v>72</v>
      </c>
      <c r="F53" s="10">
        <f t="shared" si="3"/>
        <v>2000</v>
      </c>
      <c r="G53" s="10">
        <f t="shared" si="4"/>
        <v>1040</v>
      </c>
      <c r="H53" s="28">
        <v>1000</v>
      </c>
      <c r="I53" s="11">
        <v>1040</v>
      </c>
    </row>
    <row r="54" s="11" customFormat="1" spans="1:8">
      <c r="A54" s="11">
        <v>52</v>
      </c>
      <c r="D54" s="11" t="s">
        <v>64</v>
      </c>
      <c r="E54" s="17" t="s">
        <v>73</v>
      </c>
      <c r="F54" s="10">
        <f t="shared" si="3"/>
        <v>2000</v>
      </c>
      <c r="G54" s="10">
        <f t="shared" si="4"/>
        <v>0</v>
      </c>
      <c r="H54" s="28">
        <v>2000</v>
      </c>
    </row>
    <row r="55" s="11" customFormat="1" spans="1:8">
      <c r="A55" s="11">
        <v>53</v>
      </c>
      <c r="B55" s="32"/>
      <c r="D55" s="11" t="s">
        <v>64</v>
      </c>
      <c r="E55" s="31" t="s">
        <v>74</v>
      </c>
      <c r="F55" s="10">
        <f t="shared" si="3"/>
        <v>0</v>
      </c>
      <c r="G55" s="10">
        <f t="shared" si="4"/>
        <v>0</v>
      </c>
      <c r="H55" s="28">
        <v>0</v>
      </c>
    </row>
    <row r="56" s="11" customFormat="1" spans="1:9">
      <c r="A56" s="11">
        <v>54</v>
      </c>
      <c r="B56" s="32"/>
      <c r="D56" s="11" t="s">
        <v>64</v>
      </c>
      <c r="E56" s="31" t="s">
        <v>75</v>
      </c>
      <c r="F56" s="10">
        <f t="shared" si="3"/>
        <v>2000</v>
      </c>
      <c r="G56" s="10">
        <f t="shared" si="4"/>
        <v>1040</v>
      </c>
      <c r="H56" s="28">
        <v>1000</v>
      </c>
      <c r="I56" s="11">
        <v>1040</v>
      </c>
    </row>
    <row r="57" s="11" customFormat="1" spans="1:8">
      <c r="A57" s="11">
        <v>55</v>
      </c>
      <c r="B57" s="32"/>
      <c r="D57" s="11" t="s">
        <v>64</v>
      </c>
      <c r="E57" s="31" t="s">
        <v>76</v>
      </c>
      <c r="F57" s="10">
        <f t="shared" si="3"/>
        <v>0</v>
      </c>
      <c r="G57" s="10">
        <f t="shared" si="4"/>
        <v>0</v>
      </c>
      <c r="H57" s="28">
        <v>0</v>
      </c>
    </row>
    <row r="58" s="11" customFormat="1" spans="1:8">
      <c r="A58" s="11">
        <v>56</v>
      </c>
      <c r="D58" s="11" t="s">
        <v>77</v>
      </c>
      <c r="E58" s="17" t="s">
        <v>78</v>
      </c>
      <c r="F58" s="10">
        <f t="shared" si="3"/>
        <v>0</v>
      </c>
      <c r="G58" s="10">
        <f t="shared" si="4"/>
        <v>0</v>
      </c>
      <c r="H58" s="28">
        <v>0</v>
      </c>
    </row>
    <row r="59" s="11" customFormat="1" spans="1:10">
      <c r="A59" s="11">
        <v>57</v>
      </c>
      <c r="D59" s="11" t="s">
        <v>77</v>
      </c>
      <c r="E59" s="17" t="s">
        <v>79</v>
      </c>
      <c r="F59" s="10">
        <f t="shared" si="3"/>
        <v>10000</v>
      </c>
      <c r="G59" s="10">
        <f t="shared" si="4"/>
        <v>5200</v>
      </c>
      <c r="H59" s="28">
        <v>5000</v>
      </c>
      <c r="J59" s="11">
        <v>5200</v>
      </c>
    </row>
    <row r="60" s="11" customFormat="1" spans="1:8">
      <c r="A60" s="11">
        <v>58</v>
      </c>
      <c r="D60" s="11" t="s">
        <v>77</v>
      </c>
      <c r="E60" s="17" t="s">
        <v>80</v>
      </c>
      <c r="F60" s="10">
        <f t="shared" si="3"/>
        <v>0</v>
      </c>
      <c r="G60" s="10">
        <f t="shared" si="4"/>
        <v>0</v>
      </c>
      <c r="H60" s="28">
        <v>0</v>
      </c>
    </row>
    <row r="61" s="11" customFormat="1" spans="1:8">
      <c r="A61" s="11">
        <v>59</v>
      </c>
      <c r="D61" s="11" t="s">
        <v>77</v>
      </c>
      <c r="E61" s="17" t="s">
        <v>81</v>
      </c>
      <c r="F61" s="10">
        <f t="shared" si="3"/>
        <v>0</v>
      </c>
      <c r="G61" s="10">
        <f t="shared" si="4"/>
        <v>0</v>
      </c>
      <c r="H61" s="28">
        <v>0</v>
      </c>
    </row>
    <row r="62" s="11" customFormat="1" spans="1:9">
      <c r="A62" s="11">
        <v>60</v>
      </c>
      <c r="B62" s="32"/>
      <c r="D62" s="11" t="s">
        <v>82</v>
      </c>
      <c r="E62" s="31" t="s">
        <v>83</v>
      </c>
      <c r="F62" s="10">
        <f t="shared" si="3"/>
        <v>5000</v>
      </c>
      <c r="G62" s="10">
        <f t="shared" si="4"/>
        <v>5200</v>
      </c>
      <c r="H62" s="28">
        <v>0</v>
      </c>
      <c r="I62" s="11">
        <v>5200</v>
      </c>
    </row>
    <row r="63" s="11" customFormat="1" spans="1:8">
      <c r="A63" s="11">
        <v>61</v>
      </c>
      <c r="B63" s="32"/>
      <c r="D63" s="11" t="s">
        <v>82</v>
      </c>
      <c r="E63" s="31" t="s">
        <v>84</v>
      </c>
      <c r="F63" s="10">
        <f t="shared" si="3"/>
        <v>1100</v>
      </c>
      <c r="G63" s="10">
        <f t="shared" si="4"/>
        <v>0</v>
      </c>
      <c r="H63" s="28">
        <v>1100</v>
      </c>
    </row>
    <row r="64" s="11" customFormat="1" spans="1:8">
      <c r="A64" s="11">
        <v>62</v>
      </c>
      <c r="C64" s="29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4"/>
        <v>0</v>
      </c>
      <c r="H64" s="28">
        <v>0</v>
      </c>
    </row>
    <row r="65" s="11" customFormat="1" spans="1:9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1000</v>
      </c>
      <c r="G65" s="10">
        <f t="shared" si="4"/>
        <v>2080</v>
      </c>
      <c r="H65" s="22">
        <v>-1000</v>
      </c>
      <c r="I65" s="11">
        <v>2080</v>
      </c>
    </row>
    <row r="66" s="11" customFormat="1" spans="1:8">
      <c r="A66" s="11">
        <v>64</v>
      </c>
      <c r="B66" s="32"/>
      <c r="D66" s="11" t="s">
        <v>87</v>
      </c>
      <c r="E66" s="31" t="s">
        <v>89</v>
      </c>
      <c r="F66" s="10">
        <f t="shared" si="3"/>
        <v>7000</v>
      </c>
      <c r="G66" s="10">
        <f t="shared" si="4"/>
        <v>0</v>
      </c>
      <c r="H66" s="28">
        <v>7000</v>
      </c>
    </row>
    <row r="67" s="11" customFormat="1" spans="1:8">
      <c r="A67" s="11">
        <v>65</v>
      </c>
      <c r="B67" s="32"/>
      <c r="D67" s="11" t="s">
        <v>90</v>
      </c>
      <c r="E67" s="31" t="s">
        <v>91</v>
      </c>
      <c r="F67" s="10">
        <f t="shared" si="3"/>
        <v>500</v>
      </c>
      <c r="G67" s="10">
        <f t="shared" si="4"/>
        <v>0</v>
      </c>
      <c r="H67" s="28">
        <v>500</v>
      </c>
    </row>
    <row r="68" s="11" customFormat="1" spans="1:8">
      <c r="A68" s="11">
        <v>66</v>
      </c>
      <c r="D68" s="11" t="s">
        <v>92</v>
      </c>
      <c r="E68" s="17" t="s">
        <v>93</v>
      </c>
      <c r="F68" s="10">
        <f t="shared" si="3"/>
        <v>2000</v>
      </c>
      <c r="G68" s="10">
        <f t="shared" ref="G68:G96" si="5">SUM(I68:AM68)</f>
        <v>0</v>
      </c>
      <c r="H68" s="28">
        <v>2000</v>
      </c>
    </row>
    <row r="69" s="11" customFormat="1" spans="1:8">
      <c r="A69" s="11">
        <v>67</v>
      </c>
      <c r="D69" s="11" t="s">
        <v>92</v>
      </c>
      <c r="E69" s="17" t="s">
        <v>94</v>
      </c>
      <c r="F69" s="10">
        <f t="shared" si="3"/>
        <v>0</v>
      </c>
      <c r="G69" s="10">
        <f t="shared" si="5"/>
        <v>0</v>
      </c>
      <c r="H69" s="28">
        <v>0</v>
      </c>
    </row>
    <row r="70" s="11" customFormat="1" spans="1:8">
      <c r="A70" s="11">
        <v>68</v>
      </c>
      <c r="D70" s="11" t="s">
        <v>92</v>
      </c>
      <c r="E70" s="17" t="s">
        <v>95</v>
      </c>
      <c r="F70" s="10">
        <f t="shared" si="3"/>
        <v>-2000</v>
      </c>
      <c r="G70" s="10">
        <f t="shared" si="5"/>
        <v>0</v>
      </c>
      <c r="H70" s="28">
        <v>-2000</v>
      </c>
    </row>
    <row r="71" s="11" customFormat="1" spans="1:8">
      <c r="A71" s="11">
        <v>69</v>
      </c>
      <c r="D71" s="11" t="s">
        <v>92</v>
      </c>
      <c r="E71" s="17" t="s">
        <v>96</v>
      </c>
      <c r="F71" s="10">
        <f t="shared" si="3"/>
        <v>0</v>
      </c>
      <c r="G71" s="10">
        <f t="shared" si="5"/>
        <v>0</v>
      </c>
      <c r="H71" s="28">
        <v>0</v>
      </c>
    </row>
    <row r="72" s="11" customFormat="1" spans="1:9">
      <c r="A72" s="11">
        <v>70</v>
      </c>
      <c r="D72" s="11" t="s">
        <v>92</v>
      </c>
      <c r="E72" s="17" t="s">
        <v>97</v>
      </c>
      <c r="F72" s="10">
        <f t="shared" si="3"/>
        <v>5000</v>
      </c>
      <c r="G72" s="10">
        <f t="shared" si="5"/>
        <v>5200</v>
      </c>
      <c r="H72" s="28">
        <v>0</v>
      </c>
      <c r="I72" s="11">
        <v>5200</v>
      </c>
    </row>
    <row r="73" s="11" customFormat="1" spans="1:10">
      <c r="A73" s="11">
        <v>71</v>
      </c>
      <c r="D73" s="11" t="s">
        <v>92</v>
      </c>
      <c r="E73" s="17" t="s">
        <v>98</v>
      </c>
      <c r="F73" s="10">
        <f t="shared" si="3"/>
        <v>6000</v>
      </c>
      <c r="G73" s="10">
        <f t="shared" si="5"/>
        <v>3120</v>
      </c>
      <c r="H73" s="28">
        <v>3000</v>
      </c>
      <c r="J73" s="11">
        <v>3120</v>
      </c>
    </row>
    <row r="74" s="11" customFormat="1" spans="1:8">
      <c r="A74" s="11">
        <v>72</v>
      </c>
      <c r="B74" s="32"/>
      <c r="D74" s="11" t="s">
        <v>92</v>
      </c>
      <c r="E74" s="31" t="s">
        <v>99</v>
      </c>
      <c r="F74" s="10">
        <f t="shared" si="3"/>
        <v>1000</v>
      </c>
      <c r="G74" s="10">
        <f t="shared" si="5"/>
        <v>0</v>
      </c>
      <c r="H74" s="28">
        <v>1000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8">
        <v>0</v>
      </c>
    </row>
    <row r="76" s="11" customFormat="1" spans="1:8">
      <c r="A76" s="11">
        <v>74</v>
      </c>
      <c r="B76" s="32"/>
      <c r="D76" s="11" t="s">
        <v>92</v>
      </c>
      <c r="E76" s="31" t="s">
        <v>101</v>
      </c>
      <c r="F76" s="10">
        <f t="shared" si="3"/>
        <v>0</v>
      </c>
      <c r="G76" s="10">
        <f t="shared" si="5"/>
        <v>0</v>
      </c>
      <c r="H76" s="28">
        <v>0</v>
      </c>
    </row>
    <row r="77" s="11" customFormat="1" spans="1:9">
      <c r="A77" s="11">
        <v>75</v>
      </c>
      <c r="D77" s="11" t="s">
        <v>102</v>
      </c>
      <c r="E77" s="17" t="s">
        <v>103</v>
      </c>
      <c r="F77" s="10">
        <f t="shared" si="3"/>
        <v>3300</v>
      </c>
      <c r="G77" s="10">
        <f t="shared" si="5"/>
        <v>1040</v>
      </c>
      <c r="H77" s="28">
        <v>2300</v>
      </c>
      <c r="I77" s="11">
        <v>1040</v>
      </c>
    </row>
    <row r="78" s="11" customFormat="1" spans="1:8">
      <c r="A78" s="11">
        <v>76</v>
      </c>
      <c r="D78" s="11" t="s">
        <v>102</v>
      </c>
      <c r="E78" s="17" t="s">
        <v>104</v>
      </c>
      <c r="F78" s="10">
        <f t="shared" si="3"/>
        <v>3000</v>
      </c>
      <c r="G78" s="10">
        <f t="shared" si="5"/>
        <v>0</v>
      </c>
      <c r="H78" s="28">
        <v>3000</v>
      </c>
    </row>
    <row r="79" s="11" customFormat="1" spans="1:8">
      <c r="A79" s="11">
        <v>77</v>
      </c>
      <c r="D79" s="11" t="s">
        <v>102</v>
      </c>
      <c r="E79" s="17" t="s">
        <v>105</v>
      </c>
      <c r="F79" s="10">
        <f t="shared" si="3"/>
        <v>2000</v>
      </c>
      <c r="G79" s="10">
        <f t="shared" si="5"/>
        <v>0</v>
      </c>
      <c r="H79" s="28">
        <v>2000</v>
      </c>
    </row>
    <row r="80" s="11" customFormat="1" spans="1:25">
      <c r="A80" s="11">
        <v>78</v>
      </c>
      <c r="B80" s="32"/>
      <c r="E80" s="31" t="s">
        <v>106</v>
      </c>
      <c r="F80" s="10">
        <f t="shared" si="3"/>
        <v>58000</v>
      </c>
      <c r="G80" s="10">
        <f t="shared" si="5"/>
        <v>0</v>
      </c>
      <c r="H80" s="28">
        <v>58000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V80" s="34"/>
      <c r="W80" s="32"/>
      <c r="X80" s="34"/>
      <c r="Y80" s="34"/>
    </row>
    <row r="81" s="11" customFormat="1" spans="1:8">
      <c r="A81" s="11">
        <v>79</v>
      </c>
      <c r="B81" s="32"/>
      <c r="D81" s="11" t="s">
        <v>107</v>
      </c>
      <c r="E81" s="31" t="s">
        <v>108</v>
      </c>
      <c r="F81" s="10">
        <f t="shared" si="3"/>
        <v>2000</v>
      </c>
      <c r="G81" s="10">
        <f t="shared" si="5"/>
        <v>0</v>
      </c>
      <c r="H81" s="28">
        <v>2000</v>
      </c>
    </row>
    <row r="82" s="11" customFormat="1" spans="1:8">
      <c r="A82" s="11">
        <v>80</v>
      </c>
      <c r="B82" s="32"/>
      <c r="E82" s="31" t="s">
        <v>109</v>
      </c>
      <c r="F82" s="10">
        <f t="shared" si="3"/>
        <v>0</v>
      </c>
      <c r="G82" s="10">
        <f t="shared" si="5"/>
        <v>0</v>
      </c>
      <c r="H82" s="28">
        <v>0</v>
      </c>
    </row>
    <row r="83" s="11" customFormat="1" spans="1:8">
      <c r="A83" s="11">
        <v>81</v>
      </c>
      <c r="B83" s="32"/>
      <c r="D83" s="11" t="s">
        <v>110</v>
      </c>
      <c r="E83" s="31" t="s">
        <v>111</v>
      </c>
      <c r="F83" s="10">
        <f t="shared" ref="F83:F96" si="6">G83/1.04+H83</f>
        <v>0</v>
      </c>
      <c r="G83" s="10">
        <f t="shared" si="5"/>
        <v>0</v>
      </c>
      <c r="H83" s="28">
        <v>0</v>
      </c>
    </row>
    <row r="84" s="11" customFormat="1" spans="1:20">
      <c r="A84" s="11">
        <v>82</v>
      </c>
      <c r="B84" s="32"/>
      <c r="E84" s="31" t="s">
        <v>112</v>
      </c>
      <c r="F84" s="10">
        <f t="shared" si="6"/>
        <v>0</v>
      </c>
      <c r="G84" s="10">
        <f t="shared" si="5"/>
        <v>0</v>
      </c>
      <c r="H84" s="28">
        <v>0</v>
      </c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</row>
    <row r="85" s="11" customFormat="1" spans="1:9">
      <c r="A85" s="11">
        <v>83</v>
      </c>
      <c r="B85" s="32"/>
      <c r="D85" s="11" t="s">
        <v>113</v>
      </c>
      <c r="E85" s="31" t="s">
        <v>114</v>
      </c>
      <c r="F85" s="10">
        <f t="shared" si="6"/>
        <v>5000</v>
      </c>
      <c r="G85" s="10">
        <f t="shared" si="5"/>
        <v>5200</v>
      </c>
      <c r="H85" s="28">
        <v>0</v>
      </c>
      <c r="I85" s="11">
        <v>5200</v>
      </c>
    </row>
    <row r="86" s="11" customFormat="1" spans="1:8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si="5"/>
        <v>0</v>
      </c>
      <c r="H86" s="28">
        <v>5000</v>
      </c>
    </row>
    <row r="87" s="11" customFormat="1" spans="1:8">
      <c r="A87" s="11">
        <v>85</v>
      </c>
      <c r="B87" s="32"/>
      <c r="C87" s="11">
        <v>683879115</v>
      </c>
      <c r="D87" s="11" t="s">
        <v>113</v>
      </c>
      <c r="E87" s="31" t="s">
        <v>116</v>
      </c>
      <c r="F87" s="10">
        <f t="shared" si="6"/>
        <v>2000</v>
      </c>
      <c r="G87" s="10">
        <f t="shared" si="5"/>
        <v>0</v>
      </c>
      <c r="H87" s="28">
        <v>2000</v>
      </c>
    </row>
    <row r="88" s="11" customFormat="1" spans="1:26">
      <c r="A88" s="11">
        <v>86</v>
      </c>
      <c r="B88" s="32"/>
      <c r="D88" s="11" t="s">
        <v>117</v>
      </c>
      <c r="E88" s="31" t="s">
        <v>118</v>
      </c>
      <c r="F88" s="10">
        <f t="shared" si="6"/>
        <v>0</v>
      </c>
      <c r="G88" s="10">
        <f t="shared" si="5"/>
        <v>0</v>
      </c>
      <c r="H88" s="28">
        <v>0</v>
      </c>
      <c r="I88" s="34"/>
      <c r="J88" s="34"/>
      <c r="K88" s="34"/>
      <c r="L88" s="34"/>
      <c r="M88" s="34"/>
      <c r="N88" s="34"/>
      <c r="O88" s="32"/>
      <c r="P88" s="34"/>
      <c r="Q88" s="34"/>
      <c r="R88" s="34"/>
      <c r="S88" s="34"/>
      <c r="T88" s="34"/>
      <c r="U88" s="34"/>
      <c r="V88" s="34"/>
      <c r="W88" s="32"/>
      <c r="X88" s="34"/>
      <c r="Y88" s="34"/>
      <c r="Z88" s="34"/>
    </row>
    <row r="89" s="11" customFormat="1" spans="1:8">
      <c r="A89" s="11">
        <v>87</v>
      </c>
      <c r="B89" s="32"/>
      <c r="E89" s="31" t="s">
        <v>119</v>
      </c>
      <c r="F89" s="10">
        <f t="shared" si="6"/>
        <v>0</v>
      </c>
      <c r="G89" s="10">
        <f t="shared" si="5"/>
        <v>0</v>
      </c>
      <c r="H89" s="28">
        <v>0</v>
      </c>
    </row>
    <row r="90" s="11" customFormat="1" spans="1:19">
      <c r="A90" s="11">
        <v>88</v>
      </c>
      <c r="B90" s="32"/>
      <c r="E90" s="31" t="s">
        <v>120</v>
      </c>
      <c r="F90" s="10">
        <f t="shared" si="6"/>
        <v>0</v>
      </c>
      <c r="G90" s="10">
        <f t="shared" si="5"/>
        <v>0</v>
      </c>
      <c r="H90" s="28">
        <v>0</v>
      </c>
      <c r="I90" s="34"/>
      <c r="J90" s="34"/>
      <c r="K90" s="34"/>
      <c r="L90" s="34"/>
      <c r="M90" s="34"/>
      <c r="N90" s="34"/>
      <c r="O90" s="34"/>
      <c r="P90" s="34"/>
      <c r="Q90" s="34"/>
      <c r="R90" s="32"/>
      <c r="S90" s="34"/>
    </row>
    <row r="91" s="11" customFormat="1" spans="1:24">
      <c r="A91" s="11">
        <v>89</v>
      </c>
      <c r="B91" s="32"/>
      <c r="E91" s="31" t="s">
        <v>121</v>
      </c>
      <c r="F91" s="10">
        <f t="shared" si="6"/>
        <v>0</v>
      </c>
      <c r="G91" s="10">
        <f t="shared" si="5"/>
        <v>0</v>
      </c>
      <c r="H91" s="28">
        <v>0</v>
      </c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s="11" customFormat="1" spans="1:8">
      <c r="A92" s="11">
        <v>90</v>
      </c>
      <c r="E92" s="17" t="s">
        <v>122</v>
      </c>
      <c r="F92" s="10">
        <f t="shared" si="6"/>
        <v>0</v>
      </c>
      <c r="G92" s="10">
        <f t="shared" si="5"/>
        <v>0</v>
      </c>
      <c r="H92" s="28">
        <v>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5"/>
        <v>0</v>
      </c>
      <c r="H93" s="28">
        <v>0</v>
      </c>
    </row>
    <row r="94" s="11" customFormat="1" spans="1:8">
      <c r="A94" s="11">
        <v>92</v>
      </c>
      <c r="D94" s="11" t="s">
        <v>124</v>
      </c>
      <c r="E94" s="17" t="s">
        <v>125</v>
      </c>
      <c r="F94" s="10">
        <f t="shared" si="6"/>
        <v>1000</v>
      </c>
      <c r="G94" s="10">
        <f t="shared" si="5"/>
        <v>0</v>
      </c>
      <c r="H94" s="28">
        <v>1000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5"/>
        <v>0</v>
      </c>
      <c r="H95" s="28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5"/>
        <v>0</v>
      </c>
      <c r="H96" s="28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56" activePane="bottomRight" state="frozen"/>
      <selection/>
      <selection pane="topRight"/>
      <selection pane="bottomLeft"/>
      <selection pane="bottomRight" activeCell="G65" sqref="G65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57500</v>
      </c>
      <c r="G2" s="15" t="s">
        <v>8</v>
      </c>
      <c r="H2" s="16">
        <f>SUM(I2:AM2)</f>
        <v>57500</v>
      </c>
      <c r="I2" s="10">
        <f t="shared" ref="I2:AB2" si="0">SUM(I3:I121)</f>
        <v>39500</v>
      </c>
      <c r="J2" s="10">
        <f t="shared" si="0"/>
        <v>18000</v>
      </c>
      <c r="K2" s="10">
        <f t="shared" si="0"/>
        <v>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>SUM(I3:AM3)</f>
        <v>0</v>
      </c>
      <c r="AB3" s="2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2"/>
        <v>3000</v>
      </c>
      <c r="I5" s="11">
        <v>2000</v>
      </c>
      <c r="J5" s="11">
        <v>1000</v>
      </c>
      <c r="AB5" s="2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2"/>
        <v>0</v>
      </c>
      <c r="AB6" s="21"/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2"/>
        <v>2000</v>
      </c>
      <c r="J8" s="11">
        <v>2000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2"/>
        <v>5000</v>
      </c>
      <c r="I10" s="11">
        <v>5000</v>
      </c>
      <c r="AB10" s="21"/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2"/>
        <v>0</v>
      </c>
      <c r="AB13" s="2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7" t="s">
        <v>27</v>
      </c>
      <c r="H14" s="10">
        <f t="shared" si="2"/>
        <v>5000</v>
      </c>
      <c r="I14" s="19">
        <v>5000</v>
      </c>
      <c r="AB14" s="21"/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7" t="s">
        <v>30</v>
      </c>
      <c r="H16" s="10">
        <f t="shared" si="2"/>
        <v>1000</v>
      </c>
      <c r="J16" s="11">
        <v>1000</v>
      </c>
      <c r="AB16" s="2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139</v>
      </c>
      <c r="C19" s="11">
        <v>17</v>
      </c>
      <c r="D19" s="11" t="s">
        <v>139</v>
      </c>
      <c r="E19" s="11">
        <v>9608475282</v>
      </c>
      <c r="F19" s="11" t="s">
        <v>23</v>
      </c>
      <c r="G19" s="17" t="s">
        <v>35</v>
      </c>
      <c r="H19" s="10">
        <f t="shared" si="2"/>
        <v>1500</v>
      </c>
      <c r="I19" s="11">
        <v>1500</v>
      </c>
      <c r="AB19" s="21"/>
    </row>
    <row r="20" s="11" customFormat="1" spans="1:28">
      <c r="A20" s="11">
        <v>18</v>
      </c>
      <c r="B20" s="11" t="s">
        <v>140</v>
      </c>
      <c r="C20" s="11">
        <v>18</v>
      </c>
      <c r="D20" s="11" t="s">
        <v>140</v>
      </c>
      <c r="E20" s="11">
        <v>9661555592</v>
      </c>
      <c r="F20" s="11" t="s">
        <v>36</v>
      </c>
      <c r="G20" s="17" t="s">
        <v>37</v>
      </c>
      <c r="H20" s="10">
        <f t="shared" si="2"/>
        <v>0</v>
      </c>
      <c r="AB20" s="21"/>
    </row>
    <row r="21" s="11" customFormat="1" spans="1:28">
      <c r="A21" s="11">
        <v>19</v>
      </c>
      <c r="B21" s="11" t="s">
        <v>141</v>
      </c>
      <c r="C21" s="11">
        <v>19</v>
      </c>
      <c r="D21" s="11" t="s">
        <v>141</v>
      </c>
      <c r="E21" s="11">
        <v>8340523512</v>
      </c>
      <c r="F21" s="11" t="s">
        <v>36</v>
      </c>
      <c r="G21" s="17" t="s">
        <v>38</v>
      </c>
      <c r="H21" s="10">
        <f t="shared" si="2"/>
        <v>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2"/>
        <v>1000</v>
      </c>
      <c r="I22" s="11">
        <v>1000</v>
      </c>
      <c r="AB22" s="21"/>
    </row>
    <row r="23" s="11" customFormat="1" spans="1:28">
      <c r="A23" s="11">
        <v>21</v>
      </c>
      <c r="B23" s="11" t="s">
        <v>142</v>
      </c>
      <c r="C23" s="11">
        <v>21</v>
      </c>
      <c r="D23" s="11" t="s">
        <v>142</v>
      </c>
      <c r="E23" s="11">
        <v>7004478123</v>
      </c>
      <c r="F23" s="11" t="s">
        <v>36</v>
      </c>
      <c r="G23" s="17" t="s">
        <v>40</v>
      </c>
      <c r="H23" s="10">
        <f t="shared" si="2"/>
        <v>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143</v>
      </c>
      <c r="C25" s="11">
        <v>23</v>
      </c>
      <c r="D25" s="11" t="s">
        <v>143</v>
      </c>
      <c r="E25" s="11">
        <v>7006041121</v>
      </c>
      <c r="F25" s="11" t="s">
        <v>36</v>
      </c>
      <c r="G25" s="17" t="s">
        <v>42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144</v>
      </c>
      <c r="C26" s="11">
        <v>24</v>
      </c>
      <c r="D26" s="11" t="s">
        <v>144</v>
      </c>
      <c r="E26" s="11">
        <v>8709658240</v>
      </c>
      <c r="F26" s="11" t="s">
        <v>36</v>
      </c>
      <c r="G26" s="17" t="s">
        <v>43</v>
      </c>
      <c r="H26" s="10">
        <f t="shared" si="2"/>
        <v>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2"/>
        <v>3000</v>
      </c>
      <c r="I27" s="11">
        <v>3000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2"/>
        <v>2000</v>
      </c>
      <c r="I30" s="11">
        <v>1000</v>
      </c>
      <c r="J30" s="11">
        <v>1000</v>
      </c>
      <c r="AB30" s="21"/>
    </row>
    <row r="31" s="11" customFormat="1" spans="1:28">
      <c r="A31" s="11">
        <v>29</v>
      </c>
      <c r="B31" s="11" t="s">
        <v>145</v>
      </c>
      <c r="C31" s="11">
        <v>29</v>
      </c>
      <c r="D31" s="11" t="s">
        <v>145</v>
      </c>
      <c r="F31" s="11" t="s">
        <v>36</v>
      </c>
      <c r="G31" s="17" t="s">
        <v>48</v>
      </c>
      <c r="H31" s="10">
        <f t="shared" si="2"/>
        <v>5000</v>
      </c>
      <c r="I31" s="11">
        <v>5000</v>
      </c>
      <c r="AB31" s="21"/>
    </row>
    <row r="32" s="11" customFormat="1" spans="1:28">
      <c r="A32" s="11">
        <v>30</v>
      </c>
      <c r="B32" s="11" t="s">
        <v>146</v>
      </c>
      <c r="C32" s="11">
        <v>30</v>
      </c>
      <c r="D32" s="11" t="s">
        <v>146</v>
      </c>
      <c r="F32" s="11" t="s">
        <v>36</v>
      </c>
      <c r="G32" s="17" t="s">
        <v>49</v>
      </c>
      <c r="H32" s="10">
        <f t="shared" si="2"/>
        <v>0</v>
      </c>
      <c r="AB32" s="2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2"/>
        <v>0</v>
      </c>
      <c r="AB33" s="21"/>
    </row>
    <row r="34" s="11" customFormat="1" spans="1:28">
      <c r="A34" s="11">
        <v>32</v>
      </c>
      <c r="B34" s="11" t="s">
        <v>147</v>
      </c>
      <c r="C34" s="11">
        <v>32</v>
      </c>
      <c r="D34" s="11" t="s">
        <v>147</v>
      </c>
      <c r="F34" s="11" t="s">
        <v>51</v>
      </c>
      <c r="G34" s="17" t="s">
        <v>52</v>
      </c>
      <c r="H34" s="10">
        <f t="shared" si="2"/>
        <v>2000</v>
      </c>
      <c r="I34" s="11">
        <v>2000</v>
      </c>
      <c r="AB34" s="21"/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2"/>
        <v>1000</v>
      </c>
      <c r="I35" s="11">
        <v>1000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ref="H36:H67" si="3">SUM(I36:AM36)</f>
        <v>2000</v>
      </c>
      <c r="J36" s="11">
        <v>2000</v>
      </c>
      <c r="AB36" s="21"/>
    </row>
    <row r="37" s="11" customFormat="1" spans="1:28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148</v>
      </c>
      <c r="C39" s="11">
        <v>37</v>
      </c>
      <c r="D39" s="11" t="s">
        <v>148</v>
      </c>
      <c r="F39" s="11" t="s">
        <v>51</v>
      </c>
      <c r="G39" s="17" t="s">
        <v>57</v>
      </c>
      <c r="H39" s="10">
        <f t="shared" si="3"/>
        <v>0</v>
      </c>
      <c r="AB39" s="21"/>
    </row>
    <row r="40" s="11" customFormat="1" spans="1:28">
      <c r="A40" s="11">
        <v>38</v>
      </c>
      <c r="B40" s="11" t="s">
        <v>149</v>
      </c>
      <c r="C40" s="11">
        <v>38</v>
      </c>
      <c r="D40" s="11" t="s">
        <v>149</v>
      </c>
      <c r="E40" s="11" t="s">
        <v>150</v>
      </c>
      <c r="F40" s="11" t="s">
        <v>51</v>
      </c>
      <c r="G40" s="17" t="s">
        <v>58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3"/>
        <v>2000</v>
      </c>
      <c r="I41" s="11">
        <v>2000</v>
      </c>
      <c r="AB41" s="2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3"/>
        <v>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3"/>
        <v>6000</v>
      </c>
      <c r="I43" s="11">
        <v>3000</v>
      </c>
      <c r="J43" s="11">
        <v>3000</v>
      </c>
      <c r="AB43" s="21"/>
    </row>
    <row r="44" s="11" customFormat="1" spans="1:28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3"/>
        <v>3000</v>
      </c>
      <c r="J45" s="11">
        <v>3000</v>
      </c>
      <c r="AB45" s="21"/>
    </row>
    <row r="46" s="11" customFormat="1" spans="1:28">
      <c r="A46" s="11">
        <v>44</v>
      </c>
      <c r="B46" s="11" t="s">
        <v>151</v>
      </c>
      <c r="C46" s="11">
        <v>44</v>
      </c>
      <c r="D46" s="11" t="s">
        <v>151</v>
      </c>
      <c r="F46" s="11" t="s">
        <v>64</v>
      </c>
      <c r="G46" s="17" t="s">
        <v>65</v>
      </c>
      <c r="H46" s="10">
        <f t="shared" si="3"/>
        <v>0</v>
      </c>
      <c r="AB46" s="2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3"/>
        <v>0</v>
      </c>
      <c r="AB47" s="21"/>
    </row>
    <row r="48" s="11" customFormat="1" spans="1:28">
      <c r="A48" s="11">
        <v>46</v>
      </c>
      <c r="B48" s="11" t="s">
        <v>152</v>
      </c>
      <c r="C48" s="11">
        <v>46</v>
      </c>
      <c r="D48" s="11" t="s">
        <v>152</v>
      </c>
      <c r="F48" s="11" t="s">
        <v>64</v>
      </c>
      <c r="G48" s="17" t="s">
        <v>67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153</v>
      </c>
      <c r="C49" s="11">
        <v>47</v>
      </c>
      <c r="D49" s="11" t="s">
        <v>153</v>
      </c>
      <c r="E49" s="11">
        <v>8863097933</v>
      </c>
      <c r="F49" s="11" t="s">
        <v>64</v>
      </c>
      <c r="G49" s="17" t="s">
        <v>68</v>
      </c>
      <c r="H49" s="10">
        <f t="shared" si="3"/>
        <v>0</v>
      </c>
      <c r="AB49" s="21"/>
    </row>
    <row r="50" s="11" customFormat="1" spans="1:28">
      <c r="A50" s="11">
        <v>48</v>
      </c>
      <c r="B50" s="11" t="s">
        <v>154</v>
      </c>
      <c r="C50" s="11">
        <v>48</v>
      </c>
      <c r="D50" s="11" t="s">
        <v>154</v>
      </c>
      <c r="E50" s="11">
        <v>9835443096</v>
      </c>
      <c r="F50" s="11" t="s">
        <v>64</v>
      </c>
      <c r="G50" s="17" t="s">
        <v>69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155</v>
      </c>
      <c r="C51" s="11">
        <v>49</v>
      </c>
      <c r="D51" s="11" t="s">
        <v>155</v>
      </c>
      <c r="F51" s="11" t="s">
        <v>64</v>
      </c>
      <c r="G51" s="17" t="s">
        <v>70</v>
      </c>
      <c r="H51" s="10">
        <f t="shared" si="3"/>
        <v>0</v>
      </c>
      <c r="AB51" s="2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156</v>
      </c>
      <c r="C53" s="11">
        <v>51</v>
      </c>
      <c r="D53" s="11" t="s">
        <v>156</v>
      </c>
      <c r="F53" s="11" t="s">
        <v>64</v>
      </c>
      <c r="G53" s="17" t="s">
        <v>72</v>
      </c>
      <c r="H53" s="10">
        <f t="shared" si="3"/>
        <v>0</v>
      </c>
      <c r="AB53" s="21"/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157</v>
      </c>
      <c r="C55" s="11">
        <v>53</v>
      </c>
      <c r="D55" s="11" t="s">
        <v>157</v>
      </c>
      <c r="F55" s="11" t="s">
        <v>64</v>
      </c>
      <c r="G55" s="17" t="s">
        <v>74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158</v>
      </c>
      <c r="C56" s="11">
        <v>54</v>
      </c>
      <c r="D56" s="11" t="s">
        <v>158</v>
      </c>
      <c r="F56" s="11" t="s">
        <v>64</v>
      </c>
      <c r="G56" s="17" t="s">
        <v>75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3"/>
        <v>0</v>
      </c>
      <c r="AB58" s="21"/>
    </row>
    <row r="59" s="11" customFormat="1" spans="1:28">
      <c r="A59" s="11">
        <v>57</v>
      </c>
      <c r="B59" s="11" t="s">
        <v>159</v>
      </c>
      <c r="C59" s="11">
        <v>57</v>
      </c>
      <c r="D59" s="11" t="s">
        <v>159</v>
      </c>
      <c r="F59" s="11" t="s">
        <v>77</v>
      </c>
      <c r="G59" s="17" t="s">
        <v>79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3"/>
        <v>0</v>
      </c>
      <c r="AB60" s="2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160</v>
      </c>
      <c r="C62" s="11">
        <v>60</v>
      </c>
      <c r="D62" s="11" t="s">
        <v>160</v>
      </c>
      <c r="E62" s="11">
        <v>9504958065</v>
      </c>
      <c r="F62" s="11" t="s">
        <v>82</v>
      </c>
      <c r="G62" s="17" t="s">
        <v>83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161</v>
      </c>
      <c r="C64" s="11">
        <v>62</v>
      </c>
      <c r="D64" s="11" t="s">
        <v>161</v>
      </c>
      <c r="E64" s="11" t="s">
        <v>162</v>
      </c>
      <c r="F64" s="11" t="s">
        <v>82</v>
      </c>
      <c r="G64" s="17" t="s">
        <v>86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163</v>
      </c>
      <c r="C65" s="11">
        <v>63</v>
      </c>
      <c r="D65" s="11" t="s">
        <v>163</v>
      </c>
      <c r="E65" s="11">
        <v>7004399486</v>
      </c>
      <c r="F65" s="11" t="s">
        <v>87</v>
      </c>
      <c r="G65" s="11" t="s">
        <v>88</v>
      </c>
      <c r="H65" s="10">
        <f t="shared" si="3"/>
        <v>2000</v>
      </c>
      <c r="J65" s="19">
        <v>2000</v>
      </c>
      <c r="AB65" s="21"/>
    </row>
    <row r="66" s="11" customFormat="1" spans="1:28">
      <c r="A66" s="11">
        <v>64</v>
      </c>
      <c r="B66" s="11" t="s">
        <v>164</v>
      </c>
      <c r="C66" s="11">
        <v>64</v>
      </c>
      <c r="D66" s="11" t="s">
        <v>164</v>
      </c>
      <c r="F66" s="11" t="s">
        <v>87</v>
      </c>
      <c r="G66" s="17" t="s">
        <v>89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4"/>
        <v>0</v>
      </c>
      <c r="AB72" s="21"/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4"/>
        <v>0</v>
      </c>
      <c r="AB73" s="21"/>
    </row>
    <row r="74" s="11" customFormat="1" spans="1:28">
      <c r="A74" s="11">
        <v>72</v>
      </c>
      <c r="B74" s="11" t="s">
        <v>165</v>
      </c>
      <c r="C74" s="11">
        <v>72</v>
      </c>
      <c r="D74" s="11" t="s">
        <v>165</v>
      </c>
      <c r="E74" s="11">
        <v>8825370430</v>
      </c>
      <c r="F74" s="11" t="s">
        <v>92</v>
      </c>
      <c r="G74" s="17" t="s">
        <v>99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166</v>
      </c>
      <c r="C77" s="11">
        <v>75</v>
      </c>
      <c r="D77" s="11" t="s">
        <v>166</v>
      </c>
      <c r="E77" s="11">
        <v>6200769032</v>
      </c>
      <c r="F77" s="11" t="s">
        <v>102</v>
      </c>
      <c r="G77" s="17" t="s">
        <v>103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167</v>
      </c>
      <c r="C78" s="11">
        <v>76</v>
      </c>
      <c r="D78" s="11" t="s">
        <v>167</v>
      </c>
      <c r="F78" s="11" t="s">
        <v>102</v>
      </c>
      <c r="G78" s="17" t="s">
        <v>104</v>
      </c>
      <c r="H78" s="10">
        <f t="shared" si="4"/>
        <v>3000</v>
      </c>
      <c r="I78" s="19">
        <v>3000</v>
      </c>
      <c r="AB78" s="21"/>
    </row>
    <row r="79" s="11" customFormat="1" spans="1:28">
      <c r="A79" s="11">
        <v>77</v>
      </c>
      <c r="B79" s="11" t="s">
        <v>168</v>
      </c>
      <c r="C79" s="11">
        <v>77</v>
      </c>
      <c r="D79" s="11" t="s">
        <v>168</v>
      </c>
      <c r="F79" s="11" t="s">
        <v>102</v>
      </c>
      <c r="G79" s="17" t="s">
        <v>105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169</v>
      </c>
      <c r="C81" s="11">
        <v>79</v>
      </c>
      <c r="D81" s="11" t="s">
        <v>169</v>
      </c>
      <c r="E81" s="11" t="s">
        <v>170</v>
      </c>
      <c r="F81" s="11" t="s">
        <v>107</v>
      </c>
      <c r="G81" s="17" t="s">
        <v>108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171</v>
      </c>
      <c r="C85" s="11">
        <v>83</v>
      </c>
      <c r="D85" s="11" t="s">
        <v>171</v>
      </c>
      <c r="F85" s="11" t="s">
        <v>113</v>
      </c>
      <c r="G85" s="17" t="s">
        <v>114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4"/>
        <v>5000</v>
      </c>
      <c r="I86" s="11">
        <v>5000</v>
      </c>
      <c r="AB86" s="21"/>
    </row>
    <row r="87" s="11" customFormat="1" spans="1:28">
      <c r="A87" s="11">
        <v>85</v>
      </c>
      <c r="B87" s="11" t="s">
        <v>172</v>
      </c>
      <c r="C87" s="11">
        <v>85</v>
      </c>
      <c r="D87" s="11" t="s">
        <v>172</v>
      </c>
      <c r="E87" s="11">
        <v>7004210181</v>
      </c>
      <c r="F87" s="11" t="s">
        <v>113</v>
      </c>
      <c r="G87" s="17" t="s">
        <v>116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173</v>
      </c>
      <c r="C90" s="11">
        <v>88</v>
      </c>
      <c r="D90" s="11" t="s">
        <v>173</v>
      </c>
      <c r="G90" s="17" t="s">
        <v>120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174</v>
      </c>
      <c r="G92" s="17" t="s">
        <v>122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C17" sqref="C17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175</v>
      </c>
    </row>
    <row r="2" spans="1:4">
      <c r="A2" s="4"/>
      <c r="B2" s="4"/>
      <c r="C2" s="5" t="s">
        <v>8</v>
      </c>
      <c r="D2" s="6">
        <f>Orders!F2-Collection!H2</f>
        <v>207400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5000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18000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5000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1000</v>
      </c>
    </row>
    <row r="17" spans="1:4">
      <c r="A17" s="7" t="s">
        <v>23</v>
      </c>
      <c r="B17" s="7"/>
      <c r="C17" s="8" t="s">
        <v>32</v>
      </c>
      <c r="D17" s="9">
        <f>Orders!F17-Collection!H17</f>
        <v>3000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10000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3000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5000</v>
      </c>
    </row>
    <row r="33" spans="1:4">
      <c r="A33" s="7" t="s">
        <v>36</v>
      </c>
      <c r="B33" s="7"/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6000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9000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6000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2000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2000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-1000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7000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-2000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6000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1000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3300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2021-03-02T21:25:28Z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