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IM" sheetId="1" r:id="rId1"/>
    <sheet name="Phone" sheetId="2" r:id="rId2"/>
  </sheet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H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On Tykon ledger showing
</t>
        </r>
      </text>
    </comment>
  </commentList>
</comments>
</file>

<file path=xl/sharedStrings.xml><?xml version="1.0" encoding="utf-8"?>
<sst xmlns="http://schemas.openxmlformats.org/spreadsheetml/2006/main" count="58" uniqueCount="34">
  <si>
    <t>S.No.</t>
  </si>
  <si>
    <t>Order Id</t>
  </si>
  <si>
    <t>Order For</t>
  </si>
  <si>
    <t>Date</t>
  </si>
  <si>
    <t>Amt Debited</t>
  </si>
  <si>
    <t>Amt Debited From</t>
  </si>
  <si>
    <t>Connectivity-SIM &amp; CAF</t>
  </si>
  <si>
    <t>Connectivity</t>
  </si>
  <si>
    <t>Device</t>
  </si>
  <si>
    <t>Balance</t>
  </si>
  <si>
    <t>Total Qty:</t>
  </si>
  <si>
    <t>Total:</t>
  </si>
  <si>
    <t>Fund transfered for phone</t>
  </si>
  <si>
    <t>Reference Id</t>
  </si>
  <si>
    <t>Qty</t>
  </si>
  <si>
    <t>Rate</t>
  </si>
  <si>
    <t>Total Amt Debited</t>
  </si>
  <si>
    <t>Description</t>
  </si>
  <si>
    <t>Transaction Id</t>
  </si>
  <si>
    <t>Amount</t>
  </si>
  <si>
    <t>Mode</t>
  </si>
  <si>
    <t>112111078008282</t>
  </si>
  <si>
    <t>Jio Phone</t>
  </si>
  <si>
    <t>Cash from Magadh</t>
  </si>
  <si>
    <t>112111078008420</t>
  </si>
  <si>
    <t>AXIR210586970004</t>
  </si>
  <si>
    <t>Net from Axis</t>
  </si>
  <si>
    <t>112111078008695</t>
  </si>
  <si>
    <t>100 Jio Phone</t>
  </si>
  <si>
    <t>AXIR210597327835</t>
  </si>
  <si>
    <t>AXIR210607602459</t>
  </si>
  <si>
    <t>150 Jio Phone</t>
  </si>
  <si>
    <t>AXIR210682362776</t>
  </si>
  <si>
    <t>AXIR210964996618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</si>
</sst>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44" formatCode="_(&quot;$&quot;* #,##0.00_);_(&quot;$&quot;* \(#,##0.00\);_(&quot;$&quot;* &quot;-&quot;??_);_(@_)"/>
    <numFmt numFmtId="177" formatCode="_ * #,##0_ ;_ * \-#,##0_ ;_ * &quot;-&quot;_ ;_ @_ "/>
    <numFmt numFmtId="42" formatCode="_(&quot;$&quot;* #,##0_);_(&quot;$&quot;* \(#,##0\);_(&quot;$&quot;* &quot;-&quot;_);_(@_)"/>
    <numFmt numFmtId="178" formatCode="[$-409]d\-mmm\-yyyy;@"/>
  </numFmts>
  <fonts count="25">
    <font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0.5"/>
      <color rgb="FF333333"/>
      <name val="Arial"/>
      <charset val="134"/>
    </font>
    <font>
      <sz val="11"/>
      <color rgb="FFFA7D0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9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5" fillId="12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17" borderId="3" applyNumberFormat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0" fillId="18" borderId="5" applyNumberFormat="0" applyFont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9" fillId="27" borderId="6" applyNumberFormat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20" fillId="30" borderId="7" applyNumberFormat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21" fillId="30" borderId="6" applyNumberFormat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6" fillId="36" borderId="0" applyNumberFormat="0" applyBorder="0" applyAlignment="0" applyProtection="0">
      <alignment vertical="center"/>
    </xf>
    <xf numFmtId="0" fontId="6" fillId="35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5" fillId="37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6" fillId="38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NumberFormat="1" applyFill="1" applyAlignment="1">
      <alignment horizontal="center" vertical="center"/>
    </xf>
    <xf numFmtId="0" fontId="0" fillId="5" borderId="0" xfId="0" applyNumberForma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 wrapText="1"/>
    </xf>
    <xf numFmtId="0" fontId="2" fillId="3" borderId="0" xfId="0" applyNumberFormat="1" applyFont="1" applyFill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0" fillId="0" borderId="0" xfId="0" applyAlignment="1" quotePrefix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8"/>
  <sheetViews>
    <sheetView tabSelected="1" workbookViewId="0">
      <selection activeCell="E9" sqref="E9"/>
    </sheetView>
  </sheetViews>
  <sheetFormatPr defaultColWidth="9.14285714285714" defaultRowHeight="15" outlineLevelRow="7" outlineLevelCol="5"/>
  <cols>
    <col min="1" max="1" width="6.28571428571429" style="1" customWidth="1"/>
    <col min="2" max="2" width="9.57142857142857" style="1" customWidth="1"/>
    <col min="3" max="3" width="24" style="1" customWidth="1"/>
    <col min="4" max="4" width="8.85714285714286" style="1" customWidth="1"/>
    <col min="5" max="5" width="13.1428571428571" style="1" customWidth="1"/>
    <col min="6" max="6" width="18.8571428571429" style="1" customWidth="1"/>
    <col min="7" max="16384" width="9.14285714285714" style="1"/>
  </cols>
  <sheetData>
    <row r="1" spans="1:6">
      <c r="A1" s="6" t="s">
        <v>0</v>
      </c>
      <c r="B1" s="6" t="s">
        <v>1</v>
      </c>
      <c r="C1" s="7" t="s">
        <v>2</v>
      </c>
      <c r="D1" s="6" t="s">
        <v>3</v>
      </c>
      <c r="E1" s="6" t="s">
        <v>4</v>
      </c>
      <c r="F1" s="6" t="s">
        <v>5</v>
      </c>
    </row>
    <row r="2" spans="1:6">
      <c r="A2" s="1">
        <v>1</v>
      </c>
      <c r="B2" s="1">
        <v>25669590</v>
      </c>
      <c r="C2" s="1" t="s">
        <v>6</v>
      </c>
      <c r="D2" s="11">
        <v>44531</v>
      </c>
      <c r="E2" s="1">
        <v>10000</v>
      </c>
      <c r="F2" s="1" t="s">
        <v>7</v>
      </c>
    </row>
    <row r="3" spans="1:6">
      <c r="A3" s="1">
        <v>2</v>
      </c>
      <c r="B3" s="1">
        <v>25950929</v>
      </c>
      <c r="C3" s="1" t="s">
        <v>6</v>
      </c>
      <c r="D3" s="11">
        <v>44201</v>
      </c>
      <c r="E3" s="1">
        <v>10000</v>
      </c>
      <c r="F3" s="1" t="s">
        <v>7</v>
      </c>
    </row>
    <row r="4" spans="1:6">
      <c r="A4" s="1">
        <v>3</v>
      </c>
      <c r="B4" s="1">
        <v>26214369</v>
      </c>
      <c r="C4" s="1" t="s">
        <v>6</v>
      </c>
      <c r="D4" s="11">
        <v>44234</v>
      </c>
      <c r="E4" s="1">
        <v>5000</v>
      </c>
      <c r="F4" s="1" t="s">
        <v>7</v>
      </c>
    </row>
    <row r="5" spans="1:6">
      <c r="A5" s="1">
        <v>4</v>
      </c>
      <c r="B5" s="1">
        <v>26396216</v>
      </c>
      <c r="C5" s="1" t="s">
        <v>6</v>
      </c>
      <c r="D5" s="11">
        <v>44257</v>
      </c>
      <c r="E5" s="1">
        <v>10000</v>
      </c>
      <c r="F5" s="1" t="s">
        <v>8</v>
      </c>
    </row>
    <row r="6" spans="1:6">
      <c r="A6" s="1">
        <v>5</v>
      </c>
      <c r="B6" s="1">
        <v>26636773</v>
      </c>
      <c r="C6" s="1" t="s">
        <v>6</v>
      </c>
      <c r="D6" s="11">
        <v>44288</v>
      </c>
      <c r="E6" s="1">
        <v>10000</v>
      </c>
      <c r="F6" s="1" t="s">
        <v>8</v>
      </c>
    </row>
    <row r="7" spans="1:6">
      <c r="A7" s="1">
        <v>6</v>
      </c>
      <c r="C7" s="1" t="s">
        <v>6</v>
      </c>
      <c r="D7" s="11">
        <v>44289</v>
      </c>
      <c r="E7" s="1">
        <v>10000</v>
      </c>
      <c r="F7" s="1" t="s">
        <v>8</v>
      </c>
    </row>
    <row r="8" spans="1:6">
      <c r="A8" s="1">
        <v>7</v>
      </c>
      <c r="B8" s="1">
        <v>27000641</v>
      </c>
      <c r="C8" s="1" t="s">
        <v>6</v>
      </c>
      <c r="D8" s="11">
        <v>44313</v>
      </c>
      <c r="E8" s="1">
        <v>5000</v>
      </c>
      <c r="F8" s="1" t="s">
        <v>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0"/>
  <sheetViews>
    <sheetView workbookViewId="0">
      <selection activeCell="E8" sqref="E8"/>
    </sheetView>
  </sheetViews>
  <sheetFormatPr defaultColWidth="9.14285714285714" defaultRowHeight="15"/>
  <cols>
    <col min="1" max="1" width="6.28571428571429" style="1" customWidth="1"/>
    <col min="2" max="2" width="17.4285714285714" style="1" customWidth="1"/>
    <col min="3" max="3" width="12.5714285714286" style="1" customWidth="1"/>
    <col min="4" max="6" width="14" style="1" customWidth="1"/>
    <col min="7" max="7" width="18.7142857142857" style="1" customWidth="1"/>
    <col min="8" max="8" width="11.8571428571429" style="1" customWidth="1"/>
    <col min="9" max="9" width="2.57142857142857" style="2" customWidth="1"/>
    <col min="10" max="10" width="6.28571428571429" style="1" customWidth="1"/>
    <col min="11" max="11" width="18.7142857142857" style="1" customWidth="1"/>
    <col min="12" max="12" width="12.5714285714286" style="1" customWidth="1"/>
    <col min="13" max="13" width="8.71428571428571" style="1" customWidth="1"/>
    <col min="14" max="14" width="18.8571428571429" style="1" customWidth="1"/>
    <col min="15" max="16384" width="9.14285714285714" style="1"/>
  </cols>
  <sheetData>
    <row r="1" s="1" customFormat="1" spans="2:14">
      <c r="B1" s="1" t="s">
        <v>9</v>
      </c>
      <c r="C1" s="3">
        <f>N1-G1</f>
        <v>66847</v>
      </c>
      <c r="D1" s="1" t="s">
        <v>10</v>
      </c>
      <c r="E1" s="4">
        <f>SUM(E3:E530)</f>
        <v>580</v>
      </c>
      <c r="F1" s="1" t="s">
        <v>11</v>
      </c>
      <c r="G1" s="5">
        <f>SUM(G3:G538)</f>
        <v>867026</v>
      </c>
      <c r="I1" s="2"/>
      <c r="J1" s="9" t="s">
        <v>12</v>
      </c>
      <c r="K1" s="9"/>
      <c r="L1" s="9"/>
      <c r="M1" s="9"/>
      <c r="N1" s="10">
        <f>SUM(M3:M2225)</f>
        <v>933873</v>
      </c>
    </row>
    <row r="2" spans="1:14">
      <c r="A2" s="6" t="s">
        <v>0</v>
      </c>
      <c r="B2" s="6" t="s">
        <v>13</v>
      </c>
      <c r="C2" s="6" t="s">
        <v>3</v>
      </c>
      <c r="D2" s="7" t="s">
        <v>2</v>
      </c>
      <c r="E2" s="7" t="s">
        <v>14</v>
      </c>
      <c r="F2" s="7" t="s">
        <v>15</v>
      </c>
      <c r="G2" s="6" t="s">
        <v>16</v>
      </c>
      <c r="H2" s="6" t="s">
        <v>17</v>
      </c>
      <c r="J2" s="6" t="s">
        <v>0</v>
      </c>
      <c r="K2" s="6" t="s">
        <v>18</v>
      </c>
      <c r="L2" s="7" t="s">
        <v>3</v>
      </c>
      <c r="M2" s="6" t="s">
        <v>19</v>
      </c>
      <c r="N2" s="6" t="s">
        <v>20</v>
      </c>
    </row>
    <row r="3" spans="1:14">
      <c r="A3" s="1">
        <v>1</v>
      </c>
      <c r="B3" s="12" t="s">
        <v>21</v>
      </c>
      <c r="C3" s="8">
        <v>44255</v>
      </c>
      <c r="D3" s="1" t="s">
        <v>22</v>
      </c>
      <c r="E3" s="1">
        <v>70</v>
      </c>
      <c r="F3" s="1">
        <v>1500</v>
      </c>
      <c r="G3" s="1">
        <f t="shared" ref="G3:G7" si="0">E3*F3</f>
        <v>105000</v>
      </c>
      <c r="J3" s="1">
        <v>1</v>
      </c>
      <c r="L3" s="8">
        <v>44254</v>
      </c>
      <c r="M3" s="1">
        <v>100000</v>
      </c>
      <c r="N3" s="1" t="s">
        <v>23</v>
      </c>
    </row>
    <row r="4" spans="1:14">
      <c r="A4" s="1">
        <v>2</v>
      </c>
      <c r="B4" s="12" t="s">
        <v>24</v>
      </c>
      <c r="C4" s="8">
        <v>44256</v>
      </c>
      <c r="D4" s="1" t="s">
        <v>22</v>
      </c>
      <c r="E4" s="1">
        <v>130</v>
      </c>
      <c r="F4" s="1">
        <v>1500</v>
      </c>
      <c r="G4" s="1">
        <f t="shared" si="0"/>
        <v>195000</v>
      </c>
      <c r="J4" s="1">
        <v>2</v>
      </c>
      <c r="K4" s="1" t="s">
        <v>25</v>
      </c>
      <c r="L4" s="8">
        <v>44254</v>
      </c>
      <c r="M4" s="1">
        <v>10000</v>
      </c>
      <c r="N4" s="1" t="s">
        <v>26</v>
      </c>
    </row>
    <row r="5" spans="1:14">
      <c r="A5" s="1">
        <v>3</v>
      </c>
      <c r="B5" s="12" t="s">
        <v>27</v>
      </c>
      <c r="C5" s="8">
        <v>44257</v>
      </c>
      <c r="D5" s="1" t="s">
        <v>28</v>
      </c>
      <c r="E5" s="1">
        <v>100</v>
      </c>
      <c r="G5" s="1">
        <v>147026</v>
      </c>
      <c r="H5" s="1">
        <v>148075</v>
      </c>
      <c r="J5" s="1">
        <v>3</v>
      </c>
      <c r="K5" s="1" t="s">
        <v>29</v>
      </c>
      <c r="L5" s="8">
        <v>44255</v>
      </c>
      <c r="M5" s="1">
        <v>190000</v>
      </c>
      <c r="N5" s="1" t="s">
        <v>26</v>
      </c>
    </row>
    <row r="6" spans="1:14">
      <c r="A6" s="1">
        <v>4</v>
      </c>
      <c r="C6" s="8">
        <v>44265</v>
      </c>
      <c r="D6" s="1" t="s">
        <v>22</v>
      </c>
      <c r="E6" s="1">
        <v>130</v>
      </c>
      <c r="F6" s="1">
        <v>1500</v>
      </c>
      <c r="G6" s="1">
        <f t="shared" si="0"/>
        <v>195000</v>
      </c>
      <c r="H6" s="1">
        <v>192498</v>
      </c>
      <c r="J6" s="1">
        <v>4</v>
      </c>
      <c r="K6" s="1" t="s">
        <v>30</v>
      </c>
      <c r="L6" s="8">
        <v>44256</v>
      </c>
      <c r="M6" s="1">
        <v>150000</v>
      </c>
      <c r="N6" s="1" t="s">
        <v>26</v>
      </c>
    </row>
    <row r="7" spans="1:14">
      <c r="A7" s="1">
        <v>5</v>
      </c>
      <c r="C7" s="8">
        <v>44292</v>
      </c>
      <c r="D7" s="1" t="s">
        <v>31</v>
      </c>
      <c r="E7" s="1">
        <v>150</v>
      </c>
      <c r="F7" s="1">
        <v>1500</v>
      </c>
      <c r="G7" s="1">
        <f t="shared" si="0"/>
        <v>225000</v>
      </c>
      <c r="J7" s="1">
        <v>5</v>
      </c>
      <c r="K7" s="1" t="s">
        <v>32</v>
      </c>
      <c r="L7" s="8">
        <v>44264</v>
      </c>
      <c r="M7" s="1">
        <v>198100</v>
      </c>
      <c r="N7" s="1" t="s">
        <v>26</v>
      </c>
    </row>
    <row r="8" spans="10:14">
      <c r="J8" s="1">
        <v>6</v>
      </c>
      <c r="K8" s="1" t="s">
        <v>33</v>
      </c>
      <c r="L8" s="8">
        <v>44292</v>
      </c>
      <c r="M8" s="1">
        <v>139000</v>
      </c>
      <c r="N8" s="1" t="s">
        <v>26</v>
      </c>
    </row>
    <row r="9" spans="10:14">
      <c r="J9" s="1">
        <v>7</v>
      </c>
      <c r="L9" s="8">
        <v>44338</v>
      </c>
      <c r="M9" s="1">
        <v>75000</v>
      </c>
      <c r="N9" s="1" t="s">
        <v>26</v>
      </c>
    </row>
    <row r="10" spans="10:14">
      <c r="J10" s="1">
        <v>8</v>
      </c>
      <c r="L10" s="8">
        <v>44342</v>
      </c>
      <c r="M10" s="1">
        <v>71773</v>
      </c>
      <c r="N10" s="1" t="s">
        <v>26</v>
      </c>
    </row>
  </sheetData>
  <mergeCells count="1">
    <mergeCell ref="J1:M1"/>
  </mergeCell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SIM</vt:lpstr>
      <vt:lpstr>Phone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2021-01-07T05:08:00Z</dcterms:created>
  <dcterms:modified xsi:type="dcterms:W3CDTF">2021-05-29T02:37:31Z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1033-11.2.0.10130</vt:lpwstr>
  </property>
</Properties>
</file>