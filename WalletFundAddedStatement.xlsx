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<sst xmlns="http://schemas.openxmlformats.org/spreadsheetml/2006/main" count="10" uniqueCount="10">
  <si>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S.No</t>
  </si>
  <si>
    <t>Order ID</t>
  </si>
  <si>
    <t>Topup Amount</t>
  </si>
  <si>
    <t>Order Amount</t>
  </si>
  <si>
    <t>Creation Date</t>
  </si>
  <si>
    <t>Difference</t>
  </si>
  <si>
    <t>Percentage</t>
  </si>
  <si>
    <t>Retailer 4% Comm.</t>
  </si>
  <si>
    <t>Distributor Commission</t>
  </si>
  <si>
    <t>Total: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</si>
</sst>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  <numFmt numFmtId="178" formatCode="[$-409]dd\-mmm\-yy;@"/>
  </numFmts>
  <fonts count="2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21" borderId="5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5" fillId="20" borderId="5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  <xf numFmtId="4" fontId="2" fillId="4" borderId="0" xfId="0" applyNumberFormat="1" applyFont="1" applyFill="1" applyAlignment="1">
      <alignment horizontal="center" vertical="center"/>
    </xf>
    <xf numFmtId="4" fontId="3" fillId="3" borderId="0" xfId="0" applyNumberFormat="1" applyFon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iori.jioconnect.com/sap/bc/ui5_ui5/sap/zehys_dashboard/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0"/>
  <sheetViews>
    <sheetView tabSelected="1" workbookViewId="0">
      <pane ySplit="2" topLeftCell="A13" activePane="bottomLeft" state="frozen"/>
      <selection/>
      <selection pane="bottomLeft" activeCell="I33" sqref="I33"/>
    </sheetView>
  </sheetViews>
  <sheetFormatPr defaultColWidth="9.14285714285714" defaultRowHeight="15"/>
  <cols>
    <col min="1" max="1" width="5.71428571428571" style="2" customWidth="1"/>
    <col min="2" max="2" width="9.57142857142857" style="2" customWidth="1"/>
    <col min="3" max="3" width="15.2857142857143" style="2" customWidth="1"/>
    <col min="4" max="4" width="14.8571428571429" style="2" customWidth="1"/>
    <col min="5" max="5" width="14.1428571428571" style="2" customWidth="1"/>
    <col min="6" max="6" width="11.1428571428571" style="3" customWidth="1"/>
    <col min="7" max="7" width="11.7142857142857" style="2" customWidth="1"/>
    <col min="8" max="8" width="19.2857142857143" style="2" customWidth="1"/>
    <col min="9" max="9" width="24" style="2" customWidth="1"/>
    <col min="10" max="16382" width="51.1428571428571" style="2" customWidth="1"/>
    <col min="16383" max="16384" width="9.14285714285714" style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</row>
    <row r="2" spans="2:9">
      <c r="B2" s="6" t="s">
        <v>9</v>
      </c>
      <c r="C2" s="7">
        <f>SUM(C3:C220)</f>
        <v>3676442</v>
      </c>
      <c r="D2" s="7">
        <f>SUM(D3:D220)</f>
        <v>3481820.34</v>
      </c>
      <c r="E2" s="8">
        <f>C2-D2</f>
        <v>194621.66</v>
      </c>
      <c r="F2" s="9">
        <f>SUM(F3:F220)</f>
        <v>194621.66</v>
      </c>
      <c r="G2" s="8">
        <f>C2-H2</f>
        <v>55348.8463999997</v>
      </c>
      <c r="H2" s="7">
        <f>SUM(H3:H220)</f>
        <v>3621093.1536</v>
      </c>
      <c r="I2" s="7">
        <f>SUM(I3:I220)</f>
        <v>55348.8463999999</v>
      </c>
    </row>
    <row r="3" s="1" customFormat="1" spans="1:9">
      <c r="A3" s="1">
        <v>1</v>
      </c>
      <c r="B3" s="1">
        <v>25700791</v>
      </c>
      <c r="C3" s="10">
        <v>1056</v>
      </c>
      <c r="D3" s="10">
        <v>1000</v>
      </c>
      <c r="E3" s="11">
        <v>44166</v>
      </c>
      <c r="F3" s="10">
        <f>IF(B3="","",C3-D3)</f>
        <v>56</v>
      </c>
      <c r="G3" s="10">
        <f>IF(B3="","",F3/D3*100)</f>
        <v>5.6</v>
      </c>
      <c r="H3" s="10">
        <f>IF(B3="","",D3*1.04)</f>
        <v>1040</v>
      </c>
      <c r="I3" s="10">
        <f>IF(B3="","",C3-H3)</f>
        <v>16</v>
      </c>
    </row>
    <row r="4" s="1" customFormat="1" spans="1:9">
      <c r="A4" s="1">
        <v>2</v>
      </c>
      <c r="B4" s="1">
        <v>25698317</v>
      </c>
      <c r="C4" s="10">
        <v>831855</v>
      </c>
      <c r="D4" s="10">
        <v>787819</v>
      </c>
      <c r="E4" s="11">
        <v>44166</v>
      </c>
      <c r="F4" s="10">
        <f t="shared" ref="F4:F20" si="0">IF(B4="","",C4-D4)</f>
        <v>44036</v>
      </c>
      <c r="G4" s="10">
        <f t="shared" ref="G4:G20" si="1">IF(B4="","",F4/D4*100)</f>
        <v>5.58960878069709</v>
      </c>
      <c r="H4" s="10">
        <f t="shared" ref="H4:H20" si="2">IF(B4="","",D4*1.04)</f>
        <v>819331.76</v>
      </c>
      <c r="I4" s="10">
        <f t="shared" ref="I4:I20" si="3">IF(B4="","",C4-H4)</f>
        <v>12523.24</v>
      </c>
    </row>
    <row r="5" s="1" customFormat="1" spans="1:9">
      <c r="A5" s="1">
        <v>3</v>
      </c>
      <c r="B5" s="1">
        <v>25686982</v>
      </c>
      <c r="C5" s="10">
        <v>1056</v>
      </c>
      <c r="D5" s="10">
        <v>1000</v>
      </c>
      <c r="E5" s="11">
        <v>44166</v>
      </c>
      <c r="F5" s="10">
        <f t="shared" si="0"/>
        <v>56</v>
      </c>
      <c r="G5" s="10">
        <f t="shared" si="1"/>
        <v>5.6</v>
      </c>
      <c r="H5" s="10">
        <f t="shared" si="2"/>
        <v>1040</v>
      </c>
      <c r="I5" s="10">
        <f t="shared" si="3"/>
        <v>16</v>
      </c>
    </row>
    <row r="6" s="1" customFormat="1" spans="1:9">
      <c r="A6" s="1">
        <v>4</v>
      </c>
      <c r="B6" s="1">
        <v>25809813</v>
      </c>
      <c r="C6" s="10">
        <v>1056</v>
      </c>
      <c r="D6" s="10">
        <v>1000.18</v>
      </c>
      <c r="E6" s="11">
        <v>44180</v>
      </c>
      <c r="F6" s="10">
        <f t="shared" si="0"/>
        <v>55.8200000000001</v>
      </c>
      <c r="G6" s="10">
        <f t="shared" si="1"/>
        <v>5.58099542082426</v>
      </c>
      <c r="H6" s="10">
        <f t="shared" si="2"/>
        <v>1040.1872</v>
      </c>
      <c r="I6" s="10">
        <f t="shared" si="3"/>
        <v>15.8127999999999</v>
      </c>
    </row>
    <row r="7" s="1" customFormat="1" spans="1:9">
      <c r="A7" s="1">
        <v>5</v>
      </c>
      <c r="B7" s="1">
        <v>25799444</v>
      </c>
      <c r="C7" s="10">
        <v>199564</v>
      </c>
      <c r="D7" s="10">
        <v>188999.6</v>
      </c>
      <c r="E7" s="11">
        <v>44180</v>
      </c>
      <c r="F7" s="10">
        <f t="shared" si="0"/>
        <v>10564.4</v>
      </c>
      <c r="G7" s="10">
        <f t="shared" si="1"/>
        <v>5.58964145955864</v>
      </c>
      <c r="H7" s="10">
        <f t="shared" si="2"/>
        <v>196559.584</v>
      </c>
      <c r="I7" s="10">
        <f t="shared" si="3"/>
        <v>3004.416</v>
      </c>
    </row>
    <row r="8" s="1" customFormat="1" spans="1:9">
      <c r="A8" s="1">
        <v>6</v>
      </c>
      <c r="B8" s="1">
        <v>25833013</v>
      </c>
      <c r="C8" s="10">
        <v>105590</v>
      </c>
      <c r="D8" s="10">
        <v>100000.78</v>
      </c>
      <c r="E8" s="11">
        <v>44183</v>
      </c>
      <c r="F8" s="10">
        <f t="shared" si="0"/>
        <v>5589.22</v>
      </c>
      <c r="G8" s="10">
        <f t="shared" si="1"/>
        <v>5.58917640442405</v>
      </c>
      <c r="H8" s="10">
        <f t="shared" si="2"/>
        <v>104000.8112</v>
      </c>
      <c r="I8" s="10">
        <f t="shared" si="3"/>
        <v>1589.1888</v>
      </c>
    </row>
    <row r="9" s="1" customFormat="1" spans="1:9">
      <c r="A9" s="1">
        <v>7</v>
      </c>
      <c r="B9" s="1">
        <v>25837282</v>
      </c>
      <c r="C9" s="10">
        <v>263974</v>
      </c>
      <c r="D9" s="10">
        <v>249999.45</v>
      </c>
      <c r="E9" s="11">
        <v>44184</v>
      </c>
      <c r="F9" s="10">
        <f t="shared" si="0"/>
        <v>13974.55</v>
      </c>
      <c r="G9" s="10">
        <f t="shared" si="1"/>
        <v>5.58983229763105</v>
      </c>
      <c r="H9" s="10">
        <f t="shared" si="2"/>
        <v>259999.428</v>
      </c>
      <c r="I9" s="10">
        <f t="shared" si="3"/>
        <v>3974.57199999999</v>
      </c>
    </row>
    <row r="10" s="1" customFormat="1" spans="1:9">
      <c r="A10" s="1">
        <v>8</v>
      </c>
      <c r="B10" s="1">
        <v>25898018</v>
      </c>
      <c r="C10" s="10">
        <v>43292</v>
      </c>
      <c r="D10" s="10">
        <v>41000.29</v>
      </c>
      <c r="E10" s="11">
        <v>44193</v>
      </c>
      <c r="F10" s="10">
        <f t="shared" si="0"/>
        <v>2291.71</v>
      </c>
      <c r="G10" s="10">
        <f t="shared" si="1"/>
        <v>5.58949704989891</v>
      </c>
      <c r="H10" s="10">
        <f t="shared" si="2"/>
        <v>42640.3016</v>
      </c>
      <c r="I10" s="10">
        <f t="shared" si="3"/>
        <v>651.698400000001</v>
      </c>
    </row>
    <row r="11" spans="1:9">
      <c r="A11" s="1">
        <v>9</v>
      </c>
      <c r="B11" s="2">
        <v>25895264</v>
      </c>
      <c r="C11" s="10">
        <v>211179</v>
      </c>
      <c r="D11" s="10">
        <v>199999.56</v>
      </c>
      <c r="E11" s="11">
        <v>44193</v>
      </c>
      <c r="F11" s="10">
        <f t="shared" si="0"/>
        <v>11179.44</v>
      </c>
      <c r="G11" s="10">
        <f t="shared" si="1"/>
        <v>5.58973229741106</v>
      </c>
      <c r="H11" s="10">
        <f t="shared" si="2"/>
        <v>207999.5424</v>
      </c>
      <c r="I11" s="10">
        <f t="shared" si="3"/>
        <v>3179.45759999999</v>
      </c>
    </row>
    <row r="12" spans="1:9">
      <c r="A12" s="1">
        <v>10</v>
      </c>
      <c r="B12" s="2">
        <v>25942968</v>
      </c>
      <c r="C12" s="10">
        <v>116149</v>
      </c>
      <c r="D12" s="10">
        <v>110000.56</v>
      </c>
      <c r="E12" s="11">
        <v>44200</v>
      </c>
      <c r="F12" s="10">
        <f t="shared" si="0"/>
        <v>6148.44</v>
      </c>
      <c r="G12" s="10">
        <f t="shared" si="1"/>
        <v>5.58946245364569</v>
      </c>
      <c r="H12" s="10">
        <f t="shared" si="2"/>
        <v>114400.5824</v>
      </c>
      <c r="I12" s="10">
        <f t="shared" si="3"/>
        <v>1748.4176</v>
      </c>
    </row>
    <row r="13" spans="1:9">
      <c r="A13" s="1">
        <v>11</v>
      </c>
      <c r="B13" s="2">
        <v>25957586</v>
      </c>
      <c r="C13" s="10">
        <v>105590</v>
      </c>
      <c r="D13" s="10">
        <v>100000.78</v>
      </c>
      <c r="E13" s="11">
        <v>44202</v>
      </c>
      <c r="F13" s="10">
        <f t="shared" si="0"/>
        <v>5589.22</v>
      </c>
      <c r="G13" s="10">
        <f t="shared" si="1"/>
        <v>5.58917640442405</v>
      </c>
      <c r="H13" s="10">
        <f t="shared" si="2"/>
        <v>104000.8112</v>
      </c>
      <c r="I13" s="10">
        <f t="shared" si="3"/>
        <v>1589.1888</v>
      </c>
    </row>
    <row r="14" spans="1:9">
      <c r="A14" s="1">
        <v>12</v>
      </c>
      <c r="B14" s="2">
        <v>25978895</v>
      </c>
      <c r="C14" s="10">
        <v>10559</v>
      </c>
      <c r="D14" s="10">
        <v>10000</v>
      </c>
      <c r="E14" s="11">
        <v>44203</v>
      </c>
      <c r="F14" s="10">
        <f t="shared" si="0"/>
        <v>559</v>
      </c>
      <c r="G14" s="10">
        <f t="shared" si="1"/>
        <v>5.59</v>
      </c>
      <c r="H14" s="10">
        <f t="shared" si="2"/>
        <v>10400</v>
      </c>
      <c r="I14" s="10">
        <f t="shared" si="3"/>
        <v>159</v>
      </c>
    </row>
    <row r="15" spans="1:9">
      <c r="A15" s="1">
        <v>13</v>
      </c>
      <c r="B15" s="2">
        <v>25977225</v>
      </c>
      <c r="C15" s="10">
        <v>45404</v>
      </c>
      <c r="D15" s="10">
        <v>43000</v>
      </c>
      <c r="E15" s="11">
        <v>44203</v>
      </c>
      <c r="F15" s="10">
        <f t="shared" si="0"/>
        <v>2404</v>
      </c>
      <c r="G15" s="10">
        <f t="shared" si="1"/>
        <v>5.5906976744186</v>
      </c>
      <c r="H15" s="10">
        <f t="shared" si="2"/>
        <v>44720</v>
      </c>
      <c r="I15" s="10">
        <f t="shared" si="3"/>
        <v>684</v>
      </c>
    </row>
    <row r="16" spans="1:9">
      <c r="A16" s="1">
        <v>14</v>
      </c>
      <c r="B16" s="2">
        <v>25991939</v>
      </c>
      <c r="C16" s="10">
        <v>34845</v>
      </c>
      <c r="D16" s="10">
        <v>33000</v>
      </c>
      <c r="E16" s="11">
        <v>44205</v>
      </c>
      <c r="F16" s="10">
        <f t="shared" si="0"/>
        <v>1845</v>
      </c>
      <c r="G16" s="10">
        <f t="shared" si="1"/>
        <v>5.59090909090909</v>
      </c>
      <c r="H16" s="10">
        <f t="shared" si="2"/>
        <v>34320</v>
      </c>
      <c r="I16" s="10">
        <f t="shared" si="3"/>
        <v>525</v>
      </c>
    </row>
    <row r="17" spans="1:9">
      <c r="A17" s="1">
        <v>15</v>
      </c>
      <c r="B17" s="2">
        <v>26000423</v>
      </c>
      <c r="C17" s="10">
        <v>142546</v>
      </c>
      <c r="D17" s="10">
        <v>135000</v>
      </c>
      <c r="E17" s="11">
        <v>44207</v>
      </c>
      <c r="F17" s="10">
        <f t="shared" si="0"/>
        <v>7546</v>
      </c>
      <c r="G17" s="10">
        <f t="shared" si="1"/>
        <v>5.58962962962963</v>
      </c>
      <c r="H17" s="10">
        <f t="shared" si="2"/>
        <v>140400</v>
      </c>
      <c r="I17" s="10">
        <f t="shared" si="3"/>
        <v>2146</v>
      </c>
    </row>
    <row r="18" spans="1:9">
      <c r="A18" s="1">
        <v>16</v>
      </c>
      <c r="B18" s="2">
        <v>26027096</v>
      </c>
      <c r="C18" s="10">
        <v>53851</v>
      </c>
      <c r="D18" s="10">
        <v>51000.07</v>
      </c>
      <c r="E18" s="11">
        <v>44209</v>
      </c>
      <c r="F18" s="10">
        <f t="shared" ref="F18:F81" si="4">IF(B18="","",C18-D18)</f>
        <v>2850.93</v>
      </c>
      <c r="G18" s="10">
        <f t="shared" ref="G18:G81" si="5">IF(B18="","",F18/D18*100)</f>
        <v>5.59005115091019</v>
      </c>
      <c r="H18" s="10">
        <f t="shared" ref="H18:H81" si="6">IF(B18="","",D18*1.04)</f>
        <v>53040.0728</v>
      </c>
      <c r="I18" s="10">
        <f t="shared" ref="I18:I81" si="7">IF(B18="","",C18-H18)</f>
        <v>810.927199999998</v>
      </c>
    </row>
    <row r="19" spans="1:9">
      <c r="A19" s="1">
        <v>17</v>
      </c>
      <c r="B19" s="2">
        <v>26025571</v>
      </c>
      <c r="C19" s="10">
        <v>52795</v>
      </c>
      <c r="D19" s="10">
        <v>49999.89</v>
      </c>
      <c r="E19" s="11">
        <v>44210</v>
      </c>
      <c r="F19" s="10">
        <f t="shared" si="4"/>
        <v>2795.11</v>
      </c>
      <c r="G19" s="10">
        <f t="shared" si="5"/>
        <v>5.59023229851106</v>
      </c>
      <c r="H19" s="10">
        <f t="shared" si="6"/>
        <v>51999.8856</v>
      </c>
      <c r="I19" s="10">
        <f t="shared" si="7"/>
        <v>795.114399999999</v>
      </c>
    </row>
    <row r="20" spans="1:9">
      <c r="A20" s="1">
        <v>18</v>
      </c>
      <c r="B20" s="2">
        <v>26040898</v>
      </c>
      <c r="C20" s="10">
        <v>369564</v>
      </c>
      <c r="D20" s="10">
        <v>350000.23</v>
      </c>
      <c r="E20" s="11">
        <v>44212</v>
      </c>
      <c r="F20" s="10">
        <f t="shared" si="4"/>
        <v>19563.77</v>
      </c>
      <c r="G20" s="10">
        <f t="shared" si="5"/>
        <v>5.58964489823336</v>
      </c>
      <c r="H20" s="10">
        <f t="shared" si="6"/>
        <v>364000.2392</v>
      </c>
      <c r="I20" s="10">
        <f t="shared" si="7"/>
        <v>5563.76079999999</v>
      </c>
    </row>
    <row r="21" spans="1:9">
      <c r="A21" s="1">
        <v>19</v>
      </c>
      <c r="B21" s="2">
        <v>26059479</v>
      </c>
      <c r="C21" s="10">
        <v>211179</v>
      </c>
      <c r="D21" s="10">
        <v>199999.56</v>
      </c>
      <c r="E21" s="11">
        <v>44217</v>
      </c>
      <c r="F21" s="10">
        <f t="shared" si="4"/>
        <v>11179.44</v>
      </c>
      <c r="G21" s="10">
        <f t="shared" si="5"/>
        <v>5.58973229741106</v>
      </c>
      <c r="H21" s="10">
        <f t="shared" si="6"/>
        <v>207999.5424</v>
      </c>
      <c r="I21" s="10">
        <f t="shared" si="7"/>
        <v>3179.45759999999</v>
      </c>
    </row>
    <row r="22" spans="1:9">
      <c r="A22" s="1">
        <v>20</v>
      </c>
      <c r="B22" s="2">
        <v>26104766</v>
      </c>
      <c r="C22" s="10">
        <v>57018</v>
      </c>
      <c r="D22" s="10">
        <v>53999.6</v>
      </c>
      <c r="E22" s="11">
        <v>44221</v>
      </c>
      <c r="F22" s="10">
        <f t="shared" si="4"/>
        <v>3018.4</v>
      </c>
      <c r="G22" s="10">
        <f t="shared" si="5"/>
        <v>5.58967103460026</v>
      </c>
      <c r="H22" s="10">
        <f t="shared" si="6"/>
        <v>56159.584</v>
      </c>
      <c r="I22" s="10">
        <f t="shared" si="7"/>
        <v>858.415999999997</v>
      </c>
    </row>
    <row r="23" spans="1:9">
      <c r="A23" s="1">
        <v>21</v>
      </c>
      <c r="B23" s="2">
        <v>26124286</v>
      </c>
      <c r="C23" s="10">
        <v>183726</v>
      </c>
      <c r="D23" s="10">
        <v>173999.93</v>
      </c>
      <c r="E23" s="11">
        <v>44224</v>
      </c>
      <c r="F23" s="10">
        <f t="shared" si="4"/>
        <v>9726.07000000001</v>
      </c>
      <c r="G23" s="10">
        <f t="shared" si="5"/>
        <v>5.58969765102779</v>
      </c>
      <c r="H23" s="10">
        <f t="shared" si="6"/>
        <v>180959.9272</v>
      </c>
      <c r="I23" s="10">
        <f t="shared" si="7"/>
        <v>2766.07279999999</v>
      </c>
    </row>
    <row r="24" s="2" customFormat="1" spans="1:9">
      <c r="A24" s="1">
        <v>22</v>
      </c>
      <c r="B24" s="2">
        <v>26135440</v>
      </c>
      <c r="C24" s="10">
        <v>68633</v>
      </c>
      <c r="D24" s="10">
        <v>64999.56</v>
      </c>
      <c r="E24" s="11">
        <v>44225</v>
      </c>
      <c r="F24" s="10">
        <f t="shared" si="4"/>
        <v>3633.44</v>
      </c>
      <c r="G24" s="10">
        <f t="shared" si="5"/>
        <v>5.58994553193899</v>
      </c>
      <c r="H24" s="10">
        <f t="shared" si="6"/>
        <v>67599.5424</v>
      </c>
      <c r="I24" s="10">
        <f t="shared" si="7"/>
        <v>1033.45759999999</v>
      </c>
    </row>
    <row r="25" spans="1:9">
      <c r="A25" s="1">
        <v>23</v>
      </c>
      <c r="B25" s="2">
        <v>26155067</v>
      </c>
      <c r="C25" s="10">
        <v>73913</v>
      </c>
      <c r="D25" s="10">
        <v>70000.45</v>
      </c>
      <c r="E25" s="11">
        <v>44228</v>
      </c>
      <c r="F25" s="10">
        <f t="shared" si="4"/>
        <v>3912.55</v>
      </c>
      <c r="G25" s="10">
        <f t="shared" si="5"/>
        <v>5.5893212115065</v>
      </c>
      <c r="H25" s="10">
        <f t="shared" si="6"/>
        <v>72800.468</v>
      </c>
      <c r="I25" s="10">
        <f t="shared" si="7"/>
        <v>1112.53200000001</v>
      </c>
    </row>
    <row r="26" spans="1:9">
      <c r="A26" s="1">
        <v>24</v>
      </c>
      <c r="B26" s="2">
        <v>26165120</v>
      </c>
      <c r="C26" s="10">
        <v>38012</v>
      </c>
      <c r="D26" s="10">
        <v>35999.4</v>
      </c>
      <c r="E26" s="11">
        <v>44229</v>
      </c>
      <c r="F26" s="10">
        <f t="shared" si="4"/>
        <v>2012.6</v>
      </c>
      <c r="G26" s="10">
        <f t="shared" si="5"/>
        <v>5.59064873303444</v>
      </c>
      <c r="H26" s="10">
        <f t="shared" si="6"/>
        <v>37439.376</v>
      </c>
      <c r="I26" s="10">
        <f t="shared" si="7"/>
        <v>572.623999999996</v>
      </c>
    </row>
    <row r="27" spans="1:9">
      <c r="A27" s="1">
        <v>25</v>
      </c>
      <c r="B27" s="2">
        <v>26175472</v>
      </c>
      <c r="C27" s="10">
        <v>105590</v>
      </c>
      <c r="D27" s="10">
        <v>100000.78</v>
      </c>
      <c r="E27" s="11">
        <v>44229</v>
      </c>
      <c r="F27" s="10">
        <f t="shared" si="4"/>
        <v>5589.22</v>
      </c>
      <c r="G27" s="10">
        <f t="shared" si="5"/>
        <v>5.58917640442405</v>
      </c>
      <c r="H27" s="10">
        <f t="shared" si="6"/>
        <v>104000.8112</v>
      </c>
      <c r="I27" s="10">
        <f t="shared" si="7"/>
        <v>1589.1888</v>
      </c>
    </row>
    <row r="28" spans="1:9">
      <c r="A28" s="1">
        <v>26</v>
      </c>
      <c r="B28" s="2">
        <v>26201594</v>
      </c>
      <c r="C28" s="10">
        <v>203788</v>
      </c>
      <c r="D28" s="10">
        <v>193000.31</v>
      </c>
      <c r="E28" s="11">
        <v>44232</v>
      </c>
      <c r="F28" s="10">
        <f t="shared" si="4"/>
        <v>10787.69</v>
      </c>
      <c r="G28" s="10">
        <f t="shared" si="5"/>
        <v>5.58946770603633</v>
      </c>
      <c r="H28" s="10">
        <f t="shared" si="6"/>
        <v>200720.3224</v>
      </c>
      <c r="I28" s="10">
        <f t="shared" si="7"/>
        <v>3067.6776</v>
      </c>
    </row>
    <row r="29" spans="1:9">
      <c r="A29" s="1">
        <v>27</v>
      </c>
      <c r="B29" s="2">
        <v>26243521</v>
      </c>
      <c r="C29" s="10">
        <v>111925</v>
      </c>
      <c r="D29" s="10">
        <v>105999.85</v>
      </c>
      <c r="E29" s="11">
        <v>44237</v>
      </c>
      <c r="F29" s="10">
        <f t="shared" si="4"/>
        <v>5925.14999999999</v>
      </c>
      <c r="G29" s="10">
        <f t="shared" si="5"/>
        <v>5.58977206099819</v>
      </c>
      <c r="H29" s="10">
        <f t="shared" si="6"/>
        <v>110239.844</v>
      </c>
      <c r="I29" s="10">
        <f t="shared" si="7"/>
        <v>1685.15599999999</v>
      </c>
    </row>
    <row r="30" spans="1:9">
      <c r="A30" s="1">
        <v>28</v>
      </c>
      <c r="B30" s="2">
        <v>26268624</v>
      </c>
      <c r="C30" s="10">
        <v>32733</v>
      </c>
      <c r="D30" s="10">
        <v>31000.51</v>
      </c>
      <c r="E30" s="11">
        <v>44241</v>
      </c>
      <c r="F30" s="10">
        <f t="shared" si="4"/>
        <v>1732.49</v>
      </c>
      <c r="G30" s="10">
        <f t="shared" si="5"/>
        <v>5.58858547810988</v>
      </c>
      <c r="H30" s="10">
        <f t="shared" si="6"/>
        <v>32240.5304</v>
      </c>
      <c r="I30" s="10">
        <f t="shared" si="7"/>
        <v>492.4696</v>
      </c>
    </row>
    <row r="31" spans="6:9">
      <c r="F31" s="10" t="str">
        <f t="shared" si="4"/>
        <v/>
      </c>
      <c r="G31" s="10" t="str">
        <f t="shared" si="5"/>
        <v/>
      </c>
      <c r="H31" s="10" t="str">
        <f t="shared" si="6"/>
        <v/>
      </c>
      <c r="I31" s="10" t="str">
        <f t="shared" si="7"/>
        <v/>
      </c>
    </row>
    <row r="32" spans="6:9">
      <c r="F32" s="10" t="str">
        <f t="shared" si="4"/>
        <v/>
      </c>
      <c r="G32" s="10" t="str">
        <f t="shared" si="5"/>
        <v/>
      </c>
      <c r="H32" s="10" t="str">
        <f t="shared" si="6"/>
        <v/>
      </c>
      <c r="I32" s="10" t="str">
        <f t="shared" si="7"/>
        <v/>
      </c>
    </row>
    <row r="33" spans="6:9">
      <c r="F33" s="10" t="str">
        <f t="shared" si="4"/>
        <v/>
      </c>
      <c r="G33" s="10" t="str">
        <f t="shared" si="5"/>
        <v/>
      </c>
      <c r="H33" s="10" t="str">
        <f t="shared" si="6"/>
        <v/>
      </c>
      <c r="I33" s="10" t="str">
        <f t="shared" si="7"/>
        <v/>
      </c>
    </row>
    <row r="34" spans="6:9">
      <c r="F34" s="10" t="str">
        <f t="shared" si="4"/>
        <v/>
      </c>
      <c r="G34" s="10" t="str">
        <f t="shared" si="5"/>
        <v/>
      </c>
      <c r="H34" s="10" t="str">
        <f t="shared" si="6"/>
        <v/>
      </c>
      <c r="I34" s="10" t="str">
        <f t="shared" si="7"/>
        <v/>
      </c>
    </row>
    <row r="35" spans="6:9">
      <c r="F35" s="10" t="str">
        <f t="shared" si="4"/>
        <v/>
      </c>
      <c r="G35" s="10" t="str">
        <f t="shared" si="5"/>
        <v/>
      </c>
      <c r="H35" s="10" t="str">
        <f t="shared" si="6"/>
        <v/>
      </c>
      <c r="I35" s="10" t="str">
        <f t="shared" si="7"/>
        <v/>
      </c>
    </row>
    <row r="36" spans="6:9">
      <c r="F36" s="10" t="str">
        <f t="shared" si="4"/>
        <v/>
      </c>
      <c r="G36" s="10" t="str">
        <f t="shared" si="5"/>
        <v/>
      </c>
      <c r="H36" s="10" t="str">
        <f t="shared" si="6"/>
        <v/>
      </c>
      <c r="I36" s="10" t="str">
        <f t="shared" si="7"/>
        <v/>
      </c>
    </row>
    <row r="37" spans="6:9">
      <c r="F37" s="10" t="str">
        <f t="shared" si="4"/>
        <v/>
      </c>
      <c r="G37" s="10" t="str">
        <f t="shared" si="5"/>
        <v/>
      </c>
      <c r="H37" s="10" t="str">
        <f t="shared" si="6"/>
        <v/>
      </c>
      <c r="I37" s="10" t="str">
        <f t="shared" si="7"/>
        <v/>
      </c>
    </row>
    <row r="38" spans="6:9">
      <c r="F38" s="10" t="str">
        <f t="shared" si="4"/>
        <v/>
      </c>
      <c r="G38" s="10" t="str">
        <f t="shared" si="5"/>
        <v/>
      </c>
      <c r="H38" s="10" t="str">
        <f t="shared" si="6"/>
        <v/>
      </c>
      <c r="I38" s="10" t="str">
        <f t="shared" si="7"/>
        <v/>
      </c>
    </row>
    <row r="39" spans="6:9">
      <c r="F39" s="10" t="str">
        <f t="shared" si="4"/>
        <v/>
      </c>
      <c r="G39" s="10" t="str">
        <f t="shared" si="5"/>
        <v/>
      </c>
      <c r="H39" s="10" t="str">
        <f t="shared" si="6"/>
        <v/>
      </c>
      <c r="I39" s="10" t="str">
        <f t="shared" si="7"/>
        <v/>
      </c>
    </row>
    <row r="40" spans="6:9">
      <c r="F40" s="10" t="str">
        <f t="shared" si="4"/>
        <v/>
      </c>
      <c r="G40" s="10" t="str">
        <f t="shared" si="5"/>
        <v/>
      </c>
      <c r="H40" s="10" t="str">
        <f t="shared" si="6"/>
        <v/>
      </c>
      <c r="I40" s="10" t="str">
        <f t="shared" si="7"/>
        <v/>
      </c>
    </row>
    <row r="41" spans="6:9">
      <c r="F41" s="10" t="str">
        <f t="shared" si="4"/>
        <v/>
      </c>
      <c r="G41" s="10" t="str">
        <f t="shared" si="5"/>
        <v/>
      </c>
      <c r="H41" s="10" t="str">
        <f t="shared" si="6"/>
        <v/>
      </c>
      <c r="I41" s="10" t="str">
        <f t="shared" si="7"/>
        <v/>
      </c>
    </row>
    <row r="42" spans="6:9">
      <c r="F42" s="10" t="str">
        <f t="shared" si="4"/>
        <v/>
      </c>
      <c r="G42" s="10" t="str">
        <f t="shared" si="5"/>
        <v/>
      </c>
      <c r="H42" s="10" t="str">
        <f t="shared" si="6"/>
        <v/>
      </c>
      <c r="I42" s="10" t="str">
        <f t="shared" si="7"/>
        <v/>
      </c>
    </row>
    <row r="43" spans="6:9">
      <c r="F43" s="10" t="str">
        <f t="shared" si="4"/>
        <v/>
      </c>
      <c r="G43" s="10" t="str">
        <f t="shared" si="5"/>
        <v/>
      </c>
      <c r="H43" s="10" t="str">
        <f t="shared" si="6"/>
        <v/>
      </c>
      <c r="I43" s="10" t="str">
        <f t="shared" si="7"/>
        <v/>
      </c>
    </row>
    <row r="44" spans="6:9">
      <c r="F44" s="10" t="str">
        <f t="shared" si="4"/>
        <v/>
      </c>
      <c r="G44" s="10" t="str">
        <f t="shared" si="5"/>
        <v/>
      </c>
      <c r="H44" s="10" t="str">
        <f t="shared" si="6"/>
        <v/>
      </c>
      <c r="I44" s="10" t="str">
        <f t="shared" si="7"/>
        <v/>
      </c>
    </row>
    <row r="45" spans="6:9">
      <c r="F45" s="10" t="str">
        <f t="shared" si="4"/>
        <v/>
      </c>
      <c r="G45" s="10" t="str">
        <f t="shared" si="5"/>
        <v/>
      </c>
      <c r="H45" s="10" t="str">
        <f t="shared" si="6"/>
        <v/>
      </c>
      <c r="I45" s="10" t="str">
        <f t="shared" si="7"/>
        <v/>
      </c>
    </row>
    <row r="46" spans="6:9">
      <c r="F46" s="10" t="str">
        <f t="shared" si="4"/>
        <v/>
      </c>
      <c r="G46" s="10" t="str">
        <f t="shared" si="5"/>
        <v/>
      </c>
      <c r="H46" s="10" t="str">
        <f t="shared" si="6"/>
        <v/>
      </c>
      <c r="I46" s="10" t="str">
        <f t="shared" si="7"/>
        <v/>
      </c>
    </row>
    <row r="47" spans="6:9">
      <c r="F47" s="10" t="str">
        <f t="shared" si="4"/>
        <v/>
      </c>
      <c r="G47" s="10" t="str">
        <f t="shared" si="5"/>
        <v/>
      </c>
      <c r="H47" s="10" t="str">
        <f t="shared" si="6"/>
        <v/>
      </c>
      <c r="I47" s="10" t="str">
        <f t="shared" si="7"/>
        <v/>
      </c>
    </row>
    <row r="48" spans="6:9">
      <c r="F48" s="10" t="str">
        <f t="shared" si="4"/>
        <v/>
      </c>
      <c r="G48" s="10" t="str">
        <f t="shared" si="5"/>
        <v/>
      </c>
      <c r="H48" s="10" t="str">
        <f t="shared" si="6"/>
        <v/>
      </c>
      <c r="I48" s="10" t="str">
        <f t="shared" si="7"/>
        <v/>
      </c>
    </row>
    <row r="49" spans="6:9">
      <c r="F49" s="10" t="str">
        <f t="shared" si="4"/>
        <v/>
      </c>
      <c r="G49" s="10" t="str">
        <f t="shared" si="5"/>
        <v/>
      </c>
      <c r="H49" s="10" t="str">
        <f t="shared" si="6"/>
        <v/>
      </c>
      <c r="I49" s="10" t="str">
        <f t="shared" si="7"/>
        <v/>
      </c>
    </row>
    <row r="50" spans="6:9">
      <c r="F50" s="10" t="str">
        <f t="shared" si="4"/>
        <v/>
      </c>
      <c r="G50" s="10" t="str">
        <f t="shared" si="5"/>
        <v/>
      </c>
      <c r="H50" s="10" t="str">
        <f t="shared" si="6"/>
        <v/>
      </c>
      <c r="I50" s="10" t="str">
        <f t="shared" si="7"/>
        <v/>
      </c>
    </row>
    <row r="51" spans="6:9">
      <c r="F51" s="10" t="str">
        <f t="shared" si="4"/>
        <v/>
      </c>
      <c r="G51" s="10" t="str">
        <f t="shared" si="5"/>
        <v/>
      </c>
      <c r="H51" s="10" t="str">
        <f t="shared" si="6"/>
        <v/>
      </c>
      <c r="I51" s="10" t="str">
        <f t="shared" si="7"/>
        <v/>
      </c>
    </row>
    <row r="52" spans="6:9">
      <c r="F52" s="10" t="str">
        <f t="shared" si="4"/>
        <v/>
      </c>
      <c r="G52" s="10" t="str">
        <f t="shared" si="5"/>
        <v/>
      </c>
      <c r="H52" s="10" t="str">
        <f t="shared" si="6"/>
        <v/>
      </c>
      <c r="I52" s="10" t="str">
        <f t="shared" si="7"/>
        <v/>
      </c>
    </row>
    <row r="53" spans="6:9">
      <c r="F53" s="10" t="str">
        <f t="shared" si="4"/>
        <v/>
      </c>
      <c r="G53" s="10" t="str">
        <f t="shared" si="5"/>
        <v/>
      </c>
      <c r="H53" s="10" t="str">
        <f t="shared" si="6"/>
        <v/>
      </c>
      <c r="I53" s="10" t="str">
        <f t="shared" si="7"/>
        <v/>
      </c>
    </row>
    <row r="54" spans="6:9">
      <c r="F54" s="10" t="str">
        <f t="shared" si="4"/>
        <v/>
      </c>
      <c r="G54" s="10" t="str">
        <f t="shared" si="5"/>
        <v/>
      </c>
      <c r="H54" s="10" t="str">
        <f t="shared" si="6"/>
        <v/>
      </c>
      <c r="I54" s="10" t="str">
        <f t="shared" si="7"/>
        <v/>
      </c>
    </row>
    <row r="55" spans="6:9">
      <c r="F55" s="10" t="str">
        <f t="shared" si="4"/>
        <v/>
      </c>
      <c r="G55" s="10" t="str">
        <f t="shared" si="5"/>
        <v/>
      </c>
      <c r="H55" s="10" t="str">
        <f t="shared" si="6"/>
        <v/>
      </c>
      <c r="I55" s="10" t="str">
        <f t="shared" si="7"/>
        <v/>
      </c>
    </row>
    <row r="56" spans="6:9">
      <c r="F56" s="10" t="str">
        <f t="shared" si="4"/>
        <v/>
      </c>
      <c r="G56" s="10" t="str">
        <f t="shared" si="5"/>
        <v/>
      </c>
      <c r="H56" s="10" t="str">
        <f t="shared" si="6"/>
        <v/>
      </c>
      <c r="I56" s="10" t="str">
        <f t="shared" si="7"/>
        <v/>
      </c>
    </row>
    <row r="57" spans="6:9">
      <c r="F57" s="10" t="str">
        <f t="shared" si="4"/>
        <v/>
      </c>
      <c r="G57" s="10" t="str">
        <f t="shared" si="5"/>
        <v/>
      </c>
      <c r="H57" s="10" t="str">
        <f t="shared" si="6"/>
        <v/>
      </c>
      <c r="I57" s="10" t="str">
        <f t="shared" si="7"/>
        <v/>
      </c>
    </row>
    <row r="58" spans="6:9">
      <c r="F58" s="10" t="str">
        <f t="shared" si="4"/>
        <v/>
      </c>
      <c r="G58" s="10" t="str">
        <f t="shared" si="5"/>
        <v/>
      </c>
      <c r="H58" s="10" t="str">
        <f t="shared" si="6"/>
        <v/>
      </c>
      <c r="I58" s="10" t="str">
        <f t="shared" si="7"/>
        <v/>
      </c>
    </row>
    <row r="59" spans="6:9">
      <c r="F59" s="10" t="str">
        <f t="shared" si="4"/>
        <v/>
      </c>
      <c r="G59" s="10" t="str">
        <f t="shared" si="5"/>
        <v/>
      </c>
      <c r="H59" s="10" t="str">
        <f t="shared" si="6"/>
        <v/>
      </c>
      <c r="I59" s="10" t="str">
        <f t="shared" si="7"/>
        <v/>
      </c>
    </row>
    <row r="60" spans="6:9">
      <c r="F60" s="10" t="str">
        <f t="shared" si="4"/>
        <v/>
      </c>
      <c r="G60" s="10" t="str">
        <f t="shared" si="5"/>
        <v/>
      </c>
      <c r="H60" s="10" t="str">
        <f t="shared" si="6"/>
        <v/>
      </c>
      <c r="I60" s="10" t="str">
        <f t="shared" si="7"/>
        <v/>
      </c>
    </row>
    <row r="61" spans="6:9">
      <c r="F61" s="10" t="str">
        <f t="shared" si="4"/>
        <v/>
      </c>
      <c r="G61" s="10" t="str">
        <f t="shared" si="5"/>
        <v/>
      </c>
      <c r="H61" s="10" t="str">
        <f t="shared" si="6"/>
        <v/>
      </c>
      <c r="I61" s="10" t="str">
        <f t="shared" si="7"/>
        <v/>
      </c>
    </row>
    <row r="62" spans="6:9">
      <c r="F62" s="10" t="str">
        <f t="shared" si="4"/>
        <v/>
      </c>
      <c r="G62" s="10" t="str">
        <f t="shared" si="5"/>
        <v/>
      </c>
      <c r="H62" s="10" t="str">
        <f t="shared" si="6"/>
        <v/>
      </c>
      <c r="I62" s="10" t="str">
        <f t="shared" si="7"/>
        <v/>
      </c>
    </row>
    <row r="63" spans="6:9">
      <c r="F63" s="10" t="str">
        <f t="shared" si="4"/>
        <v/>
      </c>
      <c r="G63" s="10" t="str">
        <f t="shared" si="5"/>
        <v/>
      </c>
      <c r="H63" s="10" t="str">
        <f t="shared" si="6"/>
        <v/>
      </c>
      <c r="I63" s="10" t="str">
        <f t="shared" si="7"/>
        <v/>
      </c>
    </row>
    <row r="64" spans="6:9">
      <c r="F64" s="10" t="str">
        <f t="shared" si="4"/>
        <v/>
      </c>
      <c r="G64" s="10" t="str">
        <f t="shared" si="5"/>
        <v/>
      </c>
      <c r="H64" s="10" t="str">
        <f t="shared" si="6"/>
        <v/>
      </c>
      <c r="I64" s="10" t="str">
        <f t="shared" si="7"/>
        <v/>
      </c>
    </row>
    <row r="65" spans="6:9">
      <c r="F65" s="10" t="str">
        <f t="shared" si="4"/>
        <v/>
      </c>
      <c r="G65" s="10" t="str">
        <f t="shared" si="5"/>
        <v/>
      </c>
      <c r="H65" s="10" t="str">
        <f t="shared" si="6"/>
        <v/>
      </c>
      <c r="I65" s="10" t="str">
        <f t="shared" si="7"/>
        <v/>
      </c>
    </row>
    <row r="66" spans="6:9">
      <c r="F66" s="10" t="str">
        <f t="shared" si="4"/>
        <v/>
      </c>
      <c r="G66" s="10" t="str">
        <f t="shared" si="5"/>
        <v/>
      </c>
      <c r="H66" s="10" t="str">
        <f t="shared" si="6"/>
        <v/>
      </c>
      <c r="I66" s="10" t="str">
        <f t="shared" si="7"/>
        <v/>
      </c>
    </row>
    <row r="67" spans="6:9">
      <c r="F67" s="10" t="str">
        <f t="shared" si="4"/>
        <v/>
      </c>
      <c r="G67" s="10" t="str">
        <f t="shared" si="5"/>
        <v/>
      </c>
      <c r="H67" s="10" t="str">
        <f t="shared" si="6"/>
        <v/>
      </c>
      <c r="I67" s="10" t="str">
        <f t="shared" si="7"/>
        <v/>
      </c>
    </row>
    <row r="68" spans="6:9">
      <c r="F68" s="10" t="str">
        <f t="shared" si="4"/>
        <v/>
      </c>
      <c r="G68" s="10" t="str">
        <f t="shared" si="5"/>
        <v/>
      </c>
      <c r="H68" s="10" t="str">
        <f t="shared" si="6"/>
        <v/>
      </c>
      <c r="I68" s="10" t="str">
        <f t="shared" si="7"/>
        <v/>
      </c>
    </row>
    <row r="69" spans="6:9">
      <c r="F69" s="10" t="str">
        <f t="shared" si="4"/>
        <v/>
      </c>
      <c r="G69" s="10" t="str">
        <f t="shared" si="5"/>
        <v/>
      </c>
      <c r="H69" s="10" t="str">
        <f t="shared" si="6"/>
        <v/>
      </c>
      <c r="I69" s="10" t="str">
        <f t="shared" si="7"/>
        <v/>
      </c>
    </row>
    <row r="70" spans="6:9">
      <c r="F70" s="10" t="str">
        <f t="shared" si="4"/>
        <v/>
      </c>
      <c r="G70" s="10" t="str">
        <f t="shared" si="5"/>
        <v/>
      </c>
      <c r="H70" s="10" t="str">
        <f t="shared" si="6"/>
        <v/>
      </c>
      <c r="I70" s="10" t="str">
        <f t="shared" si="7"/>
        <v/>
      </c>
    </row>
    <row r="71" spans="6:9">
      <c r="F71" s="10" t="str">
        <f t="shared" si="4"/>
        <v/>
      </c>
      <c r="G71" s="10" t="str">
        <f t="shared" si="5"/>
        <v/>
      </c>
      <c r="H71" s="10" t="str">
        <f t="shared" si="6"/>
        <v/>
      </c>
      <c r="I71" s="10" t="str">
        <f t="shared" si="7"/>
        <v/>
      </c>
    </row>
    <row r="72" spans="6:9">
      <c r="F72" s="10" t="str">
        <f t="shared" si="4"/>
        <v/>
      </c>
      <c r="G72" s="10" t="str">
        <f t="shared" si="5"/>
        <v/>
      </c>
      <c r="H72" s="10" t="str">
        <f t="shared" si="6"/>
        <v/>
      </c>
      <c r="I72" s="10" t="str">
        <f t="shared" si="7"/>
        <v/>
      </c>
    </row>
    <row r="73" spans="6:9">
      <c r="F73" s="10" t="str">
        <f t="shared" si="4"/>
        <v/>
      </c>
      <c r="G73" s="10" t="str">
        <f t="shared" si="5"/>
        <v/>
      </c>
      <c r="H73" s="10" t="str">
        <f t="shared" si="6"/>
        <v/>
      </c>
      <c r="I73" s="10" t="str">
        <f t="shared" si="7"/>
        <v/>
      </c>
    </row>
    <row r="74" spans="6:9">
      <c r="F74" s="10" t="str">
        <f t="shared" si="4"/>
        <v/>
      </c>
      <c r="G74" s="10" t="str">
        <f t="shared" si="5"/>
        <v/>
      </c>
      <c r="H74" s="10" t="str">
        <f t="shared" si="6"/>
        <v/>
      </c>
      <c r="I74" s="10" t="str">
        <f t="shared" si="7"/>
        <v/>
      </c>
    </row>
    <row r="75" spans="6:9">
      <c r="F75" s="10" t="str">
        <f t="shared" si="4"/>
        <v/>
      </c>
      <c r="G75" s="10" t="str">
        <f t="shared" si="5"/>
        <v/>
      </c>
      <c r="H75" s="10" t="str">
        <f t="shared" si="6"/>
        <v/>
      </c>
      <c r="I75" s="10" t="str">
        <f t="shared" si="7"/>
        <v/>
      </c>
    </row>
    <row r="76" spans="6:9">
      <c r="F76" s="10" t="str">
        <f t="shared" si="4"/>
        <v/>
      </c>
      <c r="G76" s="10" t="str">
        <f t="shared" si="5"/>
        <v/>
      </c>
      <c r="H76" s="10" t="str">
        <f t="shared" si="6"/>
        <v/>
      </c>
      <c r="I76" s="10" t="str">
        <f t="shared" si="7"/>
        <v/>
      </c>
    </row>
    <row r="77" spans="6:9">
      <c r="F77" s="10" t="str">
        <f t="shared" si="4"/>
        <v/>
      </c>
      <c r="G77" s="10" t="str">
        <f t="shared" si="5"/>
        <v/>
      </c>
      <c r="H77" s="10" t="str">
        <f t="shared" si="6"/>
        <v/>
      </c>
      <c r="I77" s="10" t="str">
        <f t="shared" si="7"/>
        <v/>
      </c>
    </row>
    <row r="78" spans="6:9">
      <c r="F78" s="10" t="str">
        <f t="shared" si="4"/>
        <v/>
      </c>
      <c r="G78" s="10" t="str">
        <f t="shared" si="5"/>
        <v/>
      </c>
      <c r="H78" s="10" t="str">
        <f t="shared" si="6"/>
        <v/>
      </c>
      <c r="I78" s="10" t="str">
        <f t="shared" si="7"/>
        <v/>
      </c>
    </row>
    <row r="79" spans="6:9">
      <c r="F79" s="10" t="str">
        <f t="shared" si="4"/>
        <v/>
      </c>
      <c r="G79" s="10" t="str">
        <f t="shared" si="5"/>
        <v/>
      </c>
      <c r="H79" s="10" t="str">
        <f t="shared" si="6"/>
        <v/>
      </c>
      <c r="I79" s="10" t="str">
        <f t="shared" si="7"/>
        <v/>
      </c>
    </row>
    <row r="80" spans="6:9">
      <c r="F80" s="10" t="str">
        <f t="shared" si="4"/>
        <v/>
      </c>
      <c r="G80" s="10" t="str">
        <f t="shared" si="5"/>
        <v/>
      </c>
      <c r="H80" s="10" t="str">
        <f t="shared" si="6"/>
        <v/>
      </c>
      <c r="I80" s="10" t="str">
        <f t="shared" si="7"/>
        <v/>
      </c>
    </row>
    <row r="81" spans="6:9">
      <c r="F81" s="10" t="str">
        <f t="shared" si="4"/>
        <v/>
      </c>
      <c r="G81" s="10" t="str">
        <f t="shared" si="5"/>
        <v/>
      </c>
      <c r="H81" s="10" t="str">
        <f t="shared" si="6"/>
        <v/>
      </c>
      <c r="I81" s="10" t="str">
        <f t="shared" si="7"/>
        <v/>
      </c>
    </row>
    <row r="82" spans="6:9">
      <c r="F82" s="10" t="str">
        <f t="shared" ref="F82:F145" si="8">IF(B82="","",C82-D82)</f>
        <v/>
      </c>
      <c r="G82" s="10" t="str">
        <f t="shared" ref="G82:G145" si="9">IF(B82="","",F82/D82*100)</f>
        <v/>
      </c>
      <c r="H82" s="10" t="str">
        <f t="shared" ref="H82:H145" si="10">IF(B82="","",D82*1.04)</f>
        <v/>
      </c>
      <c r="I82" s="10" t="str">
        <f t="shared" ref="I82:I145" si="11">IF(B82="","",C82-H82)</f>
        <v/>
      </c>
    </row>
    <row r="83" spans="6:9">
      <c r="F83" s="10" t="str">
        <f t="shared" si="8"/>
        <v/>
      </c>
      <c r="G83" s="10" t="str">
        <f t="shared" si="9"/>
        <v/>
      </c>
      <c r="H83" s="10" t="str">
        <f t="shared" si="10"/>
        <v/>
      </c>
      <c r="I83" s="10" t="str">
        <f t="shared" si="11"/>
        <v/>
      </c>
    </row>
    <row r="84" spans="6:9">
      <c r="F84" s="10" t="str">
        <f t="shared" si="8"/>
        <v/>
      </c>
      <c r="G84" s="10" t="str">
        <f t="shared" si="9"/>
        <v/>
      </c>
      <c r="H84" s="10" t="str">
        <f t="shared" si="10"/>
        <v/>
      </c>
      <c r="I84" s="10" t="str">
        <f t="shared" si="11"/>
        <v/>
      </c>
    </row>
    <row r="85" spans="6:9">
      <c r="F85" s="10" t="str">
        <f t="shared" si="8"/>
        <v/>
      </c>
      <c r="G85" s="10" t="str">
        <f t="shared" si="9"/>
        <v/>
      </c>
      <c r="H85" s="10" t="str">
        <f t="shared" si="10"/>
        <v/>
      </c>
      <c r="I85" s="10" t="str">
        <f t="shared" si="11"/>
        <v/>
      </c>
    </row>
    <row r="86" spans="6:9">
      <c r="F86" s="10" t="str">
        <f t="shared" si="8"/>
        <v/>
      </c>
      <c r="G86" s="10" t="str">
        <f t="shared" si="9"/>
        <v/>
      </c>
      <c r="H86" s="10" t="str">
        <f t="shared" si="10"/>
        <v/>
      </c>
      <c r="I86" s="10" t="str">
        <f t="shared" si="11"/>
        <v/>
      </c>
    </row>
    <row r="87" spans="6:9">
      <c r="F87" s="10" t="str">
        <f t="shared" si="8"/>
        <v/>
      </c>
      <c r="G87" s="10" t="str">
        <f t="shared" si="9"/>
        <v/>
      </c>
      <c r="H87" s="10" t="str">
        <f t="shared" si="10"/>
        <v/>
      </c>
      <c r="I87" s="10" t="str">
        <f t="shared" si="11"/>
        <v/>
      </c>
    </row>
    <row r="88" spans="6:9">
      <c r="F88" s="10" t="str">
        <f t="shared" si="8"/>
        <v/>
      </c>
      <c r="G88" s="10" t="str">
        <f t="shared" si="9"/>
        <v/>
      </c>
      <c r="H88" s="10" t="str">
        <f t="shared" si="10"/>
        <v/>
      </c>
      <c r="I88" s="10" t="str">
        <f t="shared" si="11"/>
        <v/>
      </c>
    </row>
    <row r="89" spans="6:9">
      <c r="F89" s="10" t="str">
        <f t="shared" si="8"/>
        <v/>
      </c>
      <c r="G89" s="10" t="str">
        <f t="shared" si="9"/>
        <v/>
      </c>
      <c r="H89" s="10" t="str">
        <f t="shared" si="10"/>
        <v/>
      </c>
      <c r="I89" s="10" t="str">
        <f t="shared" si="11"/>
        <v/>
      </c>
    </row>
    <row r="90" spans="6:9">
      <c r="F90" s="10" t="str">
        <f t="shared" si="8"/>
        <v/>
      </c>
      <c r="G90" s="10" t="str">
        <f t="shared" si="9"/>
        <v/>
      </c>
      <c r="H90" s="10" t="str">
        <f t="shared" si="10"/>
        <v/>
      </c>
      <c r="I90" s="10" t="str">
        <f t="shared" si="11"/>
        <v/>
      </c>
    </row>
    <row r="91" spans="6:9">
      <c r="F91" s="10" t="str">
        <f t="shared" si="8"/>
        <v/>
      </c>
      <c r="G91" s="10" t="str">
        <f t="shared" si="9"/>
        <v/>
      </c>
      <c r="H91" s="10" t="str">
        <f t="shared" si="10"/>
        <v/>
      </c>
      <c r="I91" s="10" t="str">
        <f t="shared" si="11"/>
        <v/>
      </c>
    </row>
    <row r="92" spans="6:9">
      <c r="F92" s="10" t="str">
        <f t="shared" si="8"/>
        <v/>
      </c>
      <c r="G92" s="10" t="str">
        <f t="shared" si="9"/>
        <v/>
      </c>
      <c r="H92" s="10" t="str">
        <f t="shared" si="10"/>
        <v/>
      </c>
      <c r="I92" s="10" t="str">
        <f t="shared" si="11"/>
        <v/>
      </c>
    </row>
    <row r="93" spans="6:9">
      <c r="F93" s="10" t="str">
        <f t="shared" si="8"/>
        <v/>
      </c>
      <c r="G93" s="10" t="str">
        <f t="shared" si="9"/>
        <v/>
      </c>
      <c r="H93" s="10" t="str">
        <f t="shared" si="10"/>
        <v/>
      </c>
      <c r="I93" s="10" t="str">
        <f t="shared" si="11"/>
        <v/>
      </c>
    </row>
    <row r="94" spans="6:9">
      <c r="F94" s="10" t="str">
        <f t="shared" si="8"/>
        <v/>
      </c>
      <c r="G94" s="10" t="str">
        <f t="shared" si="9"/>
        <v/>
      </c>
      <c r="H94" s="10" t="str">
        <f t="shared" si="10"/>
        <v/>
      </c>
      <c r="I94" s="10" t="str">
        <f t="shared" si="11"/>
        <v/>
      </c>
    </row>
    <row r="95" spans="6:9">
      <c r="F95" s="10" t="str">
        <f t="shared" si="8"/>
        <v/>
      </c>
      <c r="G95" s="10" t="str">
        <f t="shared" si="9"/>
        <v/>
      </c>
      <c r="H95" s="10" t="str">
        <f t="shared" si="10"/>
        <v/>
      </c>
      <c r="I95" s="10" t="str">
        <f t="shared" si="11"/>
        <v/>
      </c>
    </row>
    <row r="96" spans="6:9">
      <c r="F96" s="10" t="str">
        <f t="shared" si="8"/>
        <v/>
      </c>
      <c r="G96" s="10" t="str">
        <f t="shared" si="9"/>
        <v/>
      </c>
      <c r="H96" s="10" t="str">
        <f t="shared" si="10"/>
        <v/>
      </c>
      <c r="I96" s="10" t="str">
        <f t="shared" si="11"/>
        <v/>
      </c>
    </row>
    <row r="97" spans="6:9">
      <c r="F97" s="10" t="str">
        <f t="shared" si="8"/>
        <v/>
      </c>
      <c r="G97" s="10" t="str">
        <f t="shared" si="9"/>
        <v/>
      </c>
      <c r="H97" s="10" t="str">
        <f t="shared" si="10"/>
        <v/>
      </c>
      <c r="I97" s="10" t="str">
        <f t="shared" si="11"/>
        <v/>
      </c>
    </row>
    <row r="98" spans="6:9">
      <c r="F98" s="10" t="str">
        <f t="shared" si="8"/>
        <v/>
      </c>
      <c r="G98" s="10" t="str">
        <f t="shared" si="9"/>
        <v/>
      </c>
      <c r="H98" s="10" t="str">
        <f t="shared" si="10"/>
        <v/>
      </c>
      <c r="I98" s="10" t="str">
        <f t="shared" si="11"/>
        <v/>
      </c>
    </row>
    <row r="99" spans="6:9">
      <c r="F99" s="10" t="str">
        <f t="shared" si="8"/>
        <v/>
      </c>
      <c r="G99" s="10" t="str">
        <f t="shared" si="9"/>
        <v/>
      </c>
      <c r="H99" s="10" t="str">
        <f t="shared" si="10"/>
        <v/>
      </c>
      <c r="I99" s="10" t="str">
        <f t="shared" si="11"/>
        <v/>
      </c>
    </row>
    <row r="100" spans="6:9">
      <c r="F100" s="10" t="str">
        <f t="shared" si="8"/>
        <v/>
      </c>
      <c r="G100" s="10" t="str">
        <f t="shared" si="9"/>
        <v/>
      </c>
      <c r="H100" s="10" t="str">
        <f t="shared" si="10"/>
        <v/>
      </c>
      <c r="I100" s="10" t="str">
        <f t="shared" si="11"/>
        <v/>
      </c>
    </row>
    <row r="101" spans="6:9">
      <c r="F101" s="10" t="str">
        <f t="shared" si="8"/>
        <v/>
      </c>
      <c r="G101" s="10" t="str">
        <f t="shared" si="9"/>
        <v/>
      </c>
      <c r="H101" s="10" t="str">
        <f t="shared" si="10"/>
        <v/>
      </c>
      <c r="I101" s="10" t="str">
        <f t="shared" si="11"/>
        <v/>
      </c>
    </row>
    <row r="102" spans="6:9">
      <c r="F102" s="10" t="str">
        <f t="shared" si="8"/>
        <v/>
      </c>
      <c r="G102" s="10" t="str">
        <f t="shared" si="9"/>
        <v/>
      </c>
      <c r="H102" s="10" t="str">
        <f t="shared" si="10"/>
        <v/>
      </c>
      <c r="I102" s="10" t="str">
        <f t="shared" si="11"/>
        <v/>
      </c>
    </row>
    <row r="103" spans="6:9">
      <c r="F103" s="10" t="str">
        <f t="shared" si="8"/>
        <v/>
      </c>
      <c r="G103" s="10" t="str">
        <f t="shared" si="9"/>
        <v/>
      </c>
      <c r="H103" s="10" t="str">
        <f t="shared" si="10"/>
        <v/>
      </c>
      <c r="I103" s="10" t="str">
        <f t="shared" si="11"/>
        <v/>
      </c>
    </row>
    <row r="104" spans="6:9">
      <c r="F104" s="10" t="str">
        <f t="shared" si="8"/>
        <v/>
      </c>
      <c r="G104" s="10" t="str">
        <f t="shared" si="9"/>
        <v/>
      </c>
      <c r="H104" s="10" t="str">
        <f t="shared" si="10"/>
        <v/>
      </c>
      <c r="I104" s="10" t="str">
        <f t="shared" si="11"/>
        <v/>
      </c>
    </row>
    <row r="105" spans="6:9">
      <c r="F105" s="10" t="str">
        <f t="shared" si="8"/>
        <v/>
      </c>
      <c r="G105" s="10" t="str">
        <f t="shared" si="9"/>
        <v/>
      </c>
      <c r="H105" s="10" t="str">
        <f t="shared" si="10"/>
        <v/>
      </c>
      <c r="I105" s="10" t="str">
        <f t="shared" si="11"/>
        <v/>
      </c>
    </row>
    <row r="106" spans="6:9">
      <c r="F106" s="10" t="str">
        <f t="shared" si="8"/>
        <v/>
      </c>
      <c r="G106" s="10" t="str">
        <f t="shared" si="9"/>
        <v/>
      </c>
      <c r="H106" s="10" t="str">
        <f t="shared" si="10"/>
        <v/>
      </c>
      <c r="I106" s="10" t="str">
        <f t="shared" si="11"/>
        <v/>
      </c>
    </row>
    <row r="107" spans="6:9">
      <c r="F107" s="10" t="str">
        <f t="shared" si="8"/>
        <v/>
      </c>
      <c r="G107" s="10" t="str">
        <f t="shared" si="9"/>
        <v/>
      </c>
      <c r="H107" s="10" t="str">
        <f t="shared" si="10"/>
        <v/>
      </c>
      <c r="I107" s="10" t="str">
        <f t="shared" si="11"/>
        <v/>
      </c>
    </row>
    <row r="108" spans="6:9">
      <c r="F108" s="10" t="str">
        <f t="shared" si="8"/>
        <v/>
      </c>
      <c r="G108" s="10" t="str">
        <f t="shared" si="9"/>
        <v/>
      </c>
      <c r="H108" s="10" t="str">
        <f t="shared" si="10"/>
        <v/>
      </c>
      <c r="I108" s="10" t="str">
        <f t="shared" si="11"/>
        <v/>
      </c>
    </row>
    <row r="109" spans="6:9">
      <c r="F109" s="10" t="str">
        <f t="shared" si="8"/>
        <v/>
      </c>
      <c r="G109" s="10" t="str">
        <f t="shared" si="9"/>
        <v/>
      </c>
      <c r="H109" s="10" t="str">
        <f t="shared" si="10"/>
        <v/>
      </c>
      <c r="I109" s="10" t="str">
        <f t="shared" si="11"/>
        <v/>
      </c>
    </row>
    <row r="110" spans="6:9">
      <c r="F110" s="10" t="str">
        <f t="shared" si="8"/>
        <v/>
      </c>
      <c r="G110" s="10" t="str">
        <f t="shared" si="9"/>
        <v/>
      </c>
      <c r="H110" s="10" t="str">
        <f t="shared" si="10"/>
        <v/>
      </c>
      <c r="I110" s="10" t="str">
        <f t="shared" si="11"/>
        <v/>
      </c>
    </row>
    <row r="111" spans="6:9">
      <c r="F111" s="10" t="str">
        <f t="shared" si="8"/>
        <v/>
      </c>
      <c r="G111" s="10" t="str">
        <f t="shared" si="9"/>
        <v/>
      </c>
      <c r="H111" s="10" t="str">
        <f t="shared" si="10"/>
        <v/>
      </c>
      <c r="I111" s="10" t="str">
        <f t="shared" si="11"/>
        <v/>
      </c>
    </row>
    <row r="112" spans="6:9">
      <c r="F112" s="10" t="str">
        <f t="shared" si="8"/>
        <v/>
      </c>
      <c r="G112" s="10" t="str">
        <f t="shared" si="9"/>
        <v/>
      </c>
      <c r="H112" s="10" t="str">
        <f t="shared" si="10"/>
        <v/>
      </c>
      <c r="I112" s="10" t="str">
        <f t="shared" si="11"/>
        <v/>
      </c>
    </row>
    <row r="113" spans="6:9">
      <c r="F113" s="10" t="str">
        <f t="shared" si="8"/>
        <v/>
      </c>
      <c r="G113" s="10" t="str">
        <f t="shared" si="9"/>
        <v/>
      </c>
      <c r="H113" s="10" t="str">
        <f t="shared" si="10"/>
        <v/>
      </c>
      <c r="I113" s="10" t="str">
        <f t="shared" si="11"/>
        <v/>
      </c>
    </row>
    <row r="114" spans="6:9">
      <c r="F114" s="10" t="str">
        <f t="shared" si="8"/>
        <v/>
      </c>
      <c r="G114" s="10" t="str">
        <f t="shared" si="9"/>
        <v/>
      </c>
      <c r="H114" s="10" t="str">
        <f t="shared" si="10"/>
        <v/>
      </c>
      <c r="I114" s="10" t="str">
        <f t="shared" si="11"/>
        <v/>
      </c>
    </row>
    <row r="115" spans="6:9">
      <c r="F115" s="10" t="str">
        <f t="shared" si="8"/>
        <v/>
      </c>
      <c r="G115" s="10" t="str">
        <f t="shared" si="9"/>
        <v/>
      </c>
      <c r="H115" s="10" t="str">
        <f t="shared" si="10"/>
        <v/>
      </c>
      <c r="I115" s="10" t="str">
        <f t="shared" si="11"/>
        <v/>
      </c>
    </row>
    <row r="116" spans="6:9">
      <c r="F116" s="10" t="str">
        <f t="shared" si="8"/>
        <v/>
      </c>
      <c r="G116" s="10" t="str">
        <f t="shared" si="9"/>
        <v/>
      </c>
      <c r="H116" s="10" t="str">
        <f t="shared" si="10"/>
        <v/>
      </c>
      <c r="I116" s="10" t="str">
        <f t="shared" si="11"/>
        <v/>
      </c>
    </row>
    <row r="117" spans="6:9">
      <c r="F117" s="10" t="str">
        <f t="shared" si="8"/>
        <v/>
      </c>
      <c r="G117" s="10" t="str">
        <f t="shared" si="9"/>
        <v/>
      </c>
      <c r="H117" s="10" t="str">
        <f t="shared" si="10"/>
        <v/>
      </c>
      <c r="I117" s="10" t="str">
        <f t="shared" si="11"/>
        <v/>
      </c>
    </row>
    <row r="118" spans="6:9">
      <c r="F118" s="10" t="str">
        <f t="shared" si="8"/>
        <v/>
      </c>
      <c r="G118" s="10" t="str">
        <f t="shared" si="9"/>
        <v/>
      </c>
      <c r="H118" s="10" t="str">
        <f t="shared" si="10"/>
        <v/>
      </c>
      <c r="I118" s="10" t="str">
        <f t="shared" si="11"/>
        <v/>
      </c>
    </row>
    <row r="119" spans="6:9">
      <c r="F119" s="10" t="str">
        <f t="shared" si="8"/>
        <v/>
      </c>
      <c r="G119" s="10" t="str">
        <f t="shared" si="9"/>
        <v/>
      </c>
      <c r="H119" s="10" t="str">
        <f t="shared" si="10"/>
        <v/>
      </c>
      <c r="I119" s="10" t="str">
        <f t="shared" si="11"/>
        <v/>
      </c>
    </row>
    <row r="120" spans="6:9">
      <c r="F120" s="10" t="str">
        <f t="shared" si="8"/>
        <v/>
      </c>
      <c r="G120" s="10" t="str">
        <f t="shared" si="9"/>
        <v/>
      </c>
      <c r="H120" s="10" t="str">
        <f t="shared" si="10"/>
        <v/>
      </c>
      <c r="I120" s="10" t="str">
        <f t="shared" si="11"/>
        <v/>
      </c>
    </row>
    <row r="121" spans="6:9">
      <c r="F121" s="10" t="str">
        <f t="shared" si="8"/>
        <v/>
      </c>
      <c r="G121" s="10" t="str">
        <f t="shared" si="9"/>
        <v/>
      </c>
      <c r="H121" s="10" t="str">
        <f t="shared" si="10"/>
        <v/>
      </c>
      <c r="I121" s="10" t="str">
        <f t="shared" si="11"/>
        <v/>
      </c>
    </row>
    <row r="122" spans="6:9">
      <c r="F122" s="10" t="str">
        <f t="shared" si="8"/>
        <v/>
      </c>
      <c r="G122" s="10" t="str">
        <f t="shared" si="9"/>
        <v/>
      </c>
      <c r="H122" s="10" t="str">
        <f t="shared" si="10"/>
        <v/>
      </c>
      <c r="I122" s="10" t="str">
        <f t="shared" si="11"/>
        <v/>
      </c>
    </row>
    <row r="123" spans="6:9">
      <c r="F123" s="10" t="str">
        <f t="shared" si="8"/>
        <v/>
      </c>
      <c r="G123" s="10" t="str">
        <f t="shared" si="9"/>
        <v/>
      </c>
      <c r="H123" s="10" t="str">
        <f t="shared" si="10"/>
        <v/>
      </c>
      <c r="I123" s="10" t="str">
        <f t="shared" si="11"/>
        <v/>
      </c>
    </row>
    <row r="124" spans="6:9">
      <c r="F124" s="10" t="str">
        <f t="shared" si="8"/>
        <v/>
      </c>
      <c r="G124" s="10" t="str">
        <f t="shared" si="9"/>
        <v/>
      </c>
      <c r="H124" s="10" t="str">
        <f t="shared" si="10"/>
        <v/>
      </c>
      <c r="I124" s="10" t="str">
        <f t="shared" si="11"/>
        <v/>
      </c>
    </row>
    <row r="125" spans="6:9">
      <c r="F125" s="10" t="str">
        <f t="shared" si="8"/>
        <v/>
      </c>
      <c r="G125" s="10" t="str">
        <f t="shared" si="9"/>
        <v/>
      </c>
      <c r="H125" s="10" t="str">
        <f t="shared" si="10"/>
        <v/>
      </c>
      <c r="I125" s="10" t="str">
        <f t="shared" si="11"/>
        <v/>
      </c>
    </row>
    <row r="126" spans="6:9">
      <c r="F126" s="10" t="str">
        <f t="shared" si="8"/>
        <v/>
      </c>
      <c r="G126" s="10" t="str">
        <f t="shared" si="9"/>
        <v/>
      </c>
      <c r="H126" s="10" t="str">
        <f t="shared" si="10"/>
        <v/>
      </c>
      <c r="I126" s="10" t="str">
        <f t="shared" si="11"/>
        <v/>
      </c>
    </row>
    <row r="127" spans="6:9">
      <c r="F127" s="10" t="str">
        <f t="shared" si="8"/>
        <v/>
      </c>
      <c r="G127" s="10" t="str">
        <f t="shared" si="9"/>
        <v/>
      </c>
      <c r="H127" s="10" t="str">
        <f t="shared" si="10"/>
        <v/>
      </c>
      <c r="I127" s="10" t="str">
        <f t="shared" si="11"/>
        <v/>
      </c>
    </row>
    <row r="128" spans="6:9">
      <c r="F128" s="10" t="str">
        <f t="shared" si="8"/>
        <v/>
      </c>
      <c r="G128" s="10" t="str">
        <f t="shared" si="9"/>
        <v/>
      </c>
      <c r="H128" s="10" t="str">
        <f t="shared" si="10"/>
        <v/>
      </c>
      <c r="I128" s="10" t="str">
        <f t="shared" si="11"/>
        <v/>
      </c>
    </row>
    <row r="129" spans="6:9">
      <c r="F129" s="10" t="str">
        <f t="shared" si="8"/>
        <v/>
      </c>
      <c r="G129" s="10" t="str">
        <f t="shared" si="9"/>
        <v/>
      </c>
      <c r="H129" s="10" t="str">
        <f t="shared" si="10"/>
        <v/>
      </c>
      <c r="I129" s="10" t="str">
        <f t="shared" si="11"/>
        <v/>
      </c>
    </row>
    <row r="130" spans="6:9">
      <c r="F130" s="10" t="str">
        <f t="shared" si="8"/>
        <v/>
      </c>
      <c r="G130" s="10" t="str">
        <f t="shared" si="9"/>
        <v/>
      </c>
      <c r="H130" s="10" t="str">
        <f t="shared" si="10"/>
        <v/>
      </c>
      <c r="I130" s="10" t="str">
        <f t="shared" si="11"/>
        <v/>
      </c>
    </row>
    <row r="131" spans="6:9">
      <c r="F131" s="10" t="str">
        <f t="shared" si="8"/>
        <v/>
      </c>
      <c r="G131" s="10" t="str">
        <f t="shared" si="9"/>
        <v/>
      </c>
      <c r="H131" s="10" t="str">
        <f t="shared" si="10"/>
        <v/>
      </c>
      <c r="I131" s="10" t="str">
        <f t="shared" si="11"/>
        <v/>
      </c>
    </row>
    <row r="132" spans="6:9">
      <c r="F132" s="10" t="str">
        <f t="shared" si="8"/>
        <v/>
      </c>
      <c r="G132" s="10" t="str">
        <f t="shared" si="9"/>
        <v/>
      </c>
      <c r="H132" s="10" t="str">
        <f t="shared" si="10"/>
        <v/>
      </c>
      <c r="I132" s="10" t="str">
        <f t="shared" si="11"/>
        <v/>
      </c>
    </row>
    <row r="133" spans="6:9">
      <c r="F133" s="10" t="str">
        <f t="shared" si="8"/>
        <v/>
      </c>
      <c r="G133" s="10" t="str">
        <f t="shared" si="9"/>
        <v/>
      </c>
      <c r="H133" s="10" t="str">
        <f t="shared" si="10"/>
        <v/>
      </c>
      <c r="I133" s="10" t="str">
        <f t="shared" si="11"/>
        <v/>
      </c>
    </row>
    <row r="134" spans="6:9">
      <c r="F134" s="10" t="str">
        <f t="shared" si="8"/>
        <v/>
      </c>
      <c r="G134" s="10" t="str">
        <f t="shared" si="9"/>
        <v/>
      </c>
      <c r="H134" s="10" t="str">
        <f t="shared" si="10"/>
        <v/>
      </c>
      <c r="I134" s="10" t="str">
        <f t="shared" si="11"/>
        <v/>
      </c>
    </row>
    <row r="135" spans="6:9">
      <c r="F135" s="10" t="str">
        <f t="shared" si="8"/>
        <v/>
      </c>
      <c r="G135" s="10" t="str">
        <f t="shared" si="9"/>
        <v/>
      </c>
      <c r="H135" s="10" t="str">
        <f t="shared" si="10"/>
        <v/>
      </c>
      <c r="I135" s="10" t="str">
        <f t="shared" si="11"/>
        <v/>
      </c>
    </row>
    <row r="136" spans="6:9">
      <c r="F136" s="10" t="str">
        <f t="shared" si="8"/>
        <v/>
      </c>
      <c r="G136" s="10" t="str">
        <f t="shared" si="9"/>
        <v/>
      </c>
      <c r="H136" s="10" t="str">
        <f t="shared" si="10"/>
        <v/>
      </c>
      <c r="I136" s="10" t="str">
        <f t="shared" si="11"/>
        <v/>
      </c>
    </row>
    <row r="137" spans="6:9">
      <c r="F137" s="10" t="str">
        <f t="shared" si="8"/>
        <v/>
      </c>
      <c r="G137" s="10" t="str">
        <f t="shared" si="9"/>
        <v/>
      </c>
      <c r="H137" s="10" t="str">
        <f t="shared" si="10"/>
        <v/>
      </c>
      <c r="I137" s="10" t="str">
        <f t="shared" si="11"/>
        <v/>
      </c>
    </row>
    <row r="138" spans="6:9">
      <c r="F138" s="10" t="str">
        <f t="shared" si="8"/>
        <v/>
      </c>
      <c r="G138" s="10" t="str">
        <f t="shared" si="9"/>
        <v/>
      </c>
      <c r="H138" s="10" t="str">
        <f t="shared" si="10"/>
        <v/>
      </c>
      <c r="I138" s="10" t="str">
        <f t="shared" si="11"/>
        <v/>
      </c>
    </row>
    <row r="139" spans="6:9">
      <c r="F139" s="10" t="str">
        <f t="shared" si="8"/>
        <v/>
      </c>
      <c r="G139" s="10" t="str">
        <f t="shared" si="9"/>
        <v/>
      </c>
      <c r="H139" s="10" t="str">
        <f t="shared" si="10"/>
        <v/>
      </c>
      <c r="I139" s="10" t="str">
        <f t="shared" si="11"/>
        <v/>
      </c>
    </row>
    <row r="140" spans="6:9">
      <c r="F140" s="10" t="str">
        <f t="shared" si="8"/>
        <v/>
      </c>
      <c r="G140" s="10" t="str">
        <f t="shared" si="9"/>
        <v/>
      </c>
      <c r="H140" s="10" t="str">
        <f t="shared" si="10"/>
        <v/>
      </c>
      <c r="I140" s="10" t="str">
        <f t="shared" si="11"/>
        <v/>
      </c>
    </row>
    <row r="141" spans="6:9">
      <c r="F141" s="10" t="str">
        <f t="shared" si="8"/>
        <v/>
      </c>
      <c r="G141" s="10" t="str">
        <f t="shared" si="9"/>
        <v/>
      </c>
      <c r="H141" s="10" t="str">
        <f t="shared" si="10"/>
        <v/>
      </c>
      <c r="I141" s="10" t="str">
        <f t="shared" si="11"/>
        <v/>
      </c>
    </row>
    <row r="142" spans="6:9">
      <c r="F142" s="10" t="str">
        <f t="shared" si="8"/>
        <v/>
      </c>
      <c r="G142" s="10" t="str">
        <f t="shared" si="9"/>
        <v/>
      </c>
      <c r="H142" s="10" t="str">
        <f t="shared" si="10"/>
        <v/>
      </c>
      <c r="I142" s="10" t="str">
        <f t="shared" si="11"/>
        <v/>
      </c>
    </row>
    <row r="143" spans="6:9">
      <c r="F143" s="10" t="str">
        <f t="shared" si="8"/>
        <v/>
      </c>
      <c r="G143" s="10" t="str">
        <f t="shared" si="9"/>
        <v/>
      </c>
      <c r="H143" s="10" t="str">
        <f t="shared" si="10"/>
        <v/>
      </c>
      <c r="I143" s="10" t="str">
        <f t="shared" si="11"/>
        <v/>
      </c>
    </row>
    <row r="144" spans="6:9">
      <c r="F144" s="10" t="str">
        <f t="shared" si="8"/>
        <v/>
      </c>
      <c r="G144" s="10" t="str">
        <f t="shared" si="9"/>
        <v/>
      </c>
      <c r="H144" s="10" t="str">
        <f t="shared" si="10"/>
        <v/>
      </c>
      <c r="I144" s="10" t="str">
        <f t="shared" si="11"/>
        <v/>
      </c>
    </row>
    <row r="145" spans="6:9">
      <c r="F145" s="10" t="str">
        <f t="shared" si="8"/>
        <v/>
      </c>
      <c r="G145" s="10" t="str">
        <f t="shared" si="9"/>
        <v/>
      </c>
      <c r="H145" s="10" t="str">
        <f t="shared" si="10"/>
        <v/>
      </c>
      <c r="I145" s="10" t="str">
        <f t="shared" si="11"/>
        <v/>
      </c>
    </row>
    <row r="146" spans="6:9">
      <c r="F146" s="10" t="str">
        <f t="shared" ref="F146:F209" si="12">IF(B146="","",C146-D146)</f>
        <v/>
      </c>
      <c r="G146" s="10" t="str">
        <f t="shared" ref="G146:G209" si="13">IF(B146="","",F146/D146*100)</f>
        <v/>
      </c>
      <c r="H146" s="10" t="str">
        <f t="shared" ref="H146:H209" si="14">IF(B146="","",D146*1.04)</f>
        <v/>
      </c>
      <c r="I146" s="10" t="str">
        <f t="shared" ref="I146:I209" si="15">IF(B146="","",C146-H146)</f>
        <v/>
      </c>
    </row>
    <row r="147" spans="6:9">
      <c r="F147" s="10" t="str">
        <f t="shared" si="12"/>
        <v/>
      </c>
      <c r="G147" s="10" t="str">
        <f t="shared" si="13"/>
        <v/>
      </c>
      <c r="H147" s="10" t="str">
        <f t="shared" si="14"/>
        <v/>
      </c>
      <c r="I147" s="10" t="str">
        <f t="shared" si="15"/>
        <v/>
      </c>
    </row>
    <row r="148" spans="6:9">
      <c r="F148" s="10" t="str">
        <f t="shared" si="12"/>
        <v/>
      </c>
      <c r="G148" s="10" t="str">
        <f t="shared" si="13"/>
        <v/>
      </c>
      <c r="H148" s="10" t="str">
        <f t="shared" si="14"/>
        <v/>
      </c>
      <c r="I148" s="10" t="str">
        <f t="shared" si="15"/>
        <v/>
      </c>
    </row>
    <row r="149" spans="6:9">
      <c r="F149" s="10" t="str">
        <f t="shared" si="12"/>
        <v/>
      </c>
      <c r="G149" s="10" t="str">
        <f t="shared" si="13"/>
        <v/>
      </c>
      <c r="H149" s="10" t="str">
        <f t="shared" si="14"/>
        <v/>
      </c>
      <c r="I149" s="10" t="str">
        <f t="shared" si="15"/>
        <v/>
      </c>
    </row>
    <row r="150" spans="6:9">
      <c r="F150" s="10" t="str">
        <f t="shared" si="12"/>
        <v/>
      </c>
      <c r="G150" s="10" t="str">
        <f t="shared" si="13"/>
        <v/>
      </c>
      <c r="H150" s="10" t="str">
        <f t="shared" si="14"/>
        <v/>
      </c>
      <c r="I150" s="10" t="str">
        <f t="shared" si="15"/>
        <v/>
      </c>
    </row>
    <row r="151" spans="6:9">
      <c r="F151" s="10" t="str">
        <f t="shared" si="12"/>
        <v/>
      </c>
      <c r="G151" s="10" t="str">
        <f t="shared" si="13"/>
        <v/>
      </c>
      <c r="H151" s="10" t="str">
        <f t="shared" si="14"/>
        <v/>
      </c>
      <c r="I151" s="10" t="str">
        <f t="shared" si="15"/>
        <v/>
      </c>
    </row>
    <row r="152" spans="6:9">
      <c r="F152" s="10" t="str">
        <f t="shared" si="12"/>
        <v/>
      </c>
      <c r="G152" s="10" t="str">
        <f t="shared" si="13"/>
        <v/>
      </c>
      <c r="H152" s="10" t="str">
        <f t="shared" si="14"/>
        <v/>
      </c>
      <c r="I152" s="10" t="str">
        <f t="shared" si="15"/>
        <v/>
      </c>
    </row>
    <row r="153" spans="6:9">
      <c r="F153" s="10" t="str">
        <f t="shared" si="12"/>
        <v/>
      </c>
      <c r="G153" s="10" t="str">
        <f t="shared" si="13"/>
        <v/>
      </c>
      <c r="H153" s="10" t="str">
        <f t="shared" si="14"/>
        <v/>
      </c>
      <c r="I153" s="10" t="str">
        <f t="shared" si="15"/>
        <v/>
      </c>
    </row>
    <row r="154" spans="6:9">
      <c r="F154" s="10" t="str">
        <f t="shared" si="12"/>
        <v/>
      </c>
      <c r="G154" s="10" t="str">
        <f t="shared" si="13"/>
        <v/>
      </c>
      <c r="H154" s="10" t="str">
        <f t="shared" si="14"/>
        <v/>
      </c>
      <c r="I154" s="10" t="str">
        <f t="shared" si="15"/>
        <v/>
      </c>
    </row>
    <row r="155" spans="6:9">
      <c r="F155" s="10" t="str">
        <f t="shared" si="12"/>
        <v/>
      </c>
      <c r="G155" s="10" t="str">
        <f t="shared" si="13"/>
        <v/>
      </c>
      <c r="H155" s="10" t="str">
        <f t="shared" si="14"/>
        <v/>
      </c>
      <c r="I155" s="10" t="str">
        <f t="shared" si="15"/>
        <v/>
      </c>
    </row>
    <row r="156" spans="6:9">
      <c r="F156" s="10" t="str">
        <f t="shared" si="12"/>
        <v/>
      </c>
      <c r="G156" s="10" t="str">
        <f t="shared" si="13"/>
        <v/>
      </c>
      <c r="H156" s="10" t="str">
        <f t="shared" si="14"/>
        <v/>
      </c>
      <c r="I156" s="10" t="str">
        <f t="shared" si="15"/>
        <v/>
      </c>
    </row>
    <row r="157" spans="6:9">
      <c r="F157" s="10" t="str">
        <f t="shared" si="12"/>
        <v/>
      </c>
      <c r="G157" s="10" t="str">
        <f t="shared" si="13"/>
        <v/>
      </c>
      <c r="H157" s="10" t="str">
        <f t="shared" si="14"/>
        <v/>
      </c>
      <c r="I157" s="10" t="str">
        <f t="shared" si="15"/>
        <v/>
      </c>
    </row>
    <row r="158" spans="6:9">
      <c r="F158" s="10" t="str">
        <f t="shared" si="12"/>
        <v/>
      </c>
      <c r="G158" s="10" t="str">
        <f t="shared" si="13"/>
        <v/>
      </c>
      <c r="H158" s="10" t="str">
        <f t="shared" si="14"/>
        <v/>
      </c>
      <c r="I158" s="10" t="str">
        <f t="shared" si="15"/>
        <v/>
      </c>
    </row>
    <row r="159" spans="6:9">
      <c r="F159" s="10" t="str">
        <f t="shared" si="12"/>
        <v/>
      </c>
      <c r="G159" s="10" t="str">
        <f t="shared" si="13"/>
        <v/>
      </c>
      <c r="H159" s="10" t="str">
        <f t="shared" si="14"/>
        <v/>
      </c>
      <c r="I159" s="10" t="str">
        <f t="shared" si="15"/>
        <v/>
      </c>
    </row>
    <row r="160" spans="6:9">
      <c r="F160" s="10" t="str">
        <f t="shared" si="12"/>
        <v/>
      </c>
      <c r="G160" s="10" t="str">
        <f t="shared" si="13"/>
        <v/>
      </c>
      <c r="H160" s="10" t="str">
        <f t="shared" si="14"/>
        <v/>
      </c>
      <c r="I160" s="10" t="str">
        <f t="shared" si="15"/>
        <v/>
      </c>
    </row>
    <row r="161" spans="6:9">
      <c r="F161" s="10" t="str">
        <f t="shared" si="12"/>
        <v/>
      </c>
      <c r="G161" s="10" t="str">
        <f t="shared" si="13"/>
        <v/>
      </c>
      <c r="H161" s="10" t="str">
        <f t="shared" si="14"/>
        <v/>
      </c>
      <c r="I161" s="10" t="str">
        <f t="shared" si="15"/>
        <v/>
      </c>
    </row>
    <row r="162" spans="6:9">
      <c r="F162" s="10" t="str">
        <f t="shared" si="12"/>
        <v/>
      </c>
      <c r="G162" s="10" t="str">
        <f t="shared" si="13"/>
        <v/>
      </c>
      <c r="H162" s="10" t="str">
        <f t="shared" si="14"/>
        <v/>
      </c>
      <c r="I162" s="10" t="str">
        <f t="shared" si="15"/>
        <v/>
      </c>
    </row>
    <row r="163" spans="6:9">
      <c r="F163" s="10" t="str">
        <f t="shared" si="12"/>
        <v/>
      </c>
      <c r="G163" s="10" t="str">
        <f t="shared" si="13"/>
        <v/>
      </c>
      <c r="H163" s="10" t="str">
        <f t="shared" si="14"/>
        <v/>
      </c>
      <c r="I163" s="10" t="str">
        <f t="shared" si="15"/>
        <v/>
      </c>
    </row>
    <row r="164" spans="6:9">
      <c r="F164" s="10" t="str">
        <f t="shared" si="12"/>
        <v/>
      </c>
      <c r="G164" s="10" t="str">
        <f t="shared" si="13"/>
        <v/>
      </c>
      <c r="H164" s="10" t="str">
        <f t="shared" si="14"/>
        <v/>
      </c>
      <c r="I164" s="10" t="str">
        <f t="shared" si="15"/>
        <v/>
      </c>
    </row>
    <row r="165" spans="6:9">
      <c r="F165" s="10" t="str">
        <f t="shared" si="12"/>
        <v/>
      </c>
      <c r="G165" s="10" t="str">
        <f t="shared" si="13"/>
        <v/>
      </c>
      <c r="H165" s="10" t="str">
        <f t="shared" si="14"/>
        <v/>
      </c>
      <c r="I165" s="10" t="str">
        <f t="shared" si="15"/>
        <v/>
      </c>
    </row>
    <row r="166" spans="6:9">
      <c r="F166" s="10" t="str">
        <f t="shared" si="12"/>
        <v/>
      </c>
      <c r="G166" s="10" t="str">
        <f t="shared" si="13"/>
        <v/>
      </c>
      <c r="H166" s="10" t="str">
        <f t="shared" si="14"/>
        <v/>
      </c>
      <c r="I166" s="10" t="str">
        <f t="shared" si="15"/>
        <v/>
      </c>
    </row>
    <row r="167" spans="6:9">
      <c r="F167" s="10" t="str">
        <f t="shared" si="12"/>
        <v/>
      </c>
      <c r="G167" s="10" t="str">
        <f t="shared" si="13"/>
        <v/>
      </c>
      <c r="H167" s="10" t="str">
        <f t="shared" si="14"/>
        <v/>
      </c>
      <c r="I167" s="10" t="str">
        <f t="shared" si="15"/>
        <v/>
      </c>
    </row>
    <row r="168" spans="6:9">
      <c r="F168" s="10" t="str">
        <f t="shared" si="12"/>
        <v/>
      </c>
      <c r="G168" s="10" t="str">
        <f t="shared" si="13"/>
        <v/>
      </c>
      <c r="H168" s="10" t="str">
        <f t="shared" si="14"/>
        <v/>
      </c>
      <c r="I168" s="10" t="str">
        <f t="shared" si="15"/>
        <v/>
      </c>
    </row>
    <row r="169" spans="6:9">
      <c r="F169" s="10" t="str">
        <f t="shared" si="12"/>
        <v/>
      </c>
      <c r="G169" s="10" t="str">
        <f t="shared" si="13"/>
        <v/>
      </c>
      <c r="H169" s="10" t="str">
        <f t="shared" si="14"/>
        <v/>
      </c>
      <c r="I169" s="10" t="str">
        <f t="shared" si="15"/>
        <v/>
      </c>
    </row>
    <row r="170" spans="6:9">
      <c r="F170" s="10" t="str">
        <f t="shared" si="12"/>
        <v/>
      </c>
      <c r="G170" s="10" t="str">
        <f t="shared" si="13"/>
        <v/>
      </c>
      <c r="H170" s="10" t="str">
        <f t="shared" si="14"/>
        <v/>
      </c>
      <c r="I170" s="10" t="str">
        <f t="shared" si="15"/>
        <v/>
      </c>
    </row>
    <row r="171" spans="6:9">
      <c r="F171" s="10" t="str">
        <f t="shared" si="12"/>
        <v/>
      </c>
      <c r="G171" s="10" t="str">
        <f t="shared" si="13"/>
        <v/>
      </c>
      <c r="H171" s="10" t="str">
        <f t="shared" si="14"/>
        <v/>
      </c>
      <c r="I171" s="10" t="str">
        <f t="shared" si="15"/>
        <v/>
      </c>
    </row>
    <row r="172" spans="6:9">
      <c r="F172" s="10" t="str">
        <f t="shared" si="12"/>
        <v/>
      </c>
      <c r="G172" s="10" t="str">
        <f t="shared" si="13"/>
        <v/>
      </c>
      <c r="H172" s="10" t="str">
        <f t="shared" si="14"/>
        <v/>
      </c>
      <c r="I172" s="10" t="str">
        <f t="shared" si="15"/>
        <v/>
      </c>
    </row>
    <row r="173" spans="6:9">
      <c r="F173" s="10" t="str">
        <f t="shared" si="12"/>
        <v/>
      </c>
      <c r="G173" s="10" t="str">
        <f t="shared" si="13"/>
        <v/>
      </c>
      <c r="H173" s="10" t="str">
        <f t="shared" si="14"/>
        <v/>
      </c>
      <c r="I173" s="10" t="str">
        <f t="shared" si="15"/>
        <v/>
      </c>
    </row>
    <row r="174" spans="6:9">
      <c r="F174" s="10" t="str">
        <f t="shared" si="12"/>
        <v/>
      </c>
      <c r="G174" s="10" t="str">
        <f t="shared" si="13"/>
        <v/>
      </c>
      <c r="H174" s="10" t="str">
        <f t="shared" si="14"/>
        <v/>
      </c>
      <c r="I174" s="10" t="str">
        <f t="shared" si="15"/>
        <v/>
      </c>
    </row>
    <row r="175" spans="6:9">
      <c r="F175" s="10" t="str">
        <f t="shared" si="12"/>
        <v/>
      </c>
      <c r="G175" s="10" t="str">
        <f t="shared" si="13"/>
        <v/>
      </c>
      <c r="H175" s="10" t="str">
        <f t="shared" si="14"/>
        <v/>
      </c>
      <c r="I175" s="10" t="str">
        <f t="shared" si="15"/>
        <v/>
      </c>
    </row>
    <row r="176" spans="6:9">
      <c r="F176" s="10" t="str">
        <f t="shared" si="12"/>
        <v/>
      </c>
      <c r="G176" s="10" t="str">
        <f t="shared" si="13"/>
        <v/>
      </c>
      <c r="H176" s="10" t="str">
        <f t="shared" si="14"/>
        <v/>
      </c>
      <c r="I176" s="10" t="str">
        <f t="shared" si="15"/>
        <v/>
      </c>
    </row>
    <row r="177" spans="6:9">
      <c r="F177" s="10" t="str">
        <f t="shared" si="12"/>
        <v/>
      </c>
      <c r="G177" s="10" t="str">
        <f t="shared" si="13"/>
        <v/>
      </c>
      <c r="H177" s="10" t="str">
        <f t="shared" si="14"/>
        <v/>
      </c>
      <c r="I177" s="10" t="str">
        <f t="shared" si="15"/>
        <v/>
      </c>
    </row>
    <row r="178" spans="6:9">
      <c r="F178" s="10" t="str">
        <f t="shared" si="12"/>
        <v/>
      </c>
      <c r="G178" s="10" t="str">
        <f t="shared" si="13"/>
        <v/>
      </c>
      <c r="H178" s="10" t="str">
        <f t="shared" si="14"/>
        <v/>
      </c>
      <c r="I178" s="10" t="str">
        <f t="shared" si="15"/>
        <v/>
      </c>
    </row>
    <row r="179" spans="6:9">
      <c r="F179" s="10" t="str">
        <f t="shared" si="12"/>
        <v/>
      </c>
      <c r="G179" s="10" t="str">
        <f t="shared" si="13"/>
        <v/>
      </c>
      <c r="H179" s="10" t="str">
        <f t="shared" si="14"/>
        <v/>
      </c>
      <c r="I179" s="10" t="str">
        <f t="shared" si="15"/>
        <v/>
      </c>
    </row>
    <row r="180" spans="6:9">
      <c r="F180" s="10" t="str">
        <f t="shared" si="12"/>
        <v/>
      </c>
      <c r="G180" s="10" t="str">
        <f t="shared" si="13"/>
        <v/>
      </c>
      <c r="H180" s="10" t="str">
        <f t="shared" si="14"/>
        <v/>
      </c>
      <c r="I180" s="10" t="str">
        <f t="shared" si="15"/>
        <v/>
      </c>
    </row>
    <row r="181" spans="6:9">
      <c r="F181" s="10" t="str">
        <f t="shared" si="12"/>
        <v/>
      </c>
      <c r="G181" s="10" t="str">
        <f t="shared" si="13"/>
        <v/>
      </c>
      <c r="H181" s="10" t="str">
        <f t="shared" si="14"/>
        <v/>
      </c>
      <c r="I181" s="10" t="str">
        <f t="shared" si="15"/>
        <v/>
      </c>
    </row>
    <row r="182" spans="6:9">
      <c r="F182" s="10" t="str">
        <f t="shared" si="12"/>
        <v/>
      </c>
      <c r="G182" s="10" t="str">
        <f t="shared" si="13"/>
        <v/>
      </c>
      <c r="H182" s="10" t="str">
        <f t="shared" si="14"/>
        <v/>
      </c>
      <c r="I182" s="10" t="str">
        <f t="shared" si="15"/>
        <v/>
      </c>
    </row>
    <row r="183" spans="6:9">
      <c r="F183" s="10" t="str">
        <f t="shared" si="12"/>
        <v/>
      </c>
      <c r="G183" s="10" t="str">
        <f t="shared" si="13"/>
        <v/>
      </c>
      <c r="H183" s="10" t="str">
        <f t="shared" si="14"/>
        <v/>
      </c>
      <c r="I183" s="10" t="str">
        <f t="shared" si="15"/>
        <v/>
      </c>
    </row>
    <row r="184" spans="6:9">
      <c r="F184" s="10" t="str">
        <f t="shared" si="12"/>
        <v/>
      </c>
      <c r="G184" s="10" t="str">
        <f t="shared" si="13"/>
        <v/>
      </c>
      <c r="H184" s="10" t="str">
        <f t="shared" si="14"/>
        <v/>
      </c>
      <c r="I184" s="10" t="str">
        <f t="shared" si="15"/>
        <v/>
      </c>
    </row>
    <row r="185" spans="6:9">
      <c r="F185" s="10" t="str">
        <f t="shared" si="12"/>
        <v/>
      </c>
      <c r="G185" s="10" t="str">
        <f t="shared" si="13"/>
        <v/>
      </c>
      <c r="H185" s="10" t="str">
        <f t="shared" si="14"/>
        <v/>
      </c>
      <c r="I185" s="10" t="str">
        <f t="shared" si="15"/>
        <v/>
      </c>
    </row>
    <row r="186" spans="6:9">
      <c r="F186" s="10" t="str">
        <f t="shared" si="12"/>
        <v/>
      </c>
      <c r="G186" s="10" t="str">
        <f t="shared" si="13"/>
        <v/>
      </c>
      <c r="H186" s="10" t="str">
        <f t="shared" si="14"/>
        <v/>
      </c>
      <c r="I186" s="10" t="str">
        <f t="shared" si="15"/>
        <v/>
      </c>
    </row>
    <row r="187" spans="6:9">
      <c r="F187" s="10" t="str">
        <f t="shared" si="12"/>
        <v/>
      </c>
      <c r="G187" s="10" t="str">
        <f t="shared" si="13"/>
        <v/>
      </c>
      <c r="H187" s="10" t="str">
        <f t="shared" si="14"/>
        <v/>
      </c>
      <c r="I187" s="10" t="str">
        <f t="shared" si="15"/>
        <v/>
      </c>
    </row>
    <row r="188" spans="6:9">
      <c r="F188" s="10" t="str">
        <f t="shared" si="12"/>
        <v/>
      </c>
      <c r="G188" s="10" t="str">
        <f t="shared" si="13"/>
        <v/>
      </c>
      <c r="H188" s="10" t="str">
        <f t="shared" si="14"/>
        <v/>
      </c>
      <c r="I188" s="10" t="str">
        <f t="shared" si="15"/>
        <v/>
      </c>
    </row>
    <row r="189" spans="6:9">
      <c r="F189" s="10" t="str">
        <f t="shared" si="12"/>
        <v/>
      </c>
      <c r="G189" s="10" t="str">
        <f t="shared" si="13"/>
        <v/>
      </c>
      <c r="H189" s="10" t="str">
        <f t="shared" si="14"/>
        <v/>
      </c>
      <c r="I189" s="10" t="str">
        <f t="shared" si="15"/>
        <v/>
      </c>
    </row>
    <row r="190" spans="6:9">
      <c r="F190" s="10" t="str">
        <f t="shared" si="12"/>
        <v/>
      </c>
      <c r="G190" s="10" t="str">
        <f t="shared" si="13"/>
        <v/>
      </c>
      <c r="H190" s="10" t="str">
        <f t="shared" si="14"/>
        <v/>
      </c>
      <c r="I190" s="10" t="str">
        <f t="shared" si="15"/>
        <v/>
      </c>
    </row>
    <row r="191" spans="6:9">
      <c r="F191" s="10" t="str">
        <f t="shared" si="12"/>
        <v/>
      </c>
      <c r="G191" s="10" t="str">
        <f t="shared" si="13"/>
        <v/>
      </c>
      <c r="H191" s="10" t="str">
        <f t="shared" si="14"/>
        <v/>
      </c>
      <c r="I191" s="10" t="str">
        <f t="shared" si="15"/>
        <v/>
      </c>
    </row>
    <row r="192" spans="6:9">
      <c r="F192" s="10" t="str">
        <f t="shared" si="12"/>
        <v/>
      </c>
      <c r="G192" s="10" t="str">
        <f t="shared" si="13"/>
        <v/>
      </c>
      <c r="H192" s="10" t="str">
        <f t="shared" si="14"/>
        <v/>
      </c>
      <c r="I192" s="10" t="str">
        <f t="shared" si="15"/>
        <v/>
      </c>
    </row>
    <row r="193" spans="6:9">
      <c r="F193" s="10" t="str">
        <f t="shared" si="12"/>
        <v/>
      </c>
      <c r="G193" s="10" t="str">
        <f t="shared" si="13"/>
        <v/>
      </c>
      <c r="H193" s="10" t="str">
        <f t="shared" si="14"/>
        <v/>
      </c>
      <c r="I193" s="10" t="str">
        <f t="shared" si="15"/>
        <v/>
      </c>
    </row>
    <row r="194" spans="6:9">
      <c r="F194" s="10" t="str">
        <f t="shared" si="12"/>
        <v/>
      </c>
      <c r="G194" s="10" t="str">
        <f t="shared" si="13"/>
        <v/>
      </c>
      <c r="H194" s="10" t="str">
        <f t="shared" si="14"/>
        <v/>
      </c>
      <c r="I194" s="10" t="str">
        <f t="shared" si="15"/>
        <v/>
      </c>
    </row>
    <row r="195" spans="6:9">
      <c r="F195" s="10" t="str">
        <f t="shared" si="12"/>
        <v/>
      </c>
      <c r="G195" s="10" t="str">
        <f t="shared" si="13"/>
        <v/>
      </c>
      <c r="H195" s="10" t="str">
        <f t="shared" si="14"/>
        <v/>
      </c>
      <c r="I195" s="10" t="str">
        <f t="shared" si="15"/>
        <v/>
      </c>
    </row>
    <row r="196" spans="6:9">
      <c r="F196" s="10" t="str">
        <f t="shared" si="12"/>
        <v/>
      </c>
      <c r="G196" s="10" t="str">
        <f t="shared" si="13"/>
        <v/>
      </c>
      <c r="H196" s="10" t="str">
        <f t="shared" si="14"/>
        <v/>
      </c>
      <c r="I196" s="10" t="str">
        <f t="shared" si="15"/>
        <v/>
      </c>
    </row>
    <row r="197" spans="6:9">
      <c r="F197" s="10" t="str">
        <f t="shared" si="12"/>
        <v/>
      </c>
      <c r="G197" s="10" t="str">
        <f t="shared" si="13"/>
        <v/>
      </c>
      <c r="H197" s="10" t="str">
        <f t="shared" si="14"/>
        <v/>
      </c>
      <c r="I197" s="10" t="str">
        <f t="shared" si="15"/>
        <v/>
      </c>
    </row>
    <row r="198" spans="6:9">
      <c r="F198" s="10" t="str">
        <f t="shared" si="12"/>
        <v/>
      </c>
      <c r="G198" s="10" t="str">
        <f t="shared" si="13"/>
        <v/>
      </c>
      <c r="H198" s="10" t="str">
        <f t="shared" si="14"/>
        <v/>
      </c>
      <c r="I198" s="10" t="str">
        <f t="shared" si="15"/>
        <v/>
      </c>
    </row>
    <row r="199" spans="6:9">
      <c r="F199" s="10" t="str">
        <f t="shared" si="12"/>
        <v/>
      </c>
      <c r="G199" s="10" t="str">
        <f t="shared" si="13"/>
        <v/>
      </c>
      <c r="H199" s="10" t="str">
        <f t="shared" si="14"/>
        <v/>
      </c>
      <c r="I199" s="10" t="str">
        <f t="shared" si="15"/>
        <v/>
      </c>
    </row>
    <row r="200" spans="6:9">
      <c r="F200" s="10" t="str">
        <f t="shared" si="12"/>
        <v/>
      </c>
      <c r="G200" s="10" t="str">
        <f t="shared" si="13"/>
        <v/>
      </c>
      <c r="H200" s="10" t="str">
        <f t="shared" si="14"/>
        <v/>
      </c>
      <c r="I200" s="10" t="str">
        <f t="shared" si="15"/>
        <v/>
      </c>
    </row>
    <row r="201" spans="6:9">
      <c r="F201" s="10" t="str">
        <f t="shared" si="12"/>
        <v/>
      </c>
      <c r="G201" s="10" t="str">
        <f t="shared" si="13"/>
        <v/>
      </c>
      <c r="H201" s="10" t="str">
        <f t="shared" si="14"/>
        <v/>
      </c>
      <c r="I201" s="10" t="str">
        <f t="shared" si="15"/>
        <v/>
      </c>
    </row>
    <row r="202" spans="6:9">
      <c r="F202" s="10" t="str">
        <f t="shared" si="12"/>
        <v/>
      </c>
      <c r="G202" s="10" t="str">
        <f t="shared" si="13"/>
        <v/>
      </c>
      <c r="H202" s="10" t="str">
        <f t="shared" si="14"/>
        <v/>
      </c>
      <c r="I202" s="10" t="str">
        <f t="shared" si="15"/>
        <v/>
      </c>
    </row>
    <row r="203" spans="6:9">
      <c r="F203" s="10" t="str">
        <f t="shared" si="12"/>
        <v/>
      </c>
      <c r="G203" s="10" t="str">
        <f t="shared" si="13"/>
        <v/>
      </c>
      <c r="H203" s="10" t="str">
        <f t="shared" si="14"/>
        <v/>
      </c>
      <c r="I203" s="10" t="str">
        <f t="shared" si="15"/>
        <v/>
      </c>
    </row>
    <row r="204" spans="6:9">
      <c r="F204" s="10" t="str">
        <f t="shared" si="12"/>
        <v/>
      </c>
      <c r="G204" s="10" t="str">
        <f t="shared" si="13"/>
        <v/>
      </c>
      <c r="H204" s="10" t="str">
        <f t="shared" si="14"/>
        <v/>
      </c>
      <c r="I204" s="10" t="str">
        <f t="shared" si="15"/>
        <v/>
      </c>
    </row>
    <row r="205" spans="6:9">
      <c r="F205" s="10" t="str">
        <f t="shared" si="12"/>
        <v/>
      </c>
      <c r="G205" s="10" t="str">
        <f t="shared" si="13"/>
        <v/>
      </c>
      <c r="H205" s="10" t="str">
        <f t="shared" si="14"/>
        <v/>
      </c>
      <c r="I205" s="10" t="str">
        <f t="shared" si="15"/>
        <v/>
      </c>
    </row>
    <row r="206" spans="6:9">
      <c r="F206" s="10" t="str">
        <f t="shared" si="12"/>
        <v/>
      </c>
      <c r="G206" s="10" t="str">
        <f t="shared" si="13"/>
        <v/>
      </c>
      <c r="H206" s="10" t="str">
        <f t="shared" si="14"/>
        <v/>
      </c>
      <c r="I206" s="10" t="str">
        <f t="shared" si="15"/>
        <v/>
      </c>
    </row>
    <row r="207" spans="6:9">
      <c r="F207" s="10" t="str">
        <f t="shared" si="12"/>
        <v/>
      </c>
      <c r="G207" s="10" t="str">
        <f t="shared" si="13"/>
        <v/>
      </c>
      <c r="H207" s="10" t="str">
        <f t="shared" si="14"/>
        <v/>
      </c>
      <c r="I207" s="10" t="str">
        <f t="shared" si="15"/>
        <v/>
      </c>
    </row>
    <row r="208" spans="6:9">
      <c r="F208" s="10" t="str">
        <f t="shared" si="12"/>
        <v/>
      </c>
      <c r="G208" s="10" t="str">
        <f t="shared" si="13"/>
        <v/>
      </c>
      <c r="H208" s="10" t="str">
        <f t="shared" si="14"/>
        <v/>
      </c>
      <c r="I208" s="10" t="str">
        <f t="shared" si="15"/>
        <v/>
      </c>
    </row>
    <row r="209" spans="6:9">
      <c r="F209" s="10" t="str">
        <f t="shared" si="12"/>
        <v/>
      </c>
      <c r="G209" s="10" t="str">
        <f t="shared" si="13"/>
        <v/>
      </c>
      <c r="H209" s="10" t="str">
        <f t="shared" si="14"/>
        <v/>
      </c>
      <c r="I209" s="10" t="str">
        <f t="shared" si="15"/>
        <v/>
      </c>
    </row>
    <row r="210" spans="6:9">
      <c r="F210" s="10" t="str">
        <f t="shared" ref="F210:F220" si="16">IF(B210="","",C210-D210)</f>
        <v/>
      </c>
      <c r="G210" s="10" t="str">
        <f t="shared" ref="G210:G220" si="17">IF(B210="","",F210/D210*100)</f>
        <v/>
      </c>
      <c r="H210" s="10" t="str">
        <f t="shared" ref="H210:H220" si="18">IF(B210="","",D210*1.04)</f>
        <v/>
      </c>
      <c r="I210" s="10" t="str">
        <f t="shared" ref="I210:I220" si="19">IF(B210="","",C210-H210)</f>
        <v/>
      </c>
    </row>
    <row r="211" spans="6:9">
      <c r="F211" s="10" t="str">
        <f t="shared" si="16"/>
        <v/>
      </c>
      <c r="G211" s="10" t="str">
        <f t="shared" si="17"/>
        <v/>
      </c>
      <c r="H211" s="10" t="str">
        <f t="shared" si="18"/>
        <v/>
      </c>
      <c r="I211" s="10" t="str">
        <f t="shared" si="19"/>
        <v/>
      </c>
    </row>
    <row r="212" spans="6:9">
      <c r="F212" s="10" t="str">
        <f t="shared" si="16"/>
        <v/>
      </c>
      <c r="G212" s="10" t="str">
        <f t="shared" si="17"/>
        <v/>
      </c>
      <c r="H212" s="10" t="str">
        <f t="shared" si="18"/>
        <v/>
      </c>
      <c r="I212" s="10" t="str">
        <f t="shared" si="19"/>
        <v/>
      </c>
    </row>
    <row r="213" spans="6:9">
      <c r="F213" s="10" t="str">
        <f t="shared" si="16"/>
        <v/>
      </c>
      <c r="G213" s="10" t="str">
        <f t="shared" si="17"/>
        <v/>
      </c>
      <c r="H213" s="10" t="str">
        <f t="shared" si="18"/>
        <v/>
      </c>
      <c r="I213" s="10" t="str">
        <f t="shared" si="19"/>
        <v/>
      </c>
    </row>
    <row r="214" spans="6:9">
      <c r="F214" s="10" t="str">
        <f t="shared" si="16"/>
        <v/>
      </c>
      <c r="G214" s="10" t="str">
        <f t="shared" si="17"/>
        <v/>
      </c>
      <c r="H214" s="10" t="str">
        <f t="shared" si="18"/>
        <v/>
      </c>
      <c r="I214" s="10" t="str">
        <f t="shared" si="19"/>
        <v/>
      </c>
    </row>
    <row r="215" spans="6:9">
      <c r="F215" s="10" t="str">
        <f t="shared" si="16"/>
        <v/>
      </c>
      <c r="G215" s="10" t="str">
        <f t="shared" si="17"/>
        <v/>
      </c>
      <c r="H215" s="10" t="str">
        <f t="shared" si="18"/>
        <v/>
      </c>
      <c r="I215" s="10" t="str">
        <f t="shared" si="19"/>
        <v/>
      </c>
    </row>
    <row r="216" spans="6:9">
      <c r="F216" s="10" t="str">
        <f t="shared" si="16"/>
        <v/>
      </c>
      <c r="G216" s="10" t="str">
        <f t="shared" si="17"/>
        <v/>
      </c>
      <c r="H216" s="10" t="str">
        <f t="shared" si="18"/>
        <v/>
      </c>
      <c r="I216" s="10" t="str">
        <f t="shared" si="19"/>
        <v/>
      </c>
    </row>
    <row r="217" spans="6:9">
      <c r="F217" s="10" t="str">
        <f t="shared" si="16"/>
        <v/>
      </c>
      <c r="G217" s="10" t="str">
        <f t="shared" si="17"/>
        <v/>
      </c>
      <c r="H217" s="10" t="str">
        <f t="shared" si="18"/>
        <v/>
      </c>
      <c r="I217" s="10" t="str">
        <f t="shared" si="19"/>
        <v/>
      </c>
    </row>
    <row r="218" spans="6:9">
      <c r="F218" s="10" t="str">
        <f t="shared" si="16"/>
        <v/>
      </c>
      <c r="G218" s="10" t="str">
        <f t="shared" si="17"/>
        <v/>
      </c>
      <c r="H218" s="10" t="str">
        <f t="shared" si="18"/>
        <v/>
      </c>
      <c r="I218" s="10" t="str">
        <f t="shared" si="19"/>
        <v/>
      </c>
    </row>
    <row r="219" spans="6:9">
      <c r="F219" s="10" t="str">
        <f t="shared" si="16"/>
        <v/>
      </c>
      <c r="G219" s="10" t="str">
        <f t="shared" si="17"/>
        <v/>
      </c>
      <c r="H219" s="10" t="str">
        <f t="shared" si="18"/>
        <v/>
      </c>
      <c r="I219" s="10" t="str">
        <f t="shared" si="19"/>
        <v/>
      </c>
    </row>
    <row r="220" spans="6:9">
      <c r="F220" s="10" t="str">
        <f t="shared" si="16"/>
        <v/>
      </c>
      <c r="G220" s="10" t="str">
        <f t="shared" si="17"/>
        <v/>
      </c>
      <c r="H220" s="10" t="str">
        <f t="shared" si="18"/>
        <v/>
      </c>
      <c r="I220" s="10" t="str">
        <f t="shared" si="19"/>
        <v/>
      </c>
    </row>
  </sheetData>
  <sortState ref="3:10">
    <sortCondition ref="A3:A10" descending="1"/>
  </sortState>
  <hyperlinks>
    <hyperlink ref="B7" r:id="rId1" display="25799444" tooltip="https://fiori.jioconnect.com/sap/bc/ui5_ui5/sap/zehys_dashboard/javascript:void(0);"/>
    <hyperlink ref="B6" r:id="rId1" display="25809813" tooltip="https://fiori.jioconnect.com/sap/bc/ui5_ui5/sap/zehys_dashboard/javascript:void(0);"/>
    <hyperlink ref="B5" r:id="rId1" display="25686982" tooltip="https://fiori.jioconnect.com/sap/bc/ui5_ui5/sap/zehys_dashboard/javascript:void(0);"/>
    <hyperlink ref="B4" r:id="rId1" display="25698317" tooltip="https://fiori.jioconnect.com/sap/bc/ui5_ui5/sap/zehys_dashboard/javascript:void(0);"/>
    <hyperlink ref="B3" r:id="rId1" display="25700791" tooltip="https://fiori.jioconnect.com/sap/bc/ui5_ui5/sap/zehys_dashboard/javascript:void(0);"/>
    <hyperlink ref="B9" r:id="rId1" display="25837282" tooltip="https://fiori.jioconnect.com/sap/bc/ui5_ui5/sap/zehys_dashboard/javascript:void(0);"/>
    <hyperlink ref="B8" r:id="rId1" display="25833013" tooltip="https://fiori.jioconnect.com/sap/bc/ui5_ui5/sap/zehys_dashboard/javascript:void(0);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2020-12-15T19:43:00Z</dcterms:created>
  <dcterms:modified xsi:type="dcterms:W3CDTF">2021-02-14T14:14:06Z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</Properties>
</file>