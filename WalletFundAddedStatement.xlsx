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<sst xmlns="http://schemas.openxmlformats.org/spreadsheetml/2006/main" count="10" uniqueCount="10">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</sst>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dd\-mmm\-yy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2" borderId="4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4" fillId="18" borderId="6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2" fillId="18" borderId="5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32" activePane="bottomLeft" state="frozen"/>
      <selection/>
      <selection pane="bottomLeft" activeCell="C52" sqref="C52:D52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5201812</v>
      </c>
      <c r="D2" s="7">
        <f>SUM(D3:D220)</f>
        <v>4926439.4</v>
      </c>
      <c r="E2" s="8">
        <f>C2-D2</f>
        <v>275372.6</v>
      </c>
      <c r="F2" s="9">
        <f>SUM(F3:F220)</f>
        <v>275372.6</v>
      </c>
      <c r="G2" s="10">
        <f>C2-H2</f>
        <v>78315.0239999993</v>
      </c>
      <c r="H2" s="7">
        <f>SUM(H3:H220)</f>
        <v>5123496.976</v>
      </c>
      <c r="I2" s="10">
        <f>SUM(I3:I220)</f>
        <v>78315.0239999999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1:9">
      <c r="A44" s="1">
        <v>42</v>
      </c>
      <c r="B44" s="2">
        <v>26418265</v>
      </c>
      <c r="C44" s="11">
        <v>28509</v>
      </c>
      <c r="D44" s="11">
        <v>26999.8</v>
      </c>
      <c r="E44" s="12">
        <v>44267</v>
      </c>
      <c r="F44" s="11">
        <f t="shared" si="4"/>
        <v>1509.2</v>
      </c>
      <c r="G44" s="11">
        <f t="shared" si="5"/>
        <v>5.58967103460026</v>
      </c>
      <c r="H44" s="11">
        <f t="shared" si="6"/>
        <v>28079.792</v>
      </c>
      <c r="I44" s="11">
        <f t="shared" si="7"/>
        <v>429.207999999999</v>
      </c>
    </row>
    <row r="45" spans="1:9">
      <c r="A45" s="1">
        <v>43</v>
      </c>
      <c r="B45" s="2">
        <v>26499129</v>
      </c>
      <c r="C45" s="11">
        <v>47515</v>
      </c>
      <c r="D45" s="11">
        <v>45000</v>
      </c>
      <c r="E45" s="12">
        <v>44268</v>
      </c>
      <c r="F45" s="11">
        <f t="shared" si="4"/>
        <v>2515</v>
      </c>
      <c r="G45" s="11">
        <f t="shared" si="5"/>
        <v>5.58888888888889</v>
      </c>
      <c r="H45" s="11">
        <f t="shared" si="6"/>
        <v>46800</v>
      </c>
      <c r="I45" s="11">
        <f t="shared" si="7"/>
        <v>715</v>
      </c>
    </row>
    <row r="46" spans="1:9">
      <c r="A46" s="1">
        <v>44</v>
      </c>
      <c r="B46" s="2">
        <v>26480730</v>
      </c>
      <c r="C46" s="11">
        <v>42236</v>
      </c>
      <c r="D46" s="11">
        <v>40000.11</v>
      </c>
      <c r="E46" s="12">
        <v>44269</v>
      </c>
      <c r="F46" s="11">
        <f t="shared" si="4"/>
        <v>2235.89</v>
      </c>
      <c r="G46" s="11">
        <f t="shared" si="5"/>
        <v>5.58970962829852</v>
      </c>
      <c r="H46" s="11">
        <f t="shared" si="6"/>
        <v>41600.1144</v>
      </c>
      <c r="I46" s="11">
        <f t="shared" si="7"/>
        <v>635.885600000001</v>
      </c>
    </row>
    <row r="47" spans="1:9">
      <c r="A47" s="1">
        <v>45</v>
      </c>
      <c r="B47" s="2">
        <v>26494758</v>
      </c>
      <c r="C47" s="11">
        <v>31677</v>
      </c>
      <c r="D47" s="11">
        <v>30000.33</v>
      </c>
      <c r="E47" s="12">
        <v>44270</v>
      </c>
      <c r="F47" s="11">
        <f t="shared" si="4"/>
        <v>1676.67</v>
      </c>
      <c r="G47" s="11">
        <f t="shared" si="5"/>
        <v>5.58883852277624</v>
      </c>
      <c r="H47" s="11">
        <f t="shared" si="6"/>
        <v>31200.3432</v>
      </c>
      <c r="I47" s="11">
        <f t="shared" si="7"/>
        <v>476.656799999997</v>
      </c>
    </row>
    <row r="48" spans="1:9">
      <c r="A48" s="1">
        <v>46</v>
      </c>
      <c r="B48" s="2">
        <v>26520745</v>
      </c>
      <c r="C48" s="11">
        <v>52795</v>
      </c>
      <c r="D48" s="11">
        <v>49999.89</v>
      </c>
      <c r="E48" s="12">
        <v>44271</v>
      </c>
      <c r="F48" s="11">
        <f t="shared" si="4"/>
        <v>2795.11</v>
      </c>
      <c r="G48" s="11">
        <f t="shared" si="5"/>
        <v>5.59023229851106</v>
      </c>
      <c r="H48" s="11">
        <f t="shared" si="6"/>
        <v>51999.8856</v>
      </c>
      <c r="I48" s="11">
        <f t="shared" si="7"/>
        <v>795.114399999999</v>
      </c>
    </row>
    <row r="49" spans="1:9">
      <c r="A49" s="1">
        <v>47</v>
      </c>
      <c r="B49" s="2">
        <v>26520801</v>
      </c>
      <c r="C49" s="11">
        <v>23464</v>
      </c>
      <c r="D49" s="11">
        <v>22221.39</v>
      </c>
      <c r="E49" s="12">
        <v>44271</v>
      </c>
      <c r="F49" s="11">
        <f t="shared" si="4"/>
        <v>1242.61</v>
      </c>
      <c r="G49" s="11">
        <f t="shared" si="5"/>
        <v>5.59195441869298</v>
      </c>
      <c r="H49" s="11">
        <f t="shared" si="6"/>
        <v>23110.2456</v>
      </c>
      <c r="I49" s="11">
        <f t="shared" si="7"/>
        <v>353.754400000002</v>
      </c>
    </row>
    <row r="50" spans="1:9">
      <c r="A50" s="1">
        <v>48</v>
      </c>
      <c r="B50" s="2">
        <v>25824156</v>
      </c>
      <c r="C50" s="11">
        <v>26397</v>
      </c>
      <c r="D50" s="11">
        <v>24999.44</v>
      </c>
      <c r="E50" s="12">
        <v>44273</v>
      </c>
      <c r="F50" s="11">
        <f t="shared" si="4"/>
        <v>1397.56</v>
      </c>
      <c r="G50" s="11">
        <f t="shared" si="5"/>
        <v>5.59036522418103</v>
      </c>
      <c r="H50" s="11">
        <f t="shared" si="6"/>
        <v>25999.4176</v>
      </c>
      <c r="I50" s="11">
        <f t="shared" si="7"/>
        <v>397.582399999999</v>
      </c>
    </row>
    <row r="51" spans="1:9">
      <c r="A51" s="1">
        <v>49</v>
      </c>
      <c r="B51" s="2">
        <v>26557418</v>
      </c>
      <c r="C51" s="11">
        <v>126708</v>
      </c>
      <c r="D51" s="11">
        <v>120000.34</v>
      </c>
      <c r="E51" s="12">
        <v>44275</v>
      </c>
      <c r="F51" s="11">
        <f t="shared" si="4"/>
        <v>6707.66</v>
      </c>
      <c r="G51" s="11">
        <f t="shared" si="5"/>
        <v>5.58970082918099</v>
      </c>
      <c r="H51" s="11">
        <f t="shared" si="6"/>
        <v>124800.3536</v>
      </c>
      <c r="I51" s="11">
        <f t="shared" si="7"/>
        <v>1907.6464</v>
      </c>
    </row>
    <row r="52" spans="1:9">
      <c r="A52" s="1">
        <v>50</v>
      </c>
      <c r="B52" s="2">
        <v>26565040</v>
      </c>
      <c r="C52" s="11">
        <v>22174</v>
      </c>
      <c r="D52" s="11">
        <v>20999.73</v>
      </c>
      <c r="E52" s="12">
        <v>44277</v>
      </c>
      <c r="F52" s="11">
        <f t="shared" si="4"/>
        <v>1174.27</v>
      </c>
      <c r="G52" s="11">
        <f t="shared" si="5"/>
        <v>5.5918337997679</v>
      </c>
      <c r="H52" s="11">
        <f t="shared" si="6"/>
        <v>21839.7192</v>
      </c>
      <c r="I52" s="11">
        <f t="shared" si="7"/>
        <v>334.2808</v>
      </c>
    </row>
    <row r="53" spans="6:9">
      <c r="F53" s="11" t="str">
        <f t="shared" si="4"/>
        <v/>
      </c>
      <c r="G53" s="11" t="str">
        <f t="shared" si="5"/>
        <v/>
      </c>
      <c r="H53" s="11" t="str">
        <f t="shared" si="6"/>
        <v/>
      </c>
      <c r="I53" s="11" t="str">
        <f t="shared" si="7"/>
        <v/>
      </c>
    </row>
    <row r="54" spans="6:9">
      <c r="F54" s="11" t="str">
        <f t="shared" si="4"/>
        <v/>
      </c>
      <c r="G54" s="11" t="str">
        <f t="shared" si="5"/>
        <v/>
      </c>
      <c r="H54" s="11" t="str">
        <f t="shared" si="6"/>
        <v/>
      </c>
      <c r="I54" s="11" t="str">
        <f t="shared" si="7"/>
        <v/>
      </c>
    </row>
    <row r="55" spans="6:9">
      <c r="F55" s="11" t="str">
        <f t="shared" si="4"/>
        <v/>
      </c>
      <c r="G55" s="11" t="str">
        <f t="shared" si="5"/>
        <v/>
      </c>
      <c r="H55" s="11" t="str">
        <f t="shared" si="6"/>
        <v/>
      </c>
      <c r="I55" s="11" t="str">
        <f t="shared" si="7"/>
        <v/>
      </c>
    </row>
    <row r="56" spans="6:9">
      <c r="F56" s="11" t="str">
        <f t="shared" si="4"/>
        <v/>
      </c>
      <c r="G56" s="11" t="str">
        <f t="shared" si="5"/>
        <v/>
      </c>
      <c r="H56" s="11" t="str">
        <f t="shared" si="6"/>
        <v/>
      </c>
      <c r="I56" s="11" t="str">
        <f t="shared" si="7"/>
        <v/>
      </c>
    </row>
    <row r="57" spans="6:9">
      <c r="F57" s="11" t="str">
        <f t="shared" si="4"/>
        <v/>
      </c>
      <c r="G57" s="11" t="str">
        <f t="shared" si="5"/>
        <v/>
      </c>
      <c r="H57" s="11" t="str">
        <f t="shared" si="6"/>
        <v/>
      </c>
      <c r="I57" s="11" t="str">
        <f t="shared" si="7"/>
        <v/>
      </c>
    </row>
    <row r="58" spans="6:9">
      <c r="F58" s="11" t="str">
        <f t="shared" si="4"/>
        <v/>
      </c>
      <c r="G58" s="11" t="str">
        <f t="shared" si="5"/>
        <v/>
      </c>
      <c r="H58" s="11" t="str">
        <f t="shared" si="6"/>
        <v/>
      </c>
      <c r="I58" s="11" t="str">
        <f t="shared" si="7"/>
        <v/>
      </c>
    </row>
    <row r="59" spans="6:9">
      <c r="F59" s="11" t="str">
        <f t="shared" si="4"/>
        <v/>
      </c>
      <c r="G59" s="11" t="str">
        <f t="shared" si="5"/>
        <v/>
      </c>
      <c r="H59" s="11" t="str">
        <f t="shared" si="6"/>
        <v/>
      </c>
      <c r="I59" s="11" t="str">
        <f t="shared" si="7"/>
        <v/>
      </c>
    </row>
    <row r="60" spans="6:9">
      <c r="F60" s="11" t="str">
        <f t="shared" si="4"/>
        <v/>
      </c>
      <c r="G60" s="11" t="str">
        <f t="shared" si="5"/>
        <v/>
      </c>
      <c r="H60" s="11" t="str">
        <f t="shared" si="6"/>
        <v/>
      </c>
      <c r="I60" s="11" t="str">
        <f t="shared" si="7"/>
        <v/>
      </c>
    </row>
    <row r="61" spans="6:9">
      <c r="F61" s="11" t="str">
        <f t="shared" si="4"/>
        <v/>
      </c>
      <c r="G61" s="11" t="str">
        <f t="shared" si="5"/>
        <v/>
      </c>
      <c r="H61" s="11" t="str">
        <f t="shared" si="6"/>
        <v/>
      </c>
      <c r="I61" s="11" t="str">
        <f t="shared" si="7"/>
        <v/>
      </c>
    </row>
    <row r="62" spans="6:9">
      <c r="F62" s="11" t="str">
        <f t="shared" si="4"/>
        <v/>
      </c>
      <c r="G62" s="11" t="str">
        <f t="shared" si="5"/>
        <v/>
      </c>
      <c r="H62" s="11" t="str">
        <f t="shared" si="6"/>
        <v/>
      </c>
      <c r="I62" s="11" t="str">
        <f t="shared" si="7"/>
        <v/>
      </c>
    </row>
    <row r="63" spans="6:9">
      <c r="F63" s="11" t="str">
        <f t="shared" si="4"/>
        <v/>
      </c>
      <c r="G63" s="11" t="str">
        <f t="shared" si="5"/>
        <v/>
      </c>
      <c r="H63" s="11" t="str">
        <f t="shared" si="6"/>
        <v/>
      </c>
      <c r="I63" s="11" t="str">
        <f t="shared" si="7"/>
        <v/>
      </c>
    </row>
    <row r="64" spans="6:9">
      <c r="F64" s="11" t="str">
        <f t="shared" si="4"/>
        <v/>
      </c>
      <c r="G64" s="11" t="str">
        <f t="shared" si="5"/>
        <v/>
      </c>
      <c r="H64" s="11" t="str">
        <f t="shared" si="6"/>
        <v/>
      </c>
      <c r="I64" s="11" t="str">
        <f t="shared" si="7"/>
        <v/>
      </c>
    </row>
    <row r="65" spans="6:9">
      <c r="F65" s="11" t="str">
        <f t="shared" si="4"/>
        <v/>
      </c>
      <c r="G65" s="11" t="str">
        <f t="shared" si="5"/>
        <v/>
      </c>
      <c r="H65" s="11" t="str">
        <f t="shared" si="6"/>
        <v/>
      </c>
      <c r="I65" s="11" t="str">
        <f t="shared" si="7"/>
        <v/>
      </c>
    </row>
    <row r="66" spans="6:9">
      <c r="F66" s="11" t="str">
        <f t="shared" si="4"/>
        <v/>
      </c>
      <c r="G66" s="11" t="str">
        <f t="shared" si="5"/>
        <v/>
      </c>
      <c r="H66" s="11" t="str">
        <f t="shared" si="6"/>
        <v/>
      </c>
      <c r="I66" s="11" t="str">
        <f t="shared" si="7"/>
        <v/>
      </c>
    </row>
    <row r="67" spans="6:9"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6:9"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6:9"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6:9"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6:9"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6:9"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6:9"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6:9"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6:9"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6:9"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6:9"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6:9"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6:9"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6:9"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6:9"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6:9">
      <c r="F82" s="11" t="str">
        <f t="shared" ref="F82:F145" si="8">IF(B82="","",C82-D82)</f>
        <v/>
      </c>
      <c r="G82" s="11" t="str">
        <f t="shared" ref="G82:G145" si="9">IF(B82="","",F82/D82*100)</f>
        <v/>
      </c>
      <c r="H82" s="11" t="str">
        <f t="shared" ref="H82:H145" si="10">IF(B82="","",D82*1.04)</f>
        <v/>
      </c>
      <c r="I82" s="11" t="str">
        <f t="shared" ref="I82:I145" si="11">IF(B82="","",C82-H82)</f>
        <v/>
      </c>
    </row>
    <row r="83" spans="6:9">
      <c r="F83" s="11" t="str">
        <f t="shared" si="8"/>
        <v/>
      </c>
      <c r="G83" s="11" t="str">
        <f t="shared" si="9"/>
        <v/>
      </c>
      <c r="H83" s="11" t="str">
        <f t="shared" si="10"/>
        <v/>
      </c>
      <c r="I83" s="11" t="str">
        <f t="shared" si="11"/>
        <v/>
      </c>
    </row>
    <row r="84" spans="6:9"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6:9"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ref="F146:F209" si="12">IF(B146="","",C146-D146)</f>
        <v/>
      </c>
      <c r="G146" s="11" t="str">
        <f t="shared" ref="G146:G209" si="13">IF(B146="","",F146/D146*100)</f>
        <v/>
      </c>
      <c r="H146" s="11" t="str">
        <f t="shared" ref="H146:H209" si="14">IF(B146="","",D146*1.04)</f>
        <v/>
      </c>
      <c r="I146" s="11" t="str">
        <f t="shared" ref="I146:I209" si="15">IF(B146="","",C146-H146)</f>
        <v/>
      </c>
    </row>
    <row r="147" spans="6:9">
      <c r="F147" s="11" t="str">
        <f t="shared" si="12"/>
        <v/>
      </c>
      <c r="G147" s="11" t="str">
        <f t="shared" si="13"/>
        <v/>
      </c>
      <c r="H147" s="11" t="str">
        <f t="shared" si="14"/>
        <v/>
      </c>
      <c r="I147" s="11" t="str">
        <f t="shared" si="15"/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ref="F210:F220" si="16">IF(B210="","",C210-D210)</f>
        <v/>
      </c>
      <c r="G210" s="11" t="str">
        <f t="shared" ref="G210:G220" si="17">IF(B210="","",F210/D210*100)</f>
        <v/>
      </c>
      <c r="H210" s="11" t="str">
        <f t="shared" ref="H210:H220" si="18">IF(B210="","",D210*1.04)</f>
        <v/>
      </c>
      <c r="I210" s="11" t="str">
        <f t="shared" ref="I210:I220" si="19">IF(B210="","",C210-H210)</f>
        <v/>
      </c>
    </row>
    <row r="211" spans="6:9">
      <c r="F211" s="11" t="str">
        <f t="shared" si="16"/>
        <v/>
      </c>
      <c r="G211" s="11" t="str">
        <f t="shared" si="17"/>
        <v/>
      </c>
      <c r="H211" s="11" t="str">
        <f t="shared" si="18"/>
        <v/>
      </c>
      <c r="I211" s="11" t="str">
        <f t="shared" si="19"/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2021-03-22T16:35:30Z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</Properties>
</file>