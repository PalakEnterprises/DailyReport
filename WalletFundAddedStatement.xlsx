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<sst xmlns="http://schemas.openxmlformats.org/spreadsheetml/2006/main" count="10" uniqueCount="10">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</sst>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6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7" borderId="1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8" fillId="20" borderId="7" applyNumberForma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0" fillId="20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57" activePane="bottomLeft" state="frozen"/>
      <selection/>
      <selection pane="bottomLeft" activeCell="J65" sqref="J65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6244111</v>
      </c>
      <c r="D2" s="7">
        <f>SUM(D3:D221)</f>
        <v>5914038.58</v>
      </c>
      <c r="E2" s="8">
        <f>C2-D2</f>
        <v>330072.420000001</v>
      </c>
      <c r="F2" s="9">
        <f>SUM(F3:F221)</f>
        <v>330072.42</v>
      </c>
      <c r="G2" s="10">
        <f>C2-H2</f>
        <v>93510.8767999979</v>
      </c>
      <c r="H2" s="7">
        <f>SUM(H3:H221)</f>
        <v>6150600.1232</v>
      </c>
      <c r="I2" s="10">
        <f>SUM(I3:I221)</f>
        <v>93510.8767999999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/>
      <c r="C74" s="11"/>
      <c r="D74" s="11"/>
      <c r="E74" s="12"/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3:9">
      <c r="C75" s="11"/>
      <c r="D75" s="11"/>
      <c r="E75" s="12"/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3:9">
      <c r="C76" s="11"/>
      <c r="D76" s="11"/>
      <c r="E76" s="12"/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3:9">
      <c r="C77" s="11"/>
      <c r="D77" s="11"/>
      <c r="E77" s="12"/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3:9">
      <c r="C78" s="11"/>
      <c r="D78" s="11"/>
      <c r="E78" s="12"/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3:9">
      <c r="C79" s="11"/>
      <c r="D79" s="11"/>
      <c r="E79" s="12"/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3:9">
      <c r="C80" s="11"/>
      <c r="D80" s="11"/>
      <c r="E80" s="12"/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3:9">
      <c r="C81" s="11"/>
      <c r="D81" s="11"/>
      <c r="E81" s="12"/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3:9">
      <c r="C82" s="11"/>
      <c r="D82" s="11"/>
      <c r="E82" s="12"/>
      <c r="F82" s="11" t="str">
        <f>IF(B82="","",C82-D82)</f>
        <v/>
      </c>
      <c r="G82" s="11" t="str">
        <f>IF(B82="","",F82/D82*100)</f>
        <v/>
      </c>
      <c r="H82" s="11" t="str">
        <f>IF(B82="","",D82*1.04)</f>
        <v/>
      </c>
      <c r="I82" s="11" t="str">
        <f>IF(B82="","",C82-H82)</f>
        <v/>
      </c>
    </row>
    <row r="83" spans="3:9">
      <c r="C83" s="11"/>
      <c r="D83" s="11"/>
      <c r="E83" s="12"/>
      <c r="F83" s="11" t="str">
        <f t="shared" ref="F83:F146" si="8">IF(B83="","",C83-D83)</f>
        <v/>
      </c>
      <c r="G83" s="11" t="str">
        <f t="shared" ref="G83:G146" si="9">IF(B83="","",F83/D83*100)</f>
        <v/>
      </c>
      <c r="H83" s="11" t="str">
        <f t="shared" ref="H83:H146" si="10">IF(B83="","",D83*1.04)</f>
        <v/>
      </c>
      <c r="I83" s="11" t="str">
        <f t="shared" ref="I83:I146" si="11">IF(B83="","",C83-H83)</f>
        <v/>
      </c>
    </row>
    <row r="84" spans="3:9">
      <c r="C84" s="11"/>
      <c r="D84" s="11"/>
      <c r="E84" s="12"/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3:9">
      <c r="C85" s="11"/>
      <c r="D85" s="11"/>
      <c r="E85" s="12"/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3:9">
      <c r="C86" s="11"/>
      <c r="D86" s="11"/>
      <c r="E86" s="12"/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3:9">
      <c r="C87" s="11"/>
      <c r="D87" s="11"/>
      <c r="E87" s="12"/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3:9">
      <c r="C88" s="11"/>
      <c r="D88" s="11"/>
      <c r="E88" s="12"/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3:9">
      <c r="C89" s="11"/>
      <c r="D89" s="11"/>
      <c r="E89" s="12"/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3:9">
      <c r="C90" s="11"/>
      <c r="D90" s="11"/>
      <c r="E90" s="12"/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2021-04-14T04:30:02Z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