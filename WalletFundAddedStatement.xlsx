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<sst xmlns="http://schemas.openxmlformats.org/spreadsheetml/2006/main" count="10" uniqueCount="10">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</sst>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178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8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16" borderId="8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8" borderId="3" applyNumberFormat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0" fillId="11" borderId="5" applyNumberForma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9" fillId="11" borderId="3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13" activePane="bottomLeft" state="frozen"/>
      <selection/>
      <selection pane="bottomLeft" activeCell="I32" sqref="I32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3947807</v>
      </c>
      <c r="D2" s="7">
        <f>SUM(D3:D220)</f>
        <v>3738820.03</v>
      </c>
      <c r="E2" s="8">
        <f>C2-D2</f>
        <v>208986.969999999</v>
      </c>
      <c r="F2" s="9">
        <f>SUM(F3:F220)</f>
        <v>208986.97</v>
      </c>
      <c r="G2" s="10">
        <f>C2-H2</f>
        <v>59434.1687999996</v>
      </c>
      <c r="H2" s="7">
        <f>SUM(H3:H220)</f>
        <v>3888372.8312</v>
      </c>
      <c r="I2" s="10">
        <f>SUM(I3:I220)</f>
        <v>59434.1687999999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6:9">
      <c r="F33" s="11" t="str">
        <f t="shared" si="4"/>
        <v/>
      </c>
      <c r="G33" s="11" t="str">
        <f t="shared" si="5"/>
        <v/>
      </c>
      <c r="H33" s="11" t="str">
        <f t="shared" si="6"/>
        <v/>
      </c>
      <c r="I33" s="11" t="str">
        <f t="shared" si="7"/>
        <v/>
      </c>
    </row>
    <row r="34" spans="6:9">
      <c r="F34" s="11" t="str">
        <f t="shared" si="4"/>
        <v/>
      </c>
      <c r="G34" s="11" t="str">
        <f t="shared" si="5"/>
        <v/>
      </c>
      <c r="H34" s="11" t="str">
        <f t="shared" si="6"/>
        <v/>
      </c>
      <c r="I34" s="11" t="str">
        <f t="shared" si="7"/>
        <v/>
      </c>
    </row>
    <row r="35" spans="6:9">
      <c r="F35" s="11" t="str">
        <f t="shared" si="4"/>
        <v/>
      </c>
      <c r="G35" s="11" t="str">
        <f t="shared" si="5"/>
        <v/>
      </c>
      <c r="H35" s="11" t="str">
        <f t="shared" si="6"/>
        <v/>
      </c>
      <c r="I35" s="11" t="str">
        <f t="shared" si="7"/>
        <v/>
      </c>
    </row>
    <row r="36" spans="6:9">
      <c r="F36" s="11" t="str">
        <f t="shared" si="4"/>
        <v/>
      </c>
      <c r="G36" s="11" t="str">
        <f t="shared" si="5"/>
        <v/>
      </c>
      <c r="H36" s="11" t="str">
        <f t="shared" si="6"/>
        <v/>
      </c>
      <c r="I36" s="11" t="str">
        <f t="shared" si="7"/>
        <v/>
      </c>
    </row>
    <row r="37" spans="6:9">
      <c r="F37" s="11" t="str">
        <f t="shared" si="4"/>
        <v/>
      </c>
      <c r="G37" s="11" t="str">
        <f t="shared" si="5"/>
        <v/>
      </c>
      <c r="H37" s="11" t="str">
        <f t="shared" si="6"/>
        <v/>
      </c>
      <c r="I37" s="11" t="str">
        <f t="shared" si="7"/>
        <v/>
      </c>
    </row>
    <row r="38" spans="6:9">
      <c r="F38" s="11" t="str">
        <f t="shared" si="4"/>
        <v/>
      </c>
      <c r="G38" s="11" t="str">
        <f t="shared" si="5"/>
        <v/>
      </c>
      <c r="H38" s="11" t="str">
        <f t="shared" si="6"/>
        <v/>
      </c>
      <c r="I38" s="11" t="str">
        <f t="shared" si="7"/>
        <v/>
      </c>
    </row>
    <row r="39" spans="6:9">
      <c r="F39" s="11" t="str">
        <f t="shared" si="4"/>
        <v/>
      </c>
      <c r="G39" s="11" t="str">
        <f t="shared" si="5"/>
        <v/>
      </c>
      <c r="H39" s="11" t="str">
        <f t="shared" si="6"/>
        <v/>
      </c>
      <c r="I39" s="11" t="str">
        <f t="shared" si="7"/>
        <v/>
      </c>
    </row>
    <row r="40" spans="6:9">
      <c r="F40" s="11" t="str">
        <f t="shared" si="4"/>
        <v/>
      </c>
      <c r="G40" s="11" t="str">
        <f t="shared" si="5"/>
        <v/>
      </c>
      <c r="H40" s="11" t="str">
        <f t="shared" si="6"/>
        <v/>
      </c>
      <c r="I40" s="11" t="str">
        <f t="shared" si="7"/>
        <v/>
      </c>
    </row>
    <row r="41" spans="6:9">
      <c r="F41" s="11" t="str">
        <f t="shared" si="4"/>
        <v/>
      </c>
      <c r="G41" s="11" t="str">
        <f t="shared" si="5"/>
        <v/>
      </c>
      <c r="H41" s="11" t="str">
        <f t="shared" si="6"/>
        <v/>
      </c>
      <c r="I41" s="11" t="str">
        <f t="shared" si="7"/>
        <v/>
      </c>
    </row>
    <row r="42" spans="6:9">
      <c r="F42" s="11" t="str">
        <f t="shared" si="4"/>
        <v/>
      </c>
      <c r="G42" s="11" t="str">
        <f t="shared" si="5"/>
        <v/>
      </c>
      <c r="H42" s="11" t="str">
        <f t="shared" si="6"/>
        <v/>
      </c>
      <c r="I42" s="11" t="str">
        <f t="shared" si="7"/>
        <v/>
      </c>
    </row>
    <row r="43" spans="6:9">
      <c r="F43" s="11" t="str">
        <f t="shared" si="4"/>
        <v/>
      </c>
      <c r="G43" s="11" t="str">
        <f t="shared" si="5"/>
        <v/>
      </c>
      <c r="H43" s="11" t="str">
        <f t="shared" si="6"/>
        <v/>
      </c>
      <c r="I43" s="11" t="str">
        <f t="shared" si="7"/>
        <v/>
      </c>
    </row>
    <row r="44" spans="6:9">
      <c r="F44" s="11" t="str">
        <f t="shared" si="4"/>
        <v/>
      </c>
      <c r="G44" s="11" t="str">
        <f t="shared" si="5"/>
        <v/>
      </c>
      <c r="H44" s="11" t="str">
        <f t="shared" si="6"/>
        <v/>
      </c>
      <c r="I44" s="11" t="str">
        <f t="shared" si="7"/>
        <v/>
      </c>
    </row>
    <row r="45" spans="6:9">
      <c r="F45" s="11" t="str">
        <f t="shared" si="4"/>
        <v/>
      </c>
      <c r="G45" s="11" t="str">
        <f t="shared" si="5"/>
        <v/>
      </c>
      <c r="H45" s="11" t="str">
        <f t="shared" si="6"/>
        <v/>
      </c>
      <c r="I45" s="11" t="str">
        <f t="shared" si="7"/>
        <v/>
      </c>
    </row>
    <row r="46" spans="6:9">
      <c r="F46" s="11" t="str">
        <f t="shared" si="4"/>
        <v/>
      </c>
      <c r="G46" s="11" t="str">
        <f t="shared" si="5"/>
        <v/>
      </c>
      <c r="H46" s="11" t="str">
        <f t="shared" si="6"/>
        <v/>
      </c>
      <c r="I46" s="11" t="str">
        <f t="shared" si="7"/>
        <v/>
      </c>
    </row>
    <row r="47" spans="6:9">
      <c r="F47" s="11" t="str">
        <f t="shared" si="4"/>
        <v/>
      </c>
      <c r="G47" s="11" t="str">
        <f t="shared" si="5"/>
        <v/>
      </c>
      <c r="H47" s="11" t="str">
        <f t="shared" si="6"/>
        <v/>
      </c>
      <c r="I47" s="11" t="str">
        <f t="shared" si="7"/>
        <v/>
      </c>
    </row>
    <row r="48" spans="6:9">
      <c r="F48" s="11" t="str">
        <f t="shared" si="4"/>
        <v/>
      </c>
      <c r="G48" s="11" t="str">
        <f t="shared" si="5"/>
        <v/>
      </c>
      <c r="H48" s="11" t="str">
        <f t="shared" si="6"/>
        <v/>
      </c>
      <c r="I48" s="11" t="str">
        <f t="shared" si="7"/>
        <v/>
      </c>
    </row>
    <row r="49" spans="6:9">
      <c r="F49" s="11" t="str">
        <f t="shared" si="4"/>
        <v/>
      </c>
      <c r="G49" s="11" t="str">
        <f t="shared" si="5"/>
        <v/>
      </c>
      <c r="H49" s="11" t="str">
        <f t="shared" si="6"/>
        <v/>
      </c>
      <c r="I49" s="11" t="str">
        <f t="shared" si="7"/>
        <v/>
      </c>
    </row>
    <row r="50" spans="6:9">
      <c r="F50" s="11" t="str">
        <f t="shared" si="4"/>
        <v/>
      </c>
      <c r="G50" s="11" t="str">
        <f t="shared" si="5"/>
        <v/>
      </c>
      <c r="H50" s="11" t="str">
        <f t="shared" si="6"/>
        <v/>
      </c>
      <c r="I50" s="11" t="str">
        <f t="shared" si="7"/>
        <v/>
      </c>
    </row>
    <row r="51" spans="6:9">
      <c r="F51" s="11" t="str">
        <f t="shared" si="4"/>
        <v/>
      </c>
      <c r="G51" s="11" t="str">
        <f t="shared" si="5"/>
        <v/>
      </c>
      <c r="H51" s="11" t="str">
        <f t="shared" si="6"/>
        <v/>
      </c>
      <c r="I51" s="11" t="str">
        <f t="shared" si="7"/>
        <v/>
      </c>
    </row>
    <row r="52" spans="6:9">
      <c r="F52" s="11" t="str">
        <f t="shared" si="4"/>
        <v/>
      </c>
      <c r="G52" s="11" t="str">
        <f t="shared" si="5"/>
        <v/>
      </c>
      <c r="H52" s="11" t="str">
        <f t="shared" si="6"/>
        <v/>
      </c>
      <c r="I52" s="11" t="str">
        <f t="shared" si="7"/>
        <v/>
      </c>
    </row>
    <row r="53" spans="6:9">
      <c r="F53" s="11" t="str">
        <f t="shared" si="4"/>
        <v/>
      </c>
      <c r="G53" s="11" t="str">
        <f t="shared" si="5"/>
        <v/>
      </c>
      <c r="H53" s="11" t="str">
        <f t="shared" si="6"/>
        <v/>
      </c>
      <c r="I53" s="11" t="str">
        <f t="shared" si="7"/>
        <v/>
      </c>
    </row>
    <row r="54" spans="6:9">
      <c r="F54" s="11" t="str">
        <f t="shared" si="4"/>
        <v/>
      </c>
      <c r="G54" s="11" t="str">
        <f t="shared" si="5"/>
        <v/>
      </c>
      <c r="H54" s="11" t="str">
        <f t="shared" si="6"/>
        <v/>
      </c>
      <c r="I54" s="11" t="str">
        <f t="shared" si="7"/>
        <v/>
      </c>
    </row>
    <row r="55" spans="6:9">
      <c r="F55" s="11" t="str">
        <f t="shared" si="4"/>
        <v/>
      </c>
      <c r="G55" s="11" t="str">
        <f t="shared" si="5"/>
        <v/>
      </c>
      <c r="H55" s="11" t="str">
        <f t="shared" si="6"/>
        <v/>
      </c>
      <c r="I55" s="11" t="str">
        <f t="shared" si="7"/>
        <v/>
      </c>
    </row>
    <row r="56" spans="6:9">
      <c r="F56" s="11" t="str">
        <f t="shared" si="4"/>
        <v/>
      </c>
      <c r="G56" s="11" t="str">
        <f t="shared" si="5"/>
        <v/>
      </c>
      <c r="H56" s="11" t="str">
        <f t="shared" si="6"/>
        <v/>
      </c>
      <c r="I56" s="11" t="str">
        <f t="shared" si="7"/>
        <v/>
      </c>
    </row>
    <row r="57" spans="6:9">
      <c r="F57" s="11" t="str">
        <f t="shared" si="4"/>
        <v/>
      </c>
      <c r="G57" s="11" t="str">
        <f t="shared" si="5"/>
        <v/>
      </c>
      <c r="H57" s="11" t="str">
        <f t="shared" si="6"/>
        <v/>
      </c>
      <c r="I57" s="11" t="str">
        <f t="shared" si="7"/>
        <v/>
      </c>
    </row>
    <row r="58" spans="6:9"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6:9"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6:9"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6:9"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6:9"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6:9"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6:9"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6:9"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6:9"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6:9"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6:9"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6:9"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6:9"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6:9"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6:9"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6:9"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6:9"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6:9"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6:9"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6:9"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6:9"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6:9"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6:9"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6:9"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6:9">
      <c r="F82" s="11" t="str">
        <f t="shared" ref="F82:F145" si="8">IF(B82="","",C82-D82)</f>
        <v/>
      </c>
      <c r="G82" s="11" t="str">
        <f t="shared" ref="G82:G145" si="9">IF(B82="","",F82/D82*100)</f>
        <v/>
      </c>
      <c r="H82" s="11" t="str">
        <f t="shared" ref="H82:H145" si="10">IF(B82="","",D82*1.04)</f>
        <v/>
      </c>
      <c r="I82" s="11" t="str">
        <f t="shared" ref="I82:I145" si="11">IF(B82="","",C82-H82)</f>
        <v/>
      </c>
    </row>
    <row r="83" spans="6:9">
      <c r="F83" s="11" t="str">
        <f t="shared" si="8"/>
        <v/>
      </c>
      <c r="G83" s="11" t="str">
        <f t="shared" si="9"/>
        <v/>
      </c>
      <c r="H83" s="11" t="str">
        <f t="shared" si="10"/>
        <v/>
      </c>
      <c r="I83" s="11" t="str">
        <f t="shared" si="11"/>
        <v/>
      </c>
    </row>
    <row r="84" spans="6:9"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6:9"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ref="F146:F209" si="12">IF(B146="","",C146-D146)</f>
        <v/>
      </c>
      <c r="G146" s="11" t="str">
        <f t="shared" ref="G146:G209" si="13">IF(B146="","",F146/D146*100)</f>
        <v/>
      </c>
      <c r="H146" s="11" t="str">
        <f t="shared" ref="H146:H209" si="14">IF(B146="","",D146*1.04)</f>
        <v/>
      </c>
      <c r="I146" s="11" t="str">
        <f t="shared" ref="I146:I209" si="15">IF(B146="","",C146-H146)</f>
        <v/>
      </c>
    </row>
    <row r="147" spans="6:9">
      <c r="F147" s="11" t="str">
        <f t="shared" si="12"/>
        <v/>
      </c>
      <c r="G147" s="11" t="str">
        <f t="shared" si="13"/>
        <v/>
      </c>
      <c r="H147" s="11" t="str">
        <f t="shared" si="14"/>
        <v/>
      </c>
      <c r="I147" s="11" t="str">
        <f t="shared" si="15"/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ref="F210:F220" si="16">IF(B210="","",C210-D210)</f>
        <v/>
      </c>
      <c r="G210" s="11" t="str">
        <f t="shared" ref="G210:G220" si="17">IF(B210="","",F210/D210*100)</f>
        <v/>
      </c>
      <c r="H210" s="11" t="str">
        <f t="shared" ref="H210:H220" si="18">IF(B210="","",D210*1.04)</f>
        <v/>
      </c>
      <c r="I210" s="11" t="str">
        <f t="shared" ref="I210:I220" si="19">IF(B210="","",C210-H210)</f>
        <v/>
      </c>
    </row>
    <row r="211" spans="6:9">
      <c r="F211" s="11" t="str">
        <f t="shared" si="16"/>
        <v/>
      </c>
      <c r="G211" s="11" t="str">
        <f t="shared" si="17"/>
        <v/>
      </c>
      <c r="H211" s="11" t="str">
        <f t="shared" si="18"/>
        <v/>
      </c>
      <c r="I211" s="11" t="str">
        <f t="shared" si="19"/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2021-02-15T13:20:55Z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