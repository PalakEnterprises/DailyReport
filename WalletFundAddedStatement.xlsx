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<sst xmlns="http://schemas.openxmlformats.org/spreadsheetml/2006/main" count="10" uniqueCount="10">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</sst>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[$-409]dd\-mmm\-yy;@"/>
    <numFmt numFmtId="177" formatCode="_ * #,##0_ ;_ * \-#,##0_ ;_ * &quot;-&quot;_ ;_ @_ "/>
    <numFmt numFmtId="42" formatCode="_(&quot;$&quot;* #,##0_);_(&quot;$&quot;* \(#,##0\);_(&quot;$&quot;* &quot;-&quot;_);_(@_)"/>
    <numFmt numFmtId="178" formatCode="_ * #,##0.00_ ;_ * \-#,##0.00_ ;_ * &quot;-&quot;??_ ;_ @_ 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5" borderId="3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0" fillId="19" borderId="5" applyNumberFormat="0" applyFon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14" borderId="2" applyNumberFormat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6" fillId="8" borderId="1" applyNumberFormat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1" fillId="8" borderId="2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1"/>
  <sheetViews>
    <sheetView tabSelected="1" workbookViewId="0">
      <pane ySplit="2" topLeftCell="A45" activePane="bottomLeft" state="frozen"/>
      <selection/>
      <selection pane="bottomLeft" activeCell="J60" sqref="J60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SUM(C3:C221)</f>
        <v>5345202</v>
      </c>
      <c r="D2" s="7">
        <f>SUM(D3:D221)</f>
        <v>5062240.14</v>
      </c>
      <c r="E2" s="8">
        <f>C2-D2</f>
        <v>282961.86</v>
      </c>
      <c r="F2" s="9">
        <f>SUM(F3:F221)</f>
        <v>282961.86</v>
      </c>
      <c r="G2" s="10">
        <f>C2-H2</f>
        <v>80472.254399999</v>
      </c>
      <c r="H2" s="7">
        <f>SUM(H3:H221)</f>
        <v>5264729.7456</v>
      </c>
      <c r="I2" s="10">
        <f>SUM(I3:I221)</f>
        <v>80472.2543999999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1:9">
      <c r="A36" s="1">
        <v>34</v>
      </c>
      <c r="B36" s="2">
        <v>26377889</v>
      </c>
      <c r="C36" s="11">
        <v>42236</v>
      </c>
      <c r="D36" s="11">
        <v>40000.11</v>
      </c>
      <c r="E36" s="12">
        <v>44256</v>
      </c>
      <c r="F36" s="11">
        <f t="shared" si="4"/>
        <v>2235.89</v>
      </c>
      <c r="G36" s="11">
        <f t="shared" si="5"/>
        <v>5.58970962829852</v>
      </c>
      <c r="H36" s="11">
        <f t="shared" si="6"/>
        <v>41600.1144</v>
      </c>
      <c r="I36" s="11">
        <f t="shared" si="7"/>
        <v>635.885600000001</v>
      </c>
    </row>
    <row r="37" spans="1:9">
      <c r="A37" s="1">
        <v>35</v>
      </c>
      <c r="B37" s="2">
        <v>26396131</v>
      </c>
      <c r="C37" s="11">
        <v>40018</v>
      </c>
      <c r="D37" s="11">
        <v>37899.54</v>
      </c>
      <c r="E37" s="12">
        <v>44257</v>
      </c>
      <c r="F37" s="11">
        <f t="shared" si="4"/>
        <v>2118.46</v>
      </c>
      <c r="G37" s="11">
        <f t="shared" si="5"/>
        <v>5.58967206462136</v>
      </c>
      <c r="H37" s="11">
        <f t="shared" si="6"/>
        <v>39415.5216</v>
      </c>
      <c r="I37" s="11">
        <f t="shared" si="7"/>
        <v>602.4784</v>
      </c>
    </row>
    <row r="38" spans="1:9">
      <c r="A38" s="1">
        <v>36</v>
      </c>
      <c r="B38" s="2">
        <v>26391779</v>
      </c>
      <c r="C38" s="11">
        <v>15838</v>
      </c>
      <c r="D38" s="11">
        <v>14999.67</v>
      </c>
      <c r="E38" s="12">
        <v>44258</v>
      </c>
      <c r="F38" s="11">
        <f t="shared" si="4"/>
        <v>838.33</v>
      </c>
      <c r="G38" s="11">
        <f t="shared" si="5"/>
        <v>5.5889896244384</v>
      </c>
      <c r="H38" s="11">
        <f t="shared" si="6"/>
        <v>15599.6568</v>
      </c>
      <c r="I38" s="11">
        <f t="shared" si="7"/>
        <v>238.343199999999</v>
      </c>
    </row>
    <row r="39" spans="1:9">
      <c r="A39" s="1">
        <v>37</v>
      </c>
      <c r="B39" s="2">
        <v>26422501</v>
      </c>
      <c r="C39" s="11">
        <v>103900</v>
      </c>
      <c r="D39" s="11">
        <v>98400.29</v>
      </c>
      <c r="E39" s="12">
        <v>44259</v>
      </c>
      <c r="F39" s="11">
        <f t="shared" si="4"/>
        <v>5499.71000000001</v>
      </c>
      <c r="G39" s="11">
        <f t="shared" si="5"/>
        <v>5.58911970686266</v>
      </c>
      <c r="H39" s="11">
        <f t="shared" si="6"/>
        <v>102336.3016</v>
      </c>
      <c r="I39" s="11">
        <f t="shared" si="7"/>
        <v>1563.69840000001</v>
      </c>
    </row>
    <row r="40" spans="1:9">
      <c r="A40" s="1">
        <v>38</v>
      </c>
      <c r="B40" s="2">
        <v>26424678</v>
      </c>
      <c r="C40" s="11">
        <v>17211</v>
      </c>
      <c r="D40" s="11">
        <v>16299.5</v>
      </c>
      <c r="E40" s="12">
        <v>44261</v>
      </c>
      <c r="F40" s="11">
        <f t="shared" si="4"/>
        <v>911.5</v>
      </c>
      <c r="G40" s="11">
        <f t="shared" si="5"/>
        <v>5.59219607963434</v>
      </c>
      <c r="H40" s="11">
        <f t="shared" si="6"/>
        <v>16951.48</v>
      </c>
      <c r="I40" s="11">
        <f t="shared" si="7"/>
        <v>259.52</v>
      </c>
    </row>
    <row r="41" spans="1:9">
      <c r="A41" s="1">
        <v>39</v>
      </c>
      <c r="B41" s="2">
        <v>26426379</v>
      </c>
      <c r="C41" s="11">
        <v>36956</v>
      </c>
      <c r="D41" s="11">
        <v>34999.22</v>
      </c>
      <c r="E41" s="12">
        <v>44261</v>
      </c>
      <c r="F41" s="11">
        <f t="shared" si="4"/>
        <v>1956.78</v>
      </c>
      <c r="G41" s="11">
        <f t="shared" si="5"/>
        <v>5.59092459774817</v>
      </c>
      <c r="H41" s="11">
        <f t="shared" si="6"/>
        <v>36399.1888</v>
      </c>
      <c r="I41" s="11">
        <f t="shared" si="7"/>
        <v>556.811199999996</v>
      </c>
    </row>
    <row r="42" spans="1:9">
      <c r="A42" s="1">
        <v>40</v>
      </c>
      <c r="B42" s="2">
        <v>26446577</v>
      </c>
      <c r="C42" s="11">
        <v>36956</v>
      </c>
      <c r="D42" s="11">
        <v>34999.22</v>
      </c>
      <c r="E42" s="12">
        <v>44262</v>
      </c>
      <c r="F42" s="11">
        <f t="shared" si="4"/>
        <v>1956.78</v>
      </c>
      <c r="G42" s="11">
        <f t="shared" si="5"/>
        <v>5.59092459774817</v>
      </c>
      <c r="H42" s="11">
        <f t="shared" si="6"/>
        <v>36399.1888</v>
      </c>
      <c r="I42" s="11">
        <f t="shared" si="7"/>
        <v>556.811199999996</v>
      </c>
    </row>
    <row r="43" spans="1:9">
      <c r="A43" s="1">
        <v>41</v>
      </c>
      <c r="B43" s="2">
        <v>26457955</v>
      </c>
      <c r="C43" s="11">
        <v>221527</v>
      </c>
      <c r="D43" s="11">
        <v>209799.9</v>
      </c>
      <c r="E43" s="12">
        <v>44264</v>
      </c>
      <c r="F43" s="11">
        <f t="shared" si="4"/>
        <v>11727.1</v>
      </c>
      <c r="G43" s="11">
        <f t="shared" si="5"/>
        <v>5.58965948029527</v>
      </c>
      <c r="H43" s="11">
        <f t="shared" si="6"/>
        <v>218191.896</v>
      </c>
      <c r="I43" s="11">
        <f t="shared" si="7"/>
        <v>3335.10399999999</v>
      </c>
    </row>
    <row r="44" spans="1:9">
      <c r="A44" s="1">
        <v>42</v>
      </c>
      <c r="B44" s="2">
        <v>26418265</v>
      </c>
      <c r="C44" s="11">
        <v>28509</v>
      </c>
      <c r="D44" s="11">
        <v>26999.8</v>
      </c>
      <c r="E44" s="12">
        <v>44267</v>
      </c>
      <c r="F44" s="11">
        <f t="shared" si="4"/>
        <v>1509.2</v>
      </c>
      <c r="G44" s="11">
        <f t="shared" si="5"/>
        <v>5.58967103460026</v>
      </c>
      <c r="H44" s="11">
        <f t="shared" si="6"/>
        <v>28079.792</v>
      </c>
      <c r="I44" s="11">
        <f t="shared" si="7"/>
        <v>429.207999999999</v>
      </c>
    </row>
    <row r="45" spans="1:9">
      <c r="A45" s="1">
        <v>43</v>
      </c>
      <c r="B45" s="2">
        <v>26499129</v>
      </c>
      <c r="C45" s="11">
        <v>47515</v>
      </c>
      <c r="D45" s="11">
        <v>45000</v>
      </c>
      <c r="E45" s="12">
        <v>44268</v>
      </c>
      <c r="F45" s="11">
        <f t="shared" si="4"/>
        <v>2515</v>
      </c>
      <c r="G45" s="11">
        <f t="shared" si="5"/>
        <v>5.58888888888889</v>
      </c>
      <c r="H45" s="11">
        <f t="shared" si="6"/>
        <v>46800</v>
      </c>
      <c r="I45" s="11">
        <f t="shared" si="7"/>
        <v>715</v>
      </c>
    </row>
    <row r="46" spans="1:9">
      <c r="A46" s="1">
        <v>44</v>
      </c>
      <c r="B46" s="2">
        <v>26480730</v>
      </c>
      <c r="C46" s="11">
        <v>42236</v>
      </c>
      <c r="D46" s="11">
        <v>40000.11</v>
      </c>
      <c r="E46" s="12">
        <v>44269</v>
      </c>
      <c r="F46" s="11">
        <f t="shared" si="4"/>
        <v>2235.89</v>
      </c>
      <c r="G46" s="11">
        <f t="shared" si="5"/>
        <v>5.58970962829852</v>
      </c>
      <c r="H46" s="11">
        <f t="shared" si="6"/>
        <v>41600.1144</v>
      </c>
      <c r="I46" s="11">
        <f t="shared" si="7"/>
        <v>635.885600000001</v>
      </c>
    </row>
    <row r="47" spans="1:9">
      <c r="A47" s="1">
        <v>45</v>
      </c>
      <c r="B47" s="2">
        <v>26494758</v>
      </c>
      <c r="C47" s="11">
        <v>31677</v>
      </c>
      <c r="D47" s="11">
        <v>30000.33</v>
      </c>
      <c r="E47" s="12">
        <v>44270</v>
      </c>
      <c r="F47" s="11">
        <f t="shared" si="4"/>
        <v>1676.67</v>
      </c>
      <c r="G47" s="11">
        <f t="shared" si="5"/>
        <v>5.58883852277624</v>
      </c>
      <c r="H47" s="11">
        <f t="shared" si="6"/>
        <v>31200.3432</v>
      </c>
      <c r="I47" s="11">
        <f t="shared" si="7"/>
        <v>476.656799999997</v>
      </c>
    </row>
    <row r="48" spans="1:9">
      <c r="A48" s="1">
        <v>46</v>
      </c>
      <c r="B48" s="2">
        <v>26520745</v>
      </c>
      <c r="C48" s="11">
        <v>52795</v>
      </c>
      <c r="D48" s="11">
        <v>49999.89</v>
      </c>
      <c r="E48" s="12">
        <v>44271</v>
      </c>
      <c r="F48" s="11">
        <f t="shared" si="4"/>
        <v>2795.11</v>
      </c>
      <c r="G48" s="11">
        <f t="shared" si="5"/>
        <v>5.59023229851106</v>
      </c>
      <c r="H48" s="11">
        <f t="shared" si="6"/>
        <v>51999.8856</v>
      </c>
      <c r="I48" s="11">
        <f t="shared" si="7"/>
        <v>795.114399999999</v>
      </c>
    </row>
    <row r="49" spans="1:9">
      <c r="A49" s="1">
        <v>47</v>
      </c>
      <c r="B49" s="2">
        <v>26520801</v>
      </c>
      <c r="C49" s="11">
        <v>23464</v>
      </c>
      <c r="D49" s="11">
        <v>22221.39</v>
      </c>
      <c r="E49" s="12">
        <v>44271</v>
      </c>
      <c r="F49" s="11">
        <f t="shared" si="4"/>
        <v>1242.61</v>
      </c>
      <c r="G49" s="11">
        <f t="shared" si="5"/>
        <v>5.59195441869298</v>
      </c>
      <c r="H49" s="11">
        <f t="shared" si="6"/>
        <v>23110.2456</v>
      </c>
      <c r="I49" s="11">
        <f t="shared" si="7"/>
        <v>353.754400000002</v>
      </c>
    </row>
    <row r="50" spans="1:9">
      <c r="A50" s="1">
        <v>48</v>
      </c>
      <c r="B50" s="2">
        <v>25824156</v>
      </c>
      <c r="C50" s="11">
        <v>26397</v>
      </c>
      <c r="D50" s="11">
        <v>24999.44</v>
      </c>
      <c r="E50" s="12">
        <v>44273</v>
      </c>
      <c r="F50" s="11">
        <f t="shared" si="4"/>
        <v>1397.56</v>
      </c>
      <c r="G50" s="11">
        <f t="shared" si="5"/>
        <v>5.59036522418103</v>
      </c>
      <c r="H50" s="11">
        <f t="shared" si="6"/>
        <v>25999.4176</v>
      </c>
      <c r="I50" s="11">
        <f t="shared" si="7"/>
        <v>397.582399999999</v>
      </c>
    </row>
    <row r="51" spans="1:9">
      <c r="A51" s="1">
        <v>49</v>
      </c>
      <c r="B51" s="2">
        <v>26557418</v>
      </c>
      <c r="C51" s="11">
        <v>126708</v>
      </c>
      <c r="D51" s="11">
        <v>120000.34</v>
      </c>
      <c r="E51" s="12">
        <v>44275</v>
      </c>
      <c r="F51" s="11">
        <f t="shared" si="4"/>
        <v>6707.66</v>
      </c>
      <c r="G51" s="11">
        <f t="shared" si="5"/>
        <v>5.58970082918099</v>
      </c>
      <c r="H51" s="11">
        <f t="shared" si="6"/>
        <v>124800.3536</v>
      </c>
      <c r="I51" s="11">
        <f t="shared" si="7"/>
        <v>1907.6464</v>
      </c>
    </row>
    <row r="52" spans="1:9">
      <c r="A52" s="1">
        <v>50</v>
      </c>
      <c r="B52" s="2">
        <v>26565040</v>
      </c>
      <c r="C52" s="11">
        <v>22174</v>
      </c>
      <c r="D52" s="11">
        <v>20999.73</v>
      </c>
      <c r="E52" s="12">
        <v>44277</v>
      </c>
      <c r="F52" s="11">
        <f t="shared" si="4"/>
        <v>1174.27</v>
      </c>
      <c r="G52" s="11">
        <f t="shared" si="5"/>
        <v>5.5918337997679</v>
      </c>
      <c r="H52" s="11">
        <f t="shared" si="6"/>
        <v>21839.7192</v>
      </c>
      <c r="I52" s="11">
        <f t="shared" si="7"/>
        <v>334.2808</v>
      </c>
    </row>
    <row r="53" spans="1:9">
      <c r="A53" s="1">
        <v>51</v>
      </c>
      <c r="B53" s="2">
        <v>26577691</v>
      </c>
      <c r="C53" s="11">
        <v>15838</v>
      </c>
      <c r="D53" s="11">
        <v>14999.67</v>
      </c>
      <c r="E53" s="12">
        <v>44278</v>
      </c>
      <c r="F53" s="11">
        <f t="shared" si="4"/>
        <v>838.33</v>
      </c>
      <c r="G53" s="11">
        <f t="shared" si="5"/>
        <v>5.5889896244384</v>
      </c>
      <c r="H53" s="11">
        <f t="shared" si="6"/>
        <v>15599.6568</v>
      </c>
      <c r="I53" s="11">
        <f t="shared" si="7"/>
        <v>238.343199999999</v>
      </c>
    </row>
    <row r="54" spans="1:9">
      <c r="A54" s="1">
        <v>51</v>
      </c>
      <c r="B54" s="2">
        <v>26543741</v>
      </c>
      <c r="C54" s="11">
        <v>31677</v>
      </c>
      <c r="D54" s="11">
        <v>30000.33</v>
      </c>
      <c r="E54" s="12">
        <v>44278</v>
      </c>
      <c r="F54" s="11">
        <f t="shared" si="4"/>
        <v>1676.67</v>
      </c>
      <c r="G54" s="11">
        <f t="shared" si="5"/>
        <v>5.58883852277624</v>
      </c>
      <c r="H54" s="11">
        <f t="shared" si="6"/>
        <v>31200.3432</v>
      </c>
      <c r="I54" s="11">
        <f t="shared" si="7"/>
        <v>476.656799999997</v>
      </c>
    </row>
    <row r="55" spans="1:9">
      <c r="A55" s="1">
        <v>52</v>
      </c>
      <c r="B55" s="2">
        <v>26575351</v>
      </c>
      <c r="C55" s="11">
        <v>35900</v>
      </c>
      <c r="D55" s="11">
        <v>34000.04</v>
      </c>
      <c r="E55" s="12">
        <v>44278</v>
      </c>
      <c r="F55" s="11">
        <f t="shared" si="4"/>
        <v>1899.96</v>
      </c>
      <c r="G55" s="11">
        <f t="shared" si="5"/>
        <v>5.5881110728105</v>
      </c>
      <c r="H55" s="11">
        <f t="shared" si="6"/>
        <v>35360.0416</v>
      </c>
      <c r="I55" s="11">
        <f t="shared" si="7"/>
        <v>539.958399999996</v>
      </c>
    </row>
    <row r="56" spans="1:9">
      <c r="A56" s="1">
        <v>53</v>
      </c>
      <c r="B56" s="2">
        <v>26575086</v>
      </c>
      <c r="C56" s="11">
        <v>21118</v>
      </c>
      <c r="D56" s="11">
        <v>20000.56</v>
      </c>
      <c r="E56" s="12">
        <v>44279</v>
      </c>
      <c r="F56" s="11">
        <f t="shared" si="4"/>
        <v>1117.44</v>
      </c>
      <c r="G56" s="11">
        <f t="shared" si="5"/>
        <v>5.58704356278024</v>
      </c>
      <c r="H56" s="11">
        <f t="shared" si="6"/>
        <v>20800.5824</v>
      </c>
      <c r="I56" s="11">
        <f t="shared" si="7"/>
        <v>317.417599999997</v>
      </c>
    </row>
    <row r="57" spans="1:9">
      <c r="A57" s="1">
        <v>54</v>
      </c>
      <c r="B57" s="2">
        <v>26588279</v>
      </c>
      <c r="C57" s="11">
        <v>38857</v>
      </c>
      <c r="D57" s="11">
        <v>36800.14</v>
      </c>
      <c r="E57" s="12">
        <v>44280</v>
      </c>
      <c r="F57" s="11">
        <f t="shared" si="4"/>
        <v>2056.86</v>
      </c>
      <c r="G57" s="11">
        <f t="shared" si="5"/>
        <v>5.58927221472527</v>
      </c>
      <c r="H57" s="11">
        <f t="shared" si="6"/>
        <v>38272.1456</v>
      </c>
      <c r="I57" s="11">
        <f t="shared" si="7"/>
        <v>584.854399999997</v>
      </c>
    </row>
    <row r="58" spans="3:9">
      <c r="C58" s="11"/>
      <c r="D58" s="11"/>
      <c r="E58" s="12"/>
      <c r="F58" s="11" t="str">
        <f t="shared" si="4"/>
        <v/>
      </c>
      <c r="G58" s="11" t="str">
        <f t="shared" si="5"/>
        <v/>
      </c>
      <c r="H58" s="11" t="str">
        <f t="shared" si="6"/>
        <v/>
      </c>
      <c r="I58" s="11" t="str">
        <f t="shared" si="7"/>
        <v/>
      </c>
    </row>
    <row r="59" spans="3:9">
      <c r="C59" s="11"/>
      <c r="D59" s="11"/>
      <c r="E59" s="12"/>
      <c r="F59" s="11" t="str">
        <f t="shared" si="4"/>
        <v/>
      </c>
      <c r="G59" s="11" t="str">
        <f t="shared" si="5"/>
        <v/>
      </c>
      <c r="H59" s="11" t="str">
        <f t="shared" si="6"/>
        <v/>
      </c>
      <c r="I59" s="11" t="str">
        <f t="shared" si="7"/>
        <v/>
      </c>
    </row>
    <row r="60" spans="3:9">
      <c r="C60" s="11"/>
      <c r="D60" s="11"/>
      <c r="E60" s="12"/>
      <c r="F60" s="11" t="str">
        <f t="shared" si="4"/>
        <v/>
      </c>
      <c r="G60" s="11" t="str">
        <f t="shared" si="5"/>
        <v/>
      </c>
      <c r="H60" s="11" t="str">
        <f t="shared" si="6"/>
        <v/>
      </c>
      <c r="I60" s="11" t="str">
        <f t="shared" si="7"/>
        <v/>
      </c>
    </row>
    <row r="61" spans="3:9">
      <c r="C61" s="11"/>
      <c r="D61" s="11"/>
      <c r="E61" s="12"/>
      <c r="F61" s="11" t="str">
        <f t="shared" si="4"/>
        <v/>
      </c>
      <c r="G61" s="11" t="str">
        <f t="shared" si="5"/>
        <v/>
      </c>
      <c r="H61" s="11" t="str">
        <f t="shared" si="6"/>
        <v/>
      </c>
      <c r="I61" s="11" t="str">
        <f t="shared" si="7"/>
        <v/>
      </c>
    </row>
    <row r="62" spans="3:9">
      <c r="C62" s="11"/>
      <c r="D62" s="11"/>
      <c r="E62" s="12"/>
      <c r="F62" s="11" t="str">
        <f t="shared" si="4"/>
        <v/>
      </c>
      <c r="G62" s="11" t="str">
        <f t="shared" si="5"/>
        <v/>
      </c>
      <c r="H62" s="11" t="str">
        <f t="shared" si="6"/>
        <v/>
      </c>
      <c r="I62" s="11" t="str">
        <f t="shared" si="7"/>
        <v/>
      </c>
    </row>
    <row r="63" spans="3:9">
      <c r="C63" s="11"/>
      <c r="D63" s="11"/>
      <c r="E63" s="12"/>
      <c r="F63" s="11" t="str">
        <f t="shared" si="4"/>
        <v/>
      </c>
      <c r="G63" s="11" t="str">
        <f t="shared" si="5"/>
        <v/>
      </c>
      <c r="H63" s="11" t="str">
        <f t="shared" si="6"/>
        <v/>
      </c>
      <c r="I63" s="11" t="str">
        <f t="shared" si="7"/>
        <v/>
      </c>
    </row>
    <row r="64" spans="3:9">
      <c r="C64" s="11"/>
      <c r="D64" s="11"/>
      <c r="E64" s="12"/>
      <c r="F64" s="11" t="str">
        <f t="shared" si="4"/>
        <v/>
      </c>
      <c r="G64" s="11" t="str">
        <f t="shared" si="5"/>
        <v/>
      </c>
      <c r="H64" s="11" t="str">
        <f t="shared" si="6"/>
        <v/>
      </c>
      <c r="I64" s="11" t="str">
        <f t="shared" si="7"/>
        <v/>
      </c>
    </row>
    <row r="65" spans="3:9">
      <c r="C65" s="11"/>
      <c r="D65" s="11"/>
      <c r="E65" s="12"/>
      <c r="F65" s="11" t="str">
        <f t="shared" si="4"/>
        <v/>
      </c>
      <c r="G65" s="11" t="str">
        <f t="shared" si="5"/>
        <v/>
      </c>
      <c r="H65" s="11" t="str">
        <f t="shared" si="6"/>
        <v/>
      </c>
      <c r="I65" s="11" t="str">
        <f t="shared" si="7"/>
        <v/>
      </c>
    </row>
    <row r="66" spans="3:9">
      <c r="C66" s="11"/>
      <c r="D66" s="11"/>
      <c r="E66" s="12"/>
      <c r="F66" s="11" t="str">
        <f t="shared" si="4"/>
        <v/>
      </c>
      <c r="G66" s="11" t="str">
        <f t="shared" si="5"/>
        <v/>
      </c>
      <c r="H66" s="11" t="str">
        <f t="shared" si="6"/>
        <v/>
      </c>
      <c r="I66" s="11" t="str">
        <f t="shared" si="7"/>
        <v/>
      </c>
    </row>
    <row r="67" spans="3:9">
      <c r="C67" s="11"/>
      <c r="D67" s="11"/>
      <c r="E67" s="12"/>
      <c r="F67" s="11" t="str">
        <f t="shared" si="4"/>
        <v/>
      </c>
      <c r="G67" s="11" t="str">
        <f t="shared" si="5"/>
        <v/>
      </c>
      <c r="H67" s="11" t="str">
        <f t="shared" si="6"/>
        <v/>
      </c>
      <c r="I67" s="11" t="str">
        <f t="shared" si="7"/>
        <v/>
      </c>
    </row>
    <row r="68" spans="3:9">
      <c r="C68" s="11"/>
      <c r="D68" s="11"/>
      <c r="E68" s="12"/>
      <c r="F68" s="11" t="str">
        <f t="shared" si="4"/>
        <v/>
      </c>
      <c r="G68" s="11" t="str">
        <f t="shared" si="5"/>
        <v/>
      </c>
      <c r="H68" s="11" t="str">
        <f t="shared" si="6"/>
        <v/>
      </c>
      <c r="I68" s="11" t="str">
        <f t="shared" si="7"/>
        <v/>
      </c>
    </row>
    <row r="69" spans="3:9">
      <c r="C69" s="11"/>
      <c r="D69" s="11"/>
      <c r="E69" s="12"/>
      <c r="F69" s="11" t="str">
        <f t="shared" si="4"/>
        <v/>
      </c>
      <c r="G69" s="11" t="str">
        <f t="shared" si="5"/>
        <v/>
      </c>
      <c r="H69" s="11" t="str">
        <f t="shared" si="6"/>
        <v/>
      </c>
      <c r="I69" s="11" t="str">
        <f t="shared" si="7"/>
        <v/>
      </c>
    </row>
    <row r="70" spans="3:9">
      <c r="C70" s="11"/>
      <c r="D70" s="11"/>
      <c r="E70" s="12"/>
      <c r="F70" s="11" t="str">
        <f t="shared" si="4"/>
        <v/>
      </c>
      <c r="G70" s="11" t="str">
        <f t="shared" si="5"/>
        <v/>
      </c>
      <c r="H70" s="11" t="str">
        <f t="shared" si="6"/>
        <v/>
      </c>
      <c r="I70" s="11" t="str">
        <f t="shared" si="7"/>
        <v/>
      </c>
    </row>
    <row r="71" spans="3:9">
      <c r="C71" s="11"/>
      <c r="D71" s="11"/>
      <c r="E71" s="12"/>
      <c r="F71" s="11" t="str">
        <f t="shared" si="4"/>
        <v/>
      </c>
      <c r="G71" s="11" t="str">
        <f t="shared" si="5"/>
        <v/>
      </c>
      <c r="H71" s="11" t="str">
        <f t="shared" si="6"/>
        <v/>
      </c>
      <c r="I71" s="11" t="str">
        <f t="shared" si="7"/>
        <v/>
      </c>
    </row>
    <row r="72" spans="3:9">
      <c r="C72" s="11"/>
      <c r="D72" s="11"/>
      <c r="E72" s="12"/>
      <c r="F72" s="11" t="str">
        <f t="shared" si="4"/>
        <v/>
      </c>
      <c r="G72" s="11" t="str">
        <f t="shared" si="5"/>
        <v/>
      </c>
      <c r="H72" s="11" t="str">
        <f t="shared" si="6"/>
        <v/>
      </c>
      <c r="I72" s="11" t="str">
        <f t="shared" si="7"/>
        <v/>
      </c>
    </row>
    <row r="73" spans="3:9">
      <c r="C73" s="11"/>
      <c r="D73" s="11"/>
      <c r="E73" s="12"/>
      <c r="F73" s="11" t="str">
        <f t="shared" si="4"/>
        <v/>
      </c>
      <c r="G73" s="11" t="str">
        <f t="shared" si="5"/>
        <v/>
      </c>
      <c r="H73" s="11" t="str">
        <f t="shared" si="6"/>
        <v/>
      </c>
      <c r="I73" s="11" t="str">
        <f t="shared" si="7"/>
        <v/>
      </c>
    </row>
    <row r="74" spans="3:9">
      <c r="C74" s="11"/>
      <c r="D74" s="11"/>
      <c r="E74" s="12"/>
      <c r="F74" s="11" t="str">
        <f t="shared" si="4"/>
        <v/>
      </c>
      <c r="G74" s="11" t="str">
        <f t="shared" si="5"/>
        <v/>
      </c>
      <c r="H74" s="11" t="str">
        <f t="shared" si="6"/>
        <v/>
      </c>
      <c r="I74" s="11" t="str">
        <f t="shared" si="7"/>
        <v/>
      </c>
    </row>
    <row r="75" spans="3:9">
      <c r="C75" s="11"/>
      <c r="D75" s="11"/>
      <c r="E75" s="12"/>
      <c r="F75" s="11" t="str">
        <f t="shared" si="4"/>
        <v/>
      </c>
      <c r="G75" s="11" t="str">
        <f t="shared" si="5"/>
        <v/>
      </c>
      <c r="H75" s="11" t="str">
        <f t="shared" si="6"/>
        <v/>
      </c>
      <c r="I75" s="11" t="str">
        <f t="shared" si="7"/>
        <v/>
      </c>
    </row>
    <row r="76" spans="3:9">
      <c r="C76" s="11"/>
      <c r="D76" s="11"/>
      <c r="E76" s="12"/>
      <c r="F76" s="11" t="str">
        <f t="shared" si="4"/>
        <v/>
      </c>
      <c r="G76" s="11" t="str">
        <f t="shared" si="5"/>
        <v/>
      </c>
      <c r="H76" s="11" t="str">
        <f t="shared" si="6"/>
        <v/>
      </c>
      <c r="I76" s="11" t="str">
        <f t="shared" si="7"/>
        <v/>
      </c>
    </row>
    <row r="77" spans="3:9">
      <c r="C77" s="11"/>
      <c r="D77" s="11"/>
      <c r="E77" s="12"/>
      <c r="F77" s="11" t="str">
        <f t="shared" si="4"/>
        <v/>
      </c>
      <c r="G77" s="11" t="str">
        <f t="shared" si="5"/>
        <v/>
      </c>
      <c r="H77" s="11" t="str">
        <f t="shared" si="6"/>
        <v/>
      </c>
      <c r="I77" s="11" t="str">
        <f t="shared" si="7"/>
        <v/>
      </c>
    </row>
    <row r="78" spans="3:9">
      <c r="C78" s="11"/>
      <c r="D78" s="11"/>
      <c r="E78" s="12"/>
      <c r="F78" s="11" t="str">
        <f t="shared" si="4"/>
        <v/>
      </c>
      <c r="G78" s="11" t="str">
        <f t="shared" si="5"/>
        <v/>
      </c>
      <c r="H78" s="11" t="str">
        <f t="shared" si="6"/>
        <v/>
      </c>
      <c r="I78" s="11" t="str">
        <f t="shared" si="7"/>
        <v/>
      </c>
    </row>
    <row r="79" spans="3:9">
      <c r="C79" s="11"/>
      <c r="D79" s="11"/>
      <c r="E79" s="12"/>
      <c r="F79" s="11" t="str">
        <f t="shared" si="4"/>
        <v/>
      </c>
      <c r="G79" s="11" t="str">
        <f t="shared" si="5"/>
        <v/>
      </c>
      <c r="H79" s="11" t="str">
        <f t="shared" si="6"/>
        <v/>
      </c>
      <c r="I79" s="11" t="str">
        <f t="shared" si="7"/>
        <v/>
      </c>
    </row>
    <row r="80" spans="3:9">
      <c r="C80" s="11"/>
      <c r="D80" s="11"/>
      <c r="E80" s="12"/>
      <c r="F80" s="11" t="str">
        <f t="shared" si="4"/>
        <v/>
      </c>
      <c r="G80" s="11" t="str">
        <f t="shared" si="5"/>
        <v/>
      </c>
      <c r="H80" s="11" t="str">
        <f t="shared" si="6"/>
        <v/>
      </c>
      <c r="I80" s="11" t="str">
        <f t="shared" si="7"/>
        <v/>
      </c>
    </row>
    <row r="81" spans="3:9">
      <c r="C81" s="11"/>
      <c r="D81" s="11"/>
      <c r="E81" s="12"/>
      <c r="F81" s="11" t="str">
        <f t="shared" si="4"/>
        <v/>
      </c>
      <c r="G81" s="11" t="str">
        <f t="shared" si="5"/>
        <v/>
      </c>
      <c r="H81" s="11" t="str">
        <f t="shared" si="6"/>
        <v/>
      </c>
      <c r="I81" s="11" t="str">
        <f t="shared" si="7"/>
        <v/>
      </c>
    </row>
    <row r="82" spans="3:9">
      <c r="C82" s="11"/>
      <c r="D82" s="11"/>
      <c r="E82" s="12"/>
      <c r="F82" s="11" t="str">
        <f>IF(B82="","",C82-D82)</f>
        <v/>
      </c>
      <c r="G82" s="11" t="str">
        <f>IF(B82="","",F82/D82*100)</f>
        <v/>
      </c>
      <c r="H82" s="11" t="str">
        <f>IF(B82="","",D82*1.04)</f>
        <v/>
      </c>
      <c r="I82" s="11" t="str">
        <f>IF(B82="","",C82-H82)</f>
        <v/>
      </c>
    </row>
    <row r="83" spans="5:9">
      <c r="E83" s="12"/>
      <c r="F83" s="11" t="str">
        <f t="shared" ref="F83:F146" si="8">IF(B83="","",C83-D83)</f>
        <v/>
      </c>
      <c r="G83" s="11" t="str">
        <f t="shared" ref="G83:G146" si="9">IF(B83="","",F83/D83*100)</f>
        <v/>
      </c>
      <c r="H83" s="11" t="str">
        <f t="shared" ref="H83:H146" si="10">IF(B83="","",D83*1.04)</f>
        <v/>
      </c>
      <c r="I83" s="11" t="str">
        <f t="shared" ref="I83:I146" si="11">IF(B83="","",C83-H83)</f>
        <v/>
      </c>
    </row>
    <row r="84" spans="5:9">
      <c r="E84" s="12"/>
      <c r="F84" s="11" t="str">
        <f t="shared" si="8"/>
        <v/>
      </c>
      <c r="G84" s="11" t="str">
        <f t="shared" si="9"/>
        <v/>
      </c>
      <c r="H84" s="11" t="str">
        <f t="shared" si="10"/>
        <v/>
      </c>
      <c r="I84" s="11" t="str">
        <f t="shared" si="11"/>
        <v/>
      </c>
    </row>
    <row r="85" spans="5:9">
      <c r="E85" s="12"/>
      <c r="F85" s="11" t="str">
        <f t="shared" si="8"/>
        <v/>
      </c>
      <c r="G85" s="11" t="str">
        <f t="shared" si="9"/>
        <v/>
      </c>
      <c r="H85" s="11" t="str">
        <f t="shared" si="10"/>
        <v/>
      </c>
      <c r="I85" s="11" t="str">
        <f t="shared" si="11"/>
        <v/>
      </c>
    </row>
    <row r="86" spans="6:9">
      <c r="F86" s="11" t="str">
        <f t="shared" si="8"/>
        <v/>
      </c>
      <c r="G86" s="11" t="str">
        <f t="shared" si="9"/>
        <v/>
      </c>
      <c r="H86" s="11" t="str">
        <f t="shared" si="10"/>
        <v/>
      </c>
      <c r="I86" s="11" t="str">
        <f t="shared" si="11"/>
        <v/>
      </c>
    </row>
    <row r="87" spans="6:9">
      <c r="F87" s="11" t="str">
        <f t="shared" si="8"/>
        <v/>
      </c>
      <c r="G87" s="11" t="str">
        <f t="shared" si="9"/>
        <v/>
      </c>
      <c r="H87" s="11" t="str">
        <f t="shared" si="10"/>
        <v/>
      </c>
      <c r="I87" s="11" t="str">
        <f t="shared" si="11"/>
        <v/>
      </c>
    </row>
    <row r="88" spans="6:9">
      <c r="F88" s="11" t="str">
        <f t="shared" si="8"/>
        <v/>
      </c>
      <c r="G88" s="11" t="str">
        <f t="shared" si="9"/>
        <v/>
      </c>
      <c r="H88" s="11" t="str">
        <f t="shared" si="10"/>
        <v/>
      </c>
      <c r="I88" s="11" t="str">
        <f t="shared" si="11"/>
        <v/>
      </c>
    </row>
    <row r="89" spans="6:9">
      <c r="F89" s="11" t="str">
        <f t="shared" si="8"/>
        <v/>
      </c>
      <c r="G89" s="11" t="str">
        <f t="shared" si="9"/>
        <v/>
      </c>
      <c r="H89" s="11" t="str">
        <f t="shared" si="10"/>
        <v/>
      </c>
      <c r="I89" s="11" t="str">
        <f t="shared" si="11"/>
        <v/>
      </c>
    </row>
    <row r="90" spans="6:9">
      <c r="F90" s="11" t="str">
        <f t="shared" si="8"/>
        <v/>
      </c>
      <c r="G90" s="11" t="str">
        <f t="shared" si="9"/>
        <v/>
      </c>
      <c r="H90" s="11" t="str">
        <f t="shared" si="10"/>
        <v/>
      </c>
      <c r="I90" s="11" t="str">
        <f t="shared" si="11"/>
        <v/>
      </c>
    </row>
    <row r="91" spans="6:9">
      <c r="F91" s="11" t="str">
        <f t="shared" si="8"/>
        <v/>
      </c>
      <c r="G91" s="11" t="str">
        <f t="shared" si="9"/>
        <v/>
      </c>
      <c r="H91" s="11" t="str">
        <f t="shared" si="10"/>
        <v/>
      </c>
      <c r="I91" s="11" t="str">
        <f t="shared" si="11"/>
        <v/>
      </c>
    </row>
    <row r="92" spans="6:9">
      <c r="F92" s="11" t="str">
        <f t="shared" si="8"/>
        <v/>
      </c>
      <c r="G92" s="11" t="str">
        <f t="shared" si="9"/>
        <v/>
      </c>
      <c r="H92" s="11" t="str">
        <f t="shared" si="10"/>
        <v/>
      </c>
      <c r="I92" s="11" t="str">
        <f t="shared" si="11"/>
        <v/>
      </c>
    </row>
    <row r="93" spans="6:9">
      <c r="F93" s="11" t="str">
        <f t="shared" si="8"/>
        <v/>
      </c>
      <c r="G93" s="11" t="str">
        <f t="shared" si="9"/>
        <v/>
      </c>
      <c r="H93" s="11" t="str">
        <f t="shared" si="10"/>
        <v/>
      </c>
      <c r="I93" s="11" t="str">
        <f t="shared" si="11"/>
        <v/>
      </c>
    </row>
    <row r="94" spans="6:9">
      <c r="F94" s="11" t="str">
        <f t="shared" si="8"/>
        <v/>
      </c>
      <c r="G94" s="11" t="str">
        <f t="shared" si="9"/>
        <v/>
      </c>
      <c r="H94" s="11" t="str">
        <f t="shared" si="10"/>
        <v/>
      </c>
      <c r="I94" s="11" t="str">
        <f t="shared" si="11"/>
        <v/>
      </c>
    </row>
    <row r="95" spans="6:9">
      <c r="F95" s="11" t="str">
        <f t="shared" si="8"/>
        <v/>
      </c>
      <c r="G95" s="11" t="str">
        <f t="shared" si="9"/>
        <v/>
      </c>
      <c r="H95" s="11" t="str">
        <f t="shared" si="10"/>
        <v/>
      </c>
      <c r="I95" s="11" t="str">
        <f t="shared" si="11"/>
        <v/>
      </c>
    </row>
    <row r="96" spans="6:9"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6:9"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6:9"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si="8"/>
        <v/>
      </c>
      <c r="G146" s="11" t="str">
        <f t="shared" si="9"/>
        <v/>
      </c>
      <c r="H146" s="11" t="str">
        <f t="shared" si="10"/>
        <v/>
      </c>
      <c r="I146" s="11" t="str">
        <f t="shared" si="11"/>
        <v/>
      </c>
    </row>
    <row r="147" spans="6:9">
      <c r="F147" s="11" t="str">
        <f t="shared" ref="F147:F210" si="12">IF(B147="","",C147-D147)</f>
        <v/>
      </c>
      <c r="G147" s="11" t="str">
        <f t="shared" ref="G147:G210" si="13">IF(B147="","",F147/D147*100)</f>
        <v/>
      </c>
      <c r="H147" s="11" t="str">
        <f t="shared" ref="H147:H210" si="14">IF(B147="","",D147*1.04)</f>
        <v/>
      </c>
      <c r="I147" s="11" t="str">
        <f t="shared" ref="I147:I210" si="15">IF(B147="","",C147-H147)</f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si="12"/>
        <v/>
      </c>
      <c r="G210" s="11" t="str">
        <f t="shared" si="13"/>
        <v/>
      </c>
      <c r="H210" s="11" t="str">
        <f t="shared" si="14"/>
        <v/>
      </c>
      <c r="I210" s="11" t="str">
        <f t="shared" si="15"/>
        <v/>
      </c>
    </row>
    <row r="211" spans="6:9">
      <c r="F211" s="11" t="str">
        <f t="shared" ref="F211:F221" si="16">IF(B211="","",C211-D211)</f>
        <v/>
      </c>
      <c r="G211" s="11" t="str">
        <f t="shared" ref="G211:G221" si="17">IF(B211="","",F211/D211*100)</f>
        <v/>
      </c>
      <c r="H211" s="11" t="str">
        <f t="shared" ref="H211:H221" si="18">IF(B211="","",D211*1.04)</f>
        <v/>
      </c>
      <c r="I211" s="11" t="str">
        <f t="shared" ref="I211:I221" si="19">IF(B211="","",C211-H211)</f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  <row r="221" spans="6:9">
      <c r="F221" s="11" t="str">
        <f t="shared" si="16"/>
        <v/>
      </c>
      <c r="G221" s="11" t="str">
        <f t="shared" si="17"/>
        <v/>
      </c>
      <c r="H221" s="11" t="str">
        <f t="shared" si="18"/>
        <v/>
      </c>
      <c r="I221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2021-03-25T00:32:45Z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</Properties>
</file>