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<sst xmlns="http://schemas.openxmlformats.org/spreadsheetml/2006/main" count="10" uniqueCount="10">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</sst>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177" formatCode="[$-409]dd\-mmm\-yy;@"/>
    <numFmt numFmtId="42" formatCode="_(&quot;$&quot;* #,##0_);_(&quot;$&quot;* \(#,##0\);_(&quot;$&quot;* &quot;-&quot;_);_(@_)"/>
    <numFmt numFmtId="178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7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19" borderId="6" applyNumberFormat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9" fillId="25" borderId="8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2" fillId="2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18" activePane="bottomLeft" state="frozen"/>
      <selection/>
      <selection pane="bottomLeft" activeCell="C38" sqref="C38:D38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4383787</v>
      </c>
      <c r="D2" s="7">
        <f>SUM(D3:D220)</f>
        <v>4151720.24</v>
      </c>
      <c r="E2" s="8">
        <f>C2-D2</f>
        <v>232066.759999999</v>
      </c>
      <c r="F2" s="9">
        <f>SUM(F3:F220)</f>
        <v>232066.76</v>
      </c>
      <c r="G2" s="10">
        <f>C2-H2</f>
        <v>65997.9503999995</v>
      </c>
      <c r="H2" s="7">
        <f>SUM(H3:H220)</f>
        <v>4317789.0496</v>
      </c>
      <c r="I2" s="10">
        <f>SUM(I3:I220)</f>
        <v>65997.9503999999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6:9">
      <c r="F39" s="11" t="str">
        <f t="shared" si="4"/>
        <v/>
      </c>
      <c r="G39" s="11" t="str">
        <f t="shared" si="5"/>
        <v/>
      </c>
      <c r="H39" s="11" t="str">
        <f t="shared" si="6"/>
        <v/>
      </c>
      <c r="I39" s="11" t="str">
        <f t="shared" si="7"/>
        <v/>
      </c>
    </row>
    <row r="40" spans="6:9">
      <c r="F40" s="11" t="str">
        <f t="shared" si="4"/>
        <v/>
      </c>
      <c r="G40" s="11" t="str">
        <f t="shared" si="5"/>
        <v/>
      </c>
      <c r="H40" s="11" t="str">
        <f t="shared" si="6"/>
        <v/>
      </c>
      <c r="I40" s="11" t="str">
        <f t="shared" si="7"/>
        <v/>
      </c>
    </row>
    <row r="41" spans="6:9">
      <c r="F41" s="11" t="str">
        <f t="shared" si="4"/>
        <v/>
      </c>
      <c r="G41" s="11" t="str">
        <f t="shared" si="5"/>
        <v/>
      </c>
      <c r="H41" s="11" t="str">
        <f t="shared" si="6"/>
        <v/>
      </c>
      <c r="I41" s="11" t="str">
        <f t="shared" si="7"/>
        <v/>
      </c>
    </row>
    <row r="42" spans="6:9">
      <c r="F42" s="11" t="str">
        <f t="shared" si="4"/>
        <v/>
      </c>
      <c r="G42" s="11" t="str">
        <f t="shared" si="5"/>
        <v/>
      </c>
      <c r="H42" s="11" t="str">
        <f t="shared" si="6"/>
        <v/>
      </c>
      <c r="I42" s="11" t="str">
        <f t="shared" si="7"/>
        <v/>
      </c>
    </row>
    <row r="43" spans="6:9">
      <c r="F43" s="11" t="str">
        <f t="shared" si="4"/>
        <v/>
      </c>
      <c r="G43" s="11" t="str">
        <f t="shared" si="5"/>
        <v/>
      </c>
      <c r="H43" s="11" t="str">
        <f t="shared" si="6"/>
        <v/>
      </c>
      <c r="I43" s="11" t="str">
        <f t="shared" si="7"/>
        <v/>
      </c>
    </row>
    <row r="44" spans="6:9">
      <c r="F44" s="11" t="str">
        <f t="shared" si="4"/>
        <v/>
      </c>
      <c r="G44" s="11" t="str">
        <f t="shared" si="5"/>
        <v/>
      </c>
      <c r="H44" s="11" t="str">
        <f t="shared" si="6"/>
        <v/>
      </c>
      <c r="I44" s="11" t="str">
        <f t="shared" si="7"/>
        <v/>
      </c>
    </row>
    <row r="45" spans="6:9">
      <c r="F45" s="11" t="str">
        <f t="shared" si="4"/>
        <v/>
      </c>
      <c r="G45" s="11" t="str">
        <f t="shared" si="5"/>
        <v/>
      </c>
      <c r="H45" s="11" t="str">
        <f t="shared" si="6"/>
        <v/>
      </c>
      <c r="I45" s="11" t="str">
        <f t="shared" si="7"/>
        <v/>
      </c>
    </row>
    <row r="46" spans="6:9">
      <c r="F46" s="11" t="str">
        <f t="shared" si="4"/>
        <v/>
      </c>
      <c r="G46" s="11" t="str">
        <f t="shared" si="5"/>
        <v/>
      </c>
      <c r="H46" s="11" t="str">
        <f t="shared" si="6"/>
        <v/>
      </c>
      <c r="I46" s="11" t="str">
        <f t="shared" si="7"/>
        <v/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2021-03-02T21:37:00Z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