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<sst xmlns="http://schemas.openxmlformats.org/spreadsheetml/2006/main" count="10" uniqueCount="10">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</sst>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3" borderId="2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24" borderId="3" applyNumberForma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0" fillId="14" borderId="8" applyNumberFormat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3" fillId="14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16" activePane="bottomLeft" state="frozen"/>
      <selection/>
      <selection pane="bottomLeft" activeCell="E35" sqref="E35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4285695</v>
      </c>
      <c r="D2" s="7">
        <f>SUM(D3:D220)</f>
        <v>4058820.92</v>
      </c>
      <c r="E2" s="8">
        <f>C2-D2</f>
        <v>226874.079999999</v>
      </c>
      <c r="F2" s="9">
        <f>SUM(F3:F220)</f>
        <v>226874.08</v>
      </c>
      <c r="G2" s="10">
        <f>C2-H2</f>
        <v>64521.2431999994</v>
      </c>
      <c r="H2" s="7">
        <f>SUM(H3:H220)</f>
        <v>4221173.7568</v>
      </c>
      <c r="I2" s="10">
        <f>SUM(I3:I220)</f>
        <v>64521.2431999999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6:9">
      <c r="F36" s="11" t="str">
        <f t="shared" si="4"/>
        <v/>
      </c>
      <c r="G36" s="11" t="str">
        <f t="shared" si="5"/>
        <v/>
      </c>
      <c r="H36" s="11" t="str">
        <f t="shared" si="6"/>
        <v/>
      </c>
      <c r="I36" s="11" t="str">
        <f t="shared" si="7"/>
        <v/>
      </c>
    </row>
    <row r="37" spans="6:9">
      <c r="F37" s="11" t="str">
        <f t="shared" si="4"/>
        <v/>
      </c>
      <c r="G37" s="11" t="str">
        <f t="shared" si="5"/>
        <v/>
      </c>
      <c r="H37" s="11" t="str">
        <f t="shared" si="6"/>
        <v/>
      </c>
      <c r="I37" s="11" t="str">
        <f t="shared" si="7"/>
        <v/>
      </c>
    </row>
    <row r="38" spans="6:9">
      <c r="F38" s="11" t="str">
        <f t="shared" si="4"/>
        <v/>
      </c>
      <c r="G38" s="11" t="str">
        <f t="shared" si="5"/>
        <v/>
      </c>
      <c r="H38" s="11" t="str">
        <f t="shared" si="6"/>
        <v/>
      </c>
      <c r="I38" s="11" t="str">
        <f t="shared" si="7"/>
        <v/>
      </c>
    </row>
    <row r="39" spans="6:9">
      <c r="F39" s="11" t="str">
        <f t="shared" si="4"/>
        <v/>
      </c>
      <c r="G39" s="11" t="str">
        <f t="shared" si="5"/>
        <v/>
      </c>
      <c r="H39" s="11" t="str">
        <f t="shared" si="6"/>
        <v/>
      </c>
      <c r="I39" s="11" t="str">
        <f t="shared" si="7"/>
        <v/>
      </c>
    </row>
    <row r="40" spans="6:9">
      <c r="F40" s="11" t="str">
        <f t="shared" si="4"/>
        <v/>
      </c>
      <c r="G40" s="11" t="str">
        <f t="shared" si="5"/>
        <v/>
      </c>
      <c r="H40" s="11" t="str">
        <f t="shared" si="6"/>
        <v/>
      </c>
      <c r="I40" s="11" t="str">
        <f t="shared" si="7"/>
        <v/>
      </c>
    </row>
    <row r="41" spans="6:9">
      <c r="F41" s="11" t="str">
        <f t="shared" si="4"/>
        <v/>
      </c>
      <c r="G41" s="11" t="str">
        <f t="shared" si="5"/>
        <v/>
      </c>
      <c r="H41" s="11" t="str">
        <f t="shared" si="6"/>
        <v/>
      </c>
      <c r="I41" s="11" t="str">
        <f t="shared" si="7"/>
        <v/>
      </c>
    </row>
    <row r="42" spans="6:9">
      <c r="F42" s="11" t="str">
        <f t="shared" si="4"/>
        <v/>
      </c>
      <c r="G42" s="11" t="str">
        <f t="shared" si="5"/>
        <v/>
      </c>
      <c r="H42" s="11" t="str">
        <f t="shared" si="6"/>
        <v/>
      </c>
      <c r="I42" s="11" t="str">
        <f t="shared" si="7"/>
        <v/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2021-02-24T14:26:19Z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