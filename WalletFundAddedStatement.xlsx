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<sst xmlns="http://schemas.openxmlformats.org/spreadsheetml/2006/main" count="10" uniqueCount="10">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</sst>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176" formatCode="[$-409]dd\-mmm\-yy;@"/>
    <numFmt numFmtId="177" formatCode="_ * #,##0_ ;_ * \-#,##0_ ;_ * &quot;-&quot;_ ;_ @_ "/>
    <numFmt numFmtId="178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4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9.2"/>
      <color theme="1"/>
      <name val="Helvetica"/>
      <charset val="134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8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12" borderId="2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2" fillId="23" borderId="5" applyNumberFormat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1" fillId="17" borderId="8" applyNumberFormat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4" fillId="17" borderId="5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4" fillId="0" borderId="0" xfId="0" applyFont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1"/>
  <sheetViews>
    <sheetView tabSelected="1" workbookViewId="0">
      <pane ySplit="2" topLeftCell="A102" activePane="bottomLeft" state="frozen"/>
      <selection/>
      <selection pane="bottomLeft" activeCell="C118" sqref="C118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SUM(C3:C221)</f>
        <v>10029631</v>
      </c>
      <c r="D2" s="7">
        <f>SUM(D3:D221)</f>
        <v>9501785.83678514</v>
      </c>
      <c r="E2" s="8">
        <f>C2-D2</f>
        <v>527845.163214859</v>
      </c>
      <c r="F2" s="9">
        <f>SUM(F3:F221)</f>
        <v>527845.163214861</v>
      </c>
      <c r="G2" s="10">
        <f>C2-H2</f>
        <v>147773.729743453</v>
      </c>
      <c r="H2" s="7">
        <f>SUM(H3:H221)</f>
        <v>9881857.27025655</v>
      </c>
      <c r="I2" s="10">
        <f>SUM(I3:I221)</f>
        <v>147773.729743455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1:9">
      <c r="A34" s="1">
        <v>32</v>
      </c>
      <c r="B34" s="2">
        <v>26304590</v>
      </c>
      <c r="C34" s="11">
        <v>147826</v>
      </c>
      <c r="D34" s="11">
        <v>140000.89</v>
      </c>
      <c r="E34" s="12">
        <v>44248</v>
      </c>
      <c r="F34" s="11">
        <f t="shared" si="4"/>
        <v>7825.10999999999</v>
      </c>
      <c r="G34" s="11">
        <f t="shared" si="5"/>
        <v>5.58932875355291</v>
      </c>
      <c r="H34" s="11">
        <f t="shared" si="6"/>
        <v>145600.9256</v>
      </c>
      <c r="I34" s="11">
        <f t="shared" si="7"/>
        <v>2225.07439999998</v>
      </c>
    </row>
    <row r="35" spans="1:9">
      <c r="A35" s="1">
        <v>33</v>
      </c>
      <c r="B35" s="2">
        <v>26344520</v>
      </c>
      <c r="C35" s="11">
        <v>52795</v>
      </c>
      <c r="D35" s="11">
        <v>49999.89</v>
      </c>
      <c r="E35" s="12">
        <v>44251</v>
      </c>
      <c r="F35" s="11">
        <f t="shared" si="4"/>
        <v>2795.11</v>
      </c>
      <c r="G35" s="11">
        <f t="shared" si="5"/>
        <v>5.59023229851106</v>
      </c>
      <c r="H35" s="11">
        <f t="shared" si="6"/>
        <v>51999.8856</v>
      </c>
      <c r="I35" s="11">
        <f t="shared" si="7"/>
        <v>795.114399999999</v>
      </c>
    </row>
    <row r="36" spans="1:9">
      <c r="A36" s="1">
        <v>34</v>
      </c>
      <c r="B36" s="2">
        <v>26377889</v>
      </c>
      <c r="C36" s="11">
        <v>42236</v>
      </c>
      <c r="D36" s="11">
        <v>40000.11</v>
      </c>
      <c r="E36" s="12">
        <v>44256</v>
      </c>
      <c r="F36" s="11">
        <f t="shared" si="4"/>
        <v>2235.89</v>
      </c>
      <c r="G36" s="11">
        <f t="shared" si="5"/>
        <v>5.58970962829852</v>
      </c>
      <c r="H36" s="11">
        <f t="shared" si="6"/>
        <v>41600.1144</v>
      </c>
      <c r="I36" s="11">
        <f t="shared" si="7"/>
        <v>635.885600000001</v>
      </c>
    </row>
    <row r="37" spans="1:9">
      <c r="A37" s="1">
        <v>35</v>
      </c>
      <c r="B37" s="2">
        <v>26396131</v>
      </c>
      <c r="C37" s="11">
        <v>40018</v>
      </c>
      <c r="D37" s="11">
        <v>37899.54</v>
      </c>
      <c r="E37" s="12">
        <v>44257</v>
      </c>
      <c r="F37" s="11">
        <f t="shared" si="4"/>
        <v>2118.46</v>
      </c>
      <c r="G37" s="11">
        <f t="shared" si="5"/>
        <v>5.58967206462136</v>
      </c>
      <c r="H37" s="11">
        <f t="shared" si="6"/>
        <v>39415.5216</v>
      </c>
      <c r="I37" s="11">
        <f t="shared" si="7"/>
        <v>602.4784</v>
      </c>
    </row>
    <row r="38" spans="1:9">
      <c r="A38" s="1">
        <v>36</v>
      </c>
      <c r="B38" s="2">
        <v>26391779</v>
      </c>
      <c r="C38" s="11">
        <v>15838</v>
      </c>
      <c r="D38" s="11">
        <v>14999.67</v>
      </c>
      <c r="E38" s="12">
        <v>44258</v>
      </c>
      <c r="F38" s="11">
        <f t="shared" si="4"/>
        <v>838.33</v>
      </c>
      <c r="G38" s="11">
        <f t="shared" si="5"/>
        <v>5.5889896244384</v>
      </c>
      <c r="H38" s="11">
        <f t="shared" si="6"/>
        <v>15599.6568</v>
      </c>
      <c r="I38" s="11">
        <f t="shared" si="7"/>
        <v>238.343199999999</v>
      </c>
    </row>
    <row r="39" spans="1:9">
      <c r="A39" s="1">
        <v>37</v>
      </c>
      <c r="B39" s="2">
        <v>26422501</v>
      </c>
      <c r="C39" s="11">
        <v>103900</v>
      </c>
      <c r="D39" s="11">
        <v>98400.29</v>
      </c>
      <c r="E39" s="12">
        <v>44259</v>
      </c>
      <c r="F39" s="11">
        <f t="shared" si="4"/>
        <v>5499.71000000001</v>
      </c>
      <c r="G39" s="11">
        <f t="shared" si="5"/>
        <v>5.58911970686266</v>
      </c>
      <c r="H39" s="11">
        <f t="shared" si="6"/>
        <v>102336.3016</v>
      </c>
      <c r="I39" s="11">
        <f t="shared" si="7"/>
        <v>1563.69840000001</v>
      </c>
    </row>
    <row r="40" spans="1:9">
      <c r="A40" s="1">
        <v>38</v>
      </c>
      <c r="B40" s="2">
        <v>26424678</v>
      </c>
      <c r="C40" s="11">
        <v>17211</v>
      </c>
      <c r="D40" s="11">
        <v>16299.5</v>
      </c>
      <c r="E40" s="12">
        <v>44261</v>
      </c>
      <c r="F40" s="11">
        <f t="shared" si="4"/>
        <v>911.5</v>
      </c>
      <c r="G40" s="11">
        <f t="shared" si="5"/>
        <v>5.59219607963434</v>
      </c>
      <c r="H40" s="11">
        <f t="shared" si="6"/>
        <v>16951.48</v>
      </c>
      <c r="I40" s="11">
        <f t="shared" si="7"/>
        <v>259.52</v>
      </c>
    </row>
    <row r="41" spans="1:9">
      <c r="A41" s="1">
        <v>39</v>
      </c>
      <c r="B41" s="2">
        <v>26426379</v>
      </c>
      <c r="C41" s="11">
        <v>36956</v>
      </c>
      <c r="D41" s="11">
        <v>34999.22</v>
      </c>
      <c r="E41" s="12">
        <v>44261</v>
      </c>
      <c r="F41" s="11">
        <f t="shared" si="4"/>
        <v>1956.78</v>
      </c>
      <c r="G41" s="11">
        <f t="shared" si="5"/>
        <v>5.59092459774817</v>
      </c>
      <c r="H41" s="11">
        <f t="shared" si="6"/>
        <v>36399.1888</v>
      </c>
      <c r="I41" s="11">
        <f t="shared" si="7"/>
        <v>556.811199999996</v>
      </c>
    </row>
    <row r="42" spans="1:9">
      <c r="A42" s="1">
        <v>40</v>
      </c>
      <c r="B42" s="2">
        <v>26446577</v>
      </c>
      <c r="C42" s="11">
        <v>36956</v>
      </c>
      <c r="D42" s="11">
        <v>34999.22</v>
      </c>
      <c r="E42" s="12">
        <v>44262</v>
      </c>
      <c r="F42" s="11">
        <f t="shared" si="4"/>
        <v>1956.78</v>
      </c>
      <c r="G42" s="11">
        <f t="shared" si="5"/>
        <v>5.59092459774817</v>
      </c>
      <c r="H42" s="11">
        <f t="shared" si="6"/>
        <v>36399.1888</v>
      </c>
      <c r="I42" s="11">
        <f t="shared" si="7"/>
        <v>556.811199999996</v>
      </c>
    </row>
    <row r="43" spans="1:9">
      <c r="A43" s="1">
        <v>41</v>
      </c>
      <c r="B43" s="2">
        <v>26457955</v>
      </c>
      <c r="C43" s="11">
        <v>221527</v>
      </c>
      <c r="D43" s="11">
        <v>209799.9</v>
      </c>
      <c r="E43" s="12">
        <v>44264</v>
      </c>
      <c r="F43" s="11">
        <f t="shared" si="4"/>
        <v>11727.1</v>
      </c>
      <c r="G43" s="11">
        <f t="shared" si="5"/>
        <v>5.58965948029527</v>
      </c>
      <c r="H43" s="11">
        <f t="shared" si="6"/>
        <v>218191.896</v>
      </c>
      <c r="I43" s="11">
        <f t="shared" si="7"/>
        <v>3335.10399999999</v>
      </c>
    </row>
    <row r="44" spans="1:9">
      <c r="A44" s="1">
        <v>42</v>
      </c>
      <c r="B44" s="2">
        <v>26418265</v>
      </c>
      <c r="C44" s="11">
        <v>28509</v>
      </c>
      <c r="D44" s="11">
        <v>26999.8</v>
      </c>
      <c r="E44" s="12">
        <v>44267</v>
      </c>
      <c r="F44" s="11">
        <f t="shared" si="4"/>
        <v>1509.2</v>
      </c>
      <c r="G44" s="11">
        <f t="shared" si="5"/>
        <v>5.58967103460026</v>
      </c>
      <c r="H44" s="11">
        <f t="shared" si="6"/>
        <v>28079.792</v>
      </c>
      <c r="I44" s="11">
        <f t="shared" si="7"/>
        <v>429.207999999999</v>
      </c>
    </row>
    <row r="45" spans="1:9">
      <c r="A45" s="1">
        <v>43</v>
      </c>
      <c r="B45" s="2">
        <v>26499129</v>
      </c>
      <c r="C45" s="11">
        <v>47515</v>
      </c>
      <c r="D45" s="11">
        <v>45000</v>
      </c>
      <c r="E45" s="12">
        <v>44268</v>
      </c>
      <c r="F45" s="11">
        <f t="shared" si="4"/>
        <v>2515</v>
      </c>
      <c r="G45" s="11">
        <f t="shared" si="5"/>
        <v>5.58888888888889</v>
      </c>
      <c r="H45" s="11">
        <f t="shared" si="6"/>
        <v>46800</v>
      </c>
      <c r="I45" s="11">
        <f t="shared" si="7"/>
        <v>715</v>
      </c>
    </row>
    <row r="46" spans="1:9">
      <c r="A46" s="1">
        <v>44</v>
      </c>
      <c r="B46" s="2">
        <v>26480730</v>
      </c>
      <c r="C46" s="11">
        <v>42236</v>
      </c>
      <c r="D46" s="11">
        <v>40000.11</v>
      </c>
      <c r="E46" s="12">
        <v>44269</v>
      </c>
      <c r="F46" s="11">
        <f t="shared" si="4"/>
        <v>2235.89</v>
      </c>
      <c r="G46" s="11">
        <f t="shared" si="5"/>
        <v>5.58970962829852</v>
      </c>
      <c r="H46" s="11">
        <f t="shared" si="6"/>
        <v>41600.1144</v>
      </c>
      <c r="I46" s="11">
        <f t="shared" si="7"/>
        <v>635.885600000001</v>
      </c>
    </row>
    <row r="47" spans="1:9">
      <c r="A47" s="1">
        <v>45</v>
      </c>
      <c r="B47" s="2">
        <v>26494758</v>
      </c>
      <c r="C47" s="11">
        <v>31677</v>
      </c>
      <c r="D47" s="11">
        <v>30000.33</v>
      </c>
      <c r="E47" s="12">
        <v>44270</v>
      </c>
      <c r="F47" s="11">
        <f t="shared" si="4"/>
        <v>1676.67</v>
      </c>
      <c r="G47" s="11">
        <f t="shared" si="5"/>
        <v>5.58883852277624</v>
      </c>
      <c r="H47" s="11">
        <f t="shared" si="6"/>
        <v>31200.3432</v>
      </c>
      <c r="I47" s="11">
        <f t="shared" si="7"/>
        <v>476.656799999997</v>
      </c>
    </row>
    <row r="48" spans="1:9">
      <c r="A48" s="1">
        <v>46</v>
      </c>
      <c r="B48" s="2">
        <v>26520745</v>
      </c>
      <c r="C48" s="11">
        <v>52795</v>
      </c>
      <c r="D48" s="11">
        <v>49999.89</v>
      </c>
      <c r="E48" s="12">
        <v>44271</v>
      </c>
      <c r="F48" s="11">
        <f t="shared" si="4"/>
        <v>2795.11</v>
      </c>
      <c r="G48" s="11">
        <f t="shared" si="5"/>
        <v>5.59023229851106</v>
      </c>
      <c r="H48" s="11">
        <f t="shared" si="6"/>
        <v>51999.8856</v>
      </c>
      <c r="I48" s="11">
        <f t="shared" si="7"/>
        <v>795.114399999999</v>
      </c>
    </row>
    <row r="49" spans="1:9">
      <c r="A49" s="1">
        <v>47</v>
      </c>
      <c r="B49" s="2">
        <v>26520801</v>
      </c>
      <c r="C49" s="11">
        <v>23464</v>
      </c>
      <c r="D49" s="11">
        <v>22221.39</v>
      </c>
      <c r="E49" s="12">
        <v>44271</v>
      </c>
      <c r="F49" s="11">
        <f t="shared" si="4"/>
        <v>1242.61</v>
      </c>
      <c r="G49" s="11">
        <f t="shared" si="5"/>
        <v>5.59195441869298</v>
      </c>
      <c r="H49" s="11">
        <f t="shared" si="6"/>
        <v>23110.2456</v>
      </c>
      <c r="I49" s="11">
        <f t="shared" si="7"/>
        <v>353.754400000002</v>
      </c>
    </row>
    <row r="50" spans="1:9">
      <c r="A50" s="1">
        <v>48</v>
      </c>
      <c r="B50" s="2">
        <v>25824156</v>
      </c>
      <c r="C50" s="11">
        <v>26397</v>
      </c>
      <c r="D50" s="11">
        <v>24999.44</v>
      </c>
      <c r="E50" s="12">
        <v>44273</v>
      </c>
      <c r="F50" s="11">
        <f t="shared" si="4"/>
        <v>1397.56</v>
      </c>
      <c r="G50" s="11">
        <f t="shared" si="5"/>
        <v>5.59036522418103</v>
      </c>
      <c r="H50" s="11">
        <f t="shared" si="6"/>
        <v>25999.4176</v>
      </c>
      <c r="I50" s="11">
        <f t="shared" si="7"/>
        <v>397.582399999999</v>
      </c>
    </row>
    <row r="51" spans="1:9">
      <c r="A51" s="1">
        <v>49</v>
      </c>
      <c r="B51" s="2">
        <v>26557418</v>
      </c>
      <c r="C51" s="11">
        <v>126708</v>
      </c>
      <c r="D51" s="11">
        <v>120000.34</v>
      </c>
      <c r="E51" s="12">
        <v>44275</v>
      </c>
      <c r="F51" s="11">
        <f t="shared" si="4"/>
        <v>6707.66</v>
      </c>
      <c r="G51" s="11">
        <f t="shared" si="5"/>
        <v>5.58970082918099</v>
      </c>
      <c r="H51" s="11">
        <f t="shared" si="6"/>
        <v>124800.3536</v>
      </c>
      <c r="I51" s="11">
        <f t="shared" si="7"/>
        <v>1907.6464</v>
      </c>
    </row>
    <row r="52" spans="1:9">
      <c r="A52" s="1">
        <v>50</v>
      </c>
      <c r="B52" s="2">
        <v>26565040</v>
      </c>
      <c r="C52" s="11">
        <v>22174</v>
      </c>
      <c r="D52" s="11">
        <v>20999.73</v>
      </c>
      <c r="E52" s="12">
        <v>44277</v>
      </c>
      <c r="F52" s="11">
        <f t="shared" si="4"/>
        <v>1174.27</v>
      </c>
      <c r="G52" s="11">
        <f t="shared" si="5"/>
        <v>5.5918337997679</v>
      </c>
      <c r="H52" s="11">
        <f t="shared" si="6"/>
        <v>21839.7192</v>
      </c>
      <c r="I52" s="11">
        <f t="shared" si="7"/>
        <v>334.2808</v>
      </c>
    </row>
    <row r="53" spans="1:9">
      <c r="A53" s="1">
        <v>51</v>
      </c>
      <c r="B53" s="2">
        <v>26577691</v>
      </c>
      <c r="C53" s="11">
        <v>15838</v>
      </c>
      <c r="D53" s="11">
        <v>14999.67</v>
      </c>
      <c r="E53" s="12">
        <v>44278</v>
      </c>
      <c r="F53" s="11">
        <f t="shared" si="4"/>
        <v>838.33</v>
      </c>
      <c r="G53" s="11">
        <f t="shared" si="5"/>
        <v>5.5889896244384</v>
      </c>
      <c r="H53" s="11">
        <f t="shared" si="6"/>
        <v>15599.6568</v>
      </c>
      <c r="I53" s="11">
        <f t="shared" si="7"/>
        <v>238.343199999999</v>
      </c>
    </row>
    <row r="54" spans="1:9">
      <c r="A54" s="1">
        <v>51</v>
      </c>
      <c r="B54" s="2">
        <v>26543741</v>
      </c>
      <c r="C54" s="11">
        <v>31677</v>
      </c>
      <c r="D54" s="11">
        <v>30000.33</v>
      </c>
      <c r="E54" s="12">
        <v>44278</v>
      </c>
      <c r="F54" s="11">
        <f t="shared" si="4"/>
        <v>1676.67</v>
      </c>
      <c r="G54" s="11">
        <f t="shared" si="5"/>
        <v>5.58883852277624</v>
      </c>
      <c r="H54" s="11">
        <f t="shared" si="6"/>
        <v>31200.3432</v>
      </c>
      <c r="I54" s="11">
        <f t="shared" si="7"/>
        <v>476.656799999997</v>
      </c>
    </row>
    <row r="55" spans="1:9">
      <c r="A55" s="1">
        <v>52</v>
      </c>
      <c r="B55" s="2">
        <v>26575351</v>
      </c>
      <c r="C55" s="11">
        <v>35900</v>
      </c>
      <c r="D55" s="11">
        <v>34000.04</v>
      </c>
      <c r="E55" s="12">
        <v>44278</v>
      </c>
      <c r="F55" s="11">
        <f t="shared" si="4"/>
        <v>1899.96</v>
      </c>
      <c r="G55" s="11">
        <f t="shared" si="5"/>
        <v>5.5881110728105</v>
      </c>
      <c r="H55" s="11">
        <f t="shared" si="6"/>
        <v>35360.0416</v>
      </c>
      <c r="I55" s="11">
        <f t="shared" si="7"/>
        <v>539.958399999996</v>
      </c>
    </row>
    <row r="56" spans="1:9">
      <c r="A56" s="1">
        <v>53</v>
      </c>
      <c r="B56" s="2">
        <v>26575086</v>
      </c>
      <c r="C56" s="11">
        <v>21118</v>
      </c>
      <c r="D56" s="11">
        <v>20000.56</v>
      </c>
      <c r="E56" s="12">
        <v>44279</v>
      </c>
      <c r="F56" s="11">
        <f t="shared" si="4"/>
        <v>1117.44</v>
      </c>
      <c r="G56" s="11">
        <f t="shared" si="5"/>
        <v>5.58704356278024</v>
      </c>
      <c r="H56" s="11">
        <f t="shared" si="6"/>
        <v>20800.5824</v>
      </c>
      <c r="I56" s="11">
        <f t="shared" si="7"/>
        <v>317.417599999997</v>
      </c>
    </row>
    <row r="57" spans="1:9">
      <c r="A57" s="1">
        <v>54</v>
      </c>
      <c r="B57" s="2">
        <v>26588279</v>
      </c>
      <c r="C57" s="11">
        <v>38857</v>
      </c>
      <c r="D57" s="11">
        <v>36800.14</v>
      </c>
      <c r="E57" s="12">
        <v>44280</v>
      </c>
      <c r="F57" s="11">
        <f t="shared" si="4"/>
        <v>2056.86</v>
      </c>
      <c r="G57" s="11">
        <f t="shared" si="5"/>
        <v>5.58927221472527</v>
      </c>
      <c r="H57" s="11">
        <f t="shared" si="6"/>
        <v>38272.1456</v>
      </c>
      <c r="I57" s="11">
        <f t="shared" si="7"/>
        <v>584.854399999997</v>
      </c>
    </row>
    <row r="58" spans="1:9">
      <c r="A58" s="1">
        <v>55</v>
      </c>
      <c r="B58" s="2">
        <v>26594327</v>
      </c>
      <c r="C58" s="11">
        <v>31677</v>
      </c>
      <c r="D58" s="11">
        <v>30000.33</v>
      </c>
      <c r="E58" s="12">
        <v>44280</v>
      </c>
      <c r="F58" s="11">
        <f t="shared" si="4"/>
        <v>1676.67</v>
      </c>
      <c r="G58" s="11">
        <f t="shared" si="5"/>
        <v>5.58883852277624</v>
      </c>
      <c r="H58" s="11">
        <f t="shared" si="6"/>
        <v>31200.3432</v>
      </c>
      <c r="I58" s="11">
        <f t="shared" si="7"/>
        <v>476.656799999997</v>
      </c>
    </row>
    <row r="59" spans="1:9">
      <c r="A59" s="1">
        <v>56</v>
      </c>
      <c r="B59" s="2">
        <v>26613703</v>
      </c>
      <c r="C59" s="11">
        <v>52795</v>
      </c>
      <c r="D59" s="11">
        <v>49999.89</v>
      </c>
      <c r="E59" s="12">
        <v>44282</v>
      </c>
      <c r="F59" s="11">
        <f t="shared" si="4"/>
        <v>2795.11</v>
      </c>
      <c r="G59" s="11">
        <f t="shared" si="5"/>
        <v>5.59023229851106</v>
      </c>
      <c r="H59" s="11">
        <f t="shared" si="6"/>
        <v>51999.8856</v>
      </c>
      <c r="I59" s="11">
        <f t="shared" si="7"/>
        <v>795.114399999999</v>
      </c>
    </row>
    <row r="60" spans="1:9">
      <c r="A60" s="1">
        <v>57</v>
      </c>
      <c r="B60" s="2">
        <v>26616616</v>
      </c>
      <c r="C60" s="11">
        <v>47515</v>
      </c>
      <c r="D60" s="11">
        <v>45000</v>
      </c>
      <c r="E60" s="12">
        <v>44283</v>
      </c>
      <c r="F60" s="11">
        <f t="shared" si="4"/>
        <v>2515</v>
      </c>
      <c r="G60" s="11">
        <f t="shared" si="5"/>
        <v>5.58888888888889</v>
      </c>
      <c r="H60" s="11">
        <f t="shared" si="6"/>
        <v>46800</v>
      </c>
      <c r="I60" s="11">
        <f t="shared" si="7"/>
        <v>715</v>
      </c>
    </row>
    <row r="61" spans="1:9">
      <c r="A61" s="1">
        <v>58</v>
      </c>
      <c r="B61" s="2">
        <v>26620844</v>
      </c>
      <c r="C61" s="11">
        <v>26397</v>
      </c>
      <c r="D61" s="11">
        <v>24999.44</v>
      </c>
      <c r="E61" s="12">
        <v>44285</v>
      </c>
      <c r="F61" s="11">
        <f t="shared" si="4"/>
        <v>1397.56</v>
      </c>
      <c r="G61" s="11">
        <f t="shared" si="5"/>
        <v>5.59036522418103</v>
      </c>
      <c r="H61" s="11">
        <f t="shared" si="6"/>
        <v>25999.4176</v>
      </c>
      <c r="I61" s="11">
        <f t="shared" si="7"/>
        <v>397.582399999999</v>
      </c>
    </row>
    <row r="62" spans="1:9">
      <c r="A62" s="1">
        <v>59</v>
      </c>
      <c r="B62" s="2">
        <v>26612971</v>
      </c>
      <c r="C62" s="11">
        <v>47515</v>
      </c>
      <c r="D62" s="11">
        <v>45000</v>
      </c>
      <c r="E62" s="12">
        <v>44286</v>
      </c>
      <c r="F62" s="11">
        <f t="shared" si="4"/>
        <v>2515</v>
      </c>
      <c r="G62" s="11">
        <f t="shared" si="5"/>
        <v>5.58888888888889</v>
      </c>
      <c r="H62" s="11">
        <f t="shared" si="6"/>
        <v>46800</v>
      </c>
      <c r="I62" s="11">
        <f t="shared" si="7"/>
        <v>715</v>
      </c>
    </row>
    <row r="63" spans="1:9">
      <c r="A63" s="1">
        <v>60</v>
      </c>
      <c r="B63" s="2">
        <v>26645301</v>
      </c>
      <c r="C63" s="11">
        <v>68583</v>
      </c>
      <c r="D63" s="11">
        <v>64999.6</v>
      </c>
      <c r="E63" s="12">
        <v>44287</v>
      </c>
      <c r="F63" s="11">
        <f t="shared" si="4"/>
        <v>3583.4</v>
      </c>
      <c r="G63" s="11">
        <f t="shared" si="5"/>
        <v>5.51295700281233</v>
      </c>
      <c r="H63" s="11">
        <f t="shared" si="6"/>
        <v>67599.584</v>
      </c>
      <c r="I63" s="11">
        <f t="shared" si="7"/>
        <v>983.415999999997</v>
      </c>
    </row>
    <row r="64" spans="1:9">
      <c r="A64" s="1">
        <v>61</v>
      </c>
      <c r="B64" s="2">
        <v>26657499</v>
      </c>
      <c r="C64" s="11">
        <v>63308</v>
      </c>
      <c r="D64" s="11">
        <v>60000.1</v>
      </c>
      <c r="E64" s="12">
        <v>44288</v>
      </c>
      <c r="F64" s="11">
        <f t="shared" si="4"/>
        <v>3307.9</v>
      </c>
      <c r="G64" s="11">
        <f t="shared" si="5"/>
        <v>5.51315747807087</v>
      </c>
      <c r="H64" s="11">
        <f t="shared" si="6"/>
        <v>62400.104</v>
      </c>
      <c r="I64" s="11">
        <f t="shared" si="7"/>
        <v>907.896000000001</v>
      </c>
    </row>
    <row r="65" spans="1:9">
      <c r="A65" s="1">
        <v>62</v>
      </c>
      <c r="B65" s="2">
        <v>26378669</v>
      </c>
      <c r="C65" s="11">
        <v>52757</v>
      </c>
      <c r="D65" s="11">
        <v>50000.08</v>
      </c>
      <c r="E65" s="12">
        <v>44289</v>
      </c>
      <c r="F65" s="11">
        <f t="shared" si="4"/>
        <v>2756.92</v>
      </c>
      <c r="G65" s="11">
        <f t="shared" si="5"/>
        <v>5.51383117787011</v>
      </c>
      <c r="H65" s="11">
        <f t="shared" si="6"/>
        <v>52000.0832</v>
      </c>
      <c r="I65" s="11">
        <f t="shared" si="7"/>
        <v>756.916799999999</v>
      </c>
    </row>
    <row r="66" spans="1:9">
      <c r="A66" s="1">
        <v>63</v>
      </c>
      <c r="B66" s="2">
        <v>26666554</v>
      </c>
      <c r="C66" s="11">
        <v>79135</v>
      </c>
      <c r="D66" s="11">
        <v>75000.62</v>
      </c>
      <c r="E66" s="12">
        <v>44290</v>
      </c>
      <c r="F66" s="11">
        <f t="shared" si="4"/>
        <v>4134.38</v>
      </c>
      <c r="G66" s="11">
        <f t="shared" si="5"/>
        <v>5.51246109698827</v>
      </c>
      <c r="H66" s="11">
        <f t="shared" si="6"/>
        <v>78000.6448</v>
      </c>
      <c r="I66" s="11">
        <f t="shared" si="7"/>
        <v>1134.35520000001</v>
      </c>
    </row>
    <row r="67" spans="1:9">
      <c r="A67" s="1">
        <v>64</v>
      </c>
      <c r="B67" s="2">
        <v>26675755</v>
      </c>
      <c r="C67" s="11">
        <v>49591</v>
      </c>
      <c r="D67" s="11">
        <v>46999.38</v>
      </c>
      <c r="E67" s="12">
        <v>44292</v>
      </c>
      <c r="F67" s="11">
        <f t="shared" si="4"/>
        <v>2591.62</v>
      </c>
      <c r="G67" s="11">
        <f t="shared" si="5"/>
        <v>5.51415784633755</v>
      </c>
      <c r="H67" s="11">
        <f t="shared" si="6"/>
        <v>48879.3552</v>
      </c>
      <c r="I67" s="11">
        <f t="shared" si="7"/>
        <v>711.644800000002</v>
      </c>
    </row>
    <row r="68" spans="1:9">
      <c r="A68" s="1">
        <v>65</v>
      </c>
      <c r="B68" s="2">
        <v>26687600</v>
      </c>
      <c r="C68" s="11">
        <v>52757</v>
      </c>
      <c r="D68" s="11">
        <v>50000.08</v>
      </c>
      <c r="E68" s="12">
        <v>44293</v>
      </c>
      <c r="F68" s="11">
        <f t="shared" si="4"/>
        <v>2756.92</v>
      </c>
      <c r="G68" s="11">
        <f t="shared" si="5"/>
        <v>5.51383117787011</v>
      </c>
      <c r="H68" s="11">
        <f t="shared" si="6"/>
        <v>52000.0832</v>
      </c>
      <c r="I68" s="11">
        <f t="shared" si="7"/>
        <v>756.916799999999</v>
      </c>
    </row>
    <row r="69" spans="1:9">
      <c r="A69" s="1">
        <v>66</v>
      </c>
      <c r="B69" s="2">
        <v>26689489</v>
      </c>
      <c r="C69" s="11">
        <v>86310</v>
      </c>
      <c r="D69" s="11">
        <v>81800.35</v>
      </c>
      <c r="E69" s="12">
        <v>44294</v>
      </c>
      <c r="F69" s="11">
        <f t="shared" si="4"/>
        <v>4509.64999999999</v>
      </c>
      <c r="G69" s="11">
        <f t="shared" si="5"/>
        <v>5.51299597128862</v>
      </c>
      <c r="H69" s="11">
        <f t="shared" si="6"/>
        <v>85072.364</v>
      </c>
      <c r="I69" s="11">
        <f t="shared" si="7"/>
        <v>1237.63599999998</v>
      </c>
    </row>
    <row r="70" spans="1:9">
      <c r="A70" s="1">
        <v>67</v>
      </c>
      <c r="B70" s="2">
        <v>26718802</v>
      </c>
      <c r="C70" s="11">
        <v>18992</v>
      </c>
      <c r="D70" s="11">
        <v>17999.23</v>
      </c>
      <c r="E70" s="12">
        <v>44297</v>
      </c>
      <c r="F70" s="11">
        <f t="shared" si="4"/>
        <v>992.77</v>
      </c>
      <c r="G70" s="11">
        <f t="shared" si="5"/>
        <v>5.51562483506239</v>
      </c>
      <c r="H70" s="11">
        <f t="shared" si="6"/>
        <v>18719.1992</v>
      </c>
      <c r="I70" s="11">
        <f t="shared" si="7"/>
        <v>272.800800000001</v>
      </c>
    </row>
    <row r="71" spans="1:9">
      <c r="A71" s="1">
        <v>68</v>
      </c>
      <c r="B71" s="2">
        <v>26715231</v>
      </c>
      <c r="C71" s="11">
        <v>31654</v>
      </c>
      <c r="D71" s="11">
        <v>30000.05</v>
      </c>
      <c r="E71" s="12">
        <v>44297</v>
      </c>
      <c r="F71" s="11">
        <f t="shared" si="4"/>
        <v>1653.95</v>
      </c>
      <c r="G71" s="11">
        <f t="shared" si="5"/>
        <v>5.51315747807087</v>
      </c>
      <c r="H71" s="11">
        <f t="shared" si="6"/>
        <v>31200.052</v>
      </c>
      <c r="I71" s="11">
        <f t="shared" si="7"/>
        <v>453.948</v>
      </c>
    </row>
    <row r="72" spans="1:9">
      <c r="A72" s="1">
        <v>69</v>
      </c>
      <c r="B72" s="2">
        <v>26724015</v>
      </c>
      <c r="C72" s="11">
        <v>84410</v>
      </c>
      <c r="D72" s="11">
        <v>79999.13</v>
      </c>
      <c r="E72" s="12">
        <v>44298</v>
      </c>
      <c r="F72" s="11">
        <f t="shared" si="4"/>
        <v>4410.87</v>
      </c>
      <c r="G72" s="11">
        <f t="shared" si="5"/>
        <v>5.51364746091613</v>
      </c>
      <c r="H72" s="11">
        <f t="shared" si="6"/>
        <v>83199.0952</v>
      </c>
      <c r="I72" s="11">
        <f t="shared" si="7"/>
        <v>1210.90479999999</v>
      </c>
    </row>
    <row r="73" spans="1:9">
      <c r="A73" s="1">
        <v>70</v>
      </c>
      <c r="B73" s="2">
        <v>26744506</v>
      </c>
      <c r="C73" s="11">
        <v>105513</v>
      </c>
      <c r="D73" s="11">
        <v>100000.16</v>
      </c>
      <c r="E73" s="12">
        <v>44299</v>
      </c>
      <c r="F73" s="11">
        <f t="shared" si="4"/>
        <v>5512.84</v>
      </c>
      <c r="G73" s="11">
        <f t="shared" si="5"/>
        <v>5.51283117947011</v>
      </c>
      <c r="H73" s="11">
        <f t="shared" si="6"/>
        <v>104000.1664</v>
      </c>
      <c r="I73" s="11">
        <f t="shared" si="7"/>
        <v>1512.8336</v>
      </c>
    </row>
    <row r="74" spans="1:9">
      <c r="A74" s="1">
        <v>71</v>
      </c>
      <c r="B74" s="2">
        <v>26731087</v>
      </c>
      <c r="C74" s="11">
        <v>11923</v>
      </c>
      <c r="D74" s="11">
        <v>11299.79</v>
      </c>
      <c r="E74" s="12">
        <v>44301</v>
      </c>
      <c r="F74" s="11">
        <f t="shared" si="4"/>
        <v>623.209999999999</v>
      </c>
      <c r="G74" s="11">
        <f t="shared" si="5"/>
        <v>5.51523523888496</v>
      </c>
      <c r="H74" s="11">
        <f t="shared" si="6"/>
        <v>11751.7816</v>
      </c>
      <c r="I74" s="11">
        <f t="shared" si="7"/>
        <v>171.218399999998</v>
      </c>
    </row>
    <row r="75" spans="1:9">
      <c r="A75" s="1">
        <v>72</v>
      </c>
      <c r="B75" s="2">
        <v>26755972</v>
      </c>
      <c r="C75" s="11">
        <v>44949</v>
      </c>
      <c r="D75" s="11">
        <v>42600.61</v>
      </c>
      <c r="E75" s="12">
        <v>44302</v>
      </c>
      <c r="F75" s="11">
        <f t="shared" si="4"/>
        <v>2348.39</v>
      </c>
      <c r="G75" s="11">
        <f t="shared" si="5"/>
        <v>5.51257364624591</v>
      </c>
      <c r="H75" s="11">
        <f t="shared" si="6"/>
        <v>44304.6344</v>
      </c>
      <c r="I75" s="11">
        <f t="shared" si="7"/>
        <v>644.365599999997</v>
      </c>
    </row>
    <row r="76" spans="1:9">
      <c r="A76" s="1">
        <v>73</v>
      </c>
      <c r="B76" s="2">
        <v>26767217</v>
      </c>
      <c r="C76" s="11">
        <v>63308</v>
      </c>
      <c r="D76" s="11">
        <v>60000.1</v>
      </c>
      <c r="E76" s="12">
        <v>44303</v>
      </c>
      <c r="F76" s="11">
        <f t="shared" si="4"/>
        <v>3307.9</v>
      </c>
      <c r="G76" s="11">
        <f t="shared" si="5"/>
        <v>5.51315747807087</v>
      </c>
      <c r="H76" s="11">
        <f t="shared" si="6"/>
        <v>62400.104</v>
      </c>
      <c r="I76" s="11">
        <f t="shared" si="7"/>
        <v>907.896000000001</v>
      </c>
    </row>
    <row r="77" spans="1:9">
      <c r="A77" s="1">
        <v>74</v>
      </c>
      <c r="B77" s="2">
        <v>26779891</v>
      </c>
      <c r="C77" s="11">
        <v>52757</v>
      </c>
      <c r="D77" s="11">
        <v>50000.08</v>
      </c>
      <c r="E77" s="12">
        <v>44305</v>
      </c>
      <c r="F77" s="11">
        <f t="shared" si="4"/>
        <v>2756.92</v>
      </c>
      <c r="G77" s="11">
        <f t="shared" si="5"/>
        <v>5.51383117787011</v>
      </c>
      <c r="H77" s="11">
        <f t="shared" si="6"/>
        <v>52000.0832</v>
      </c>
      <c r="I77" s="11">
        <f t="shared" si="7"/>
        <v>756.916799999999</v>
      </c>
    </row>
    <row r="78" spans="1:9">
      <c r="A78" s="2">
        <v>75</v>
      </c>
      <c r="B78" s="2">
        <v>26750644</v>
      </c>
      <c r="C78" s="11">
        <v>48536</v>
      </c>
      <c r="D78" s="11">
        <v>46000.47</v>
      </c>
      <c r="E78" s="12">
        <v>44305</v>
      </c>
      <c r="F78" s="11">
        <f t="shared" si="4"/>
        <v>2535.53</v>
      </c>
      <c r="G78" s="11">
        <f t="shared" si="5"/>
        <v>5.51196542122287</v>
      </c>
      <c r="H78" s="11">
        <f t="shared" si="6"/>
        <v>47840.4888</v>
      </c>
      <c r="I78" s="11">
        <f t="shared" si="7"/>
        <v>695.511199999994</v>
      </c>
    </row>
    <row r="79" spans="1:9">
      <c r="A79" s="2">
        <v>76</v>
      </c>
      <c r="B79" s="2">
        <v>26763879</v>
      </c>
      <c r="C79" s="11">
        <v>21103</v>
      </c>
      <c r="D79" s="11">
        <v>20000.03</v>
      </c>
      <c r="E79" s="12">
        <v>44307</v>
      </c>
      <c r="F79" s="11">
        <f t="shared" si="4"/>
        <v>1102.97</v>
      </c>
      <c r="G79" s="11">
        <f t="shared" si="5"/>
        <v>5.51484172773741</v>
      </c>
      <c r="H79" s="11">
        <f t="shared" si="6"/>
        <v>20800.0312</v>
      </c>
      <c r="I79" s="11">
        <f t="shared" si="7"/>
        <v>302.968799999999</v>
      </c>
    </row>
    <row r="80" spans="1:9">
      <c r="A80" s="2">
        <v>77</v>
      </c>
      <c r="B80" s="2">
        <v>26785136</v>
      </c>
      <c r="C80" s="11">
        <v>52757</v>
      </c>
      <c r="D80" s="11">
        <v>50000.08</v>
      </c>
      <c r="E80" s="12">
        <v>44308</v>
      </c>
      <c r="F80" s="11">
        <f t="shared" si="4"/>
        <v>2756.92</v>
      </c>
      <c r="G80" s="11">
        <f t="shared" si="5"/>
        <v>5.51383117787011</v>
      </c>
      <c r="H80" s="11">
        <f t="shared" si="6"/>
        <v>52000.0832</v>
      </c>
      <c r="I80" s="11">
        <f t="shared" si="7"/>
        <v>756.916799999999</v>
      </c>
    </row>
    <row r="81" spans="1:9">
      <c r="A81" s="2">
        <v>78</v>
      </c>
      <c r="B81" s="2">
        <v>26801716</v>
      </c>
      <c r="C81" s="11">
        <v>74492</v>
      </c>
      <c r="D81" s="11">
        <v>70599.85</v>
      </c>
      <c r="E81" s="12">
        <v>44308</v>
      </c>
      <c r="F81" s="11">
        <f t="shared" si="4"/>
        <v>3892.14999999999</v>
      </c>
      <c r="G81" s="11">
        <f t="shared" si="5"/>
        <v>5.51297205305676</v>
      </c>
      <c r="H81" s="11">
        <f t="shared" si="6"/>
        <v>73423.844</v>
      </c>
      <c r="I81" s="11">
        <f t="shared" si="7"/>
        <v>1068.15599999999</v>
      </c>
    </row>
    <row r="82" spans="1:9">
      <c r="A82" s="2">
        <v>79</v>
      </c>
      <c r="B82" s="2">
        <v>26658659</v>
      </c>
      <c r="C82" s="11">
        <v>47481</v>
      </c>
      <c r="D82" s="11">
        <v>45000.57</v>
      </c>
      <c r="E82" s="12">
        <v>44310</v>
      </c>
      <c r="F82" s="11">
        <f>IF(B82="","",C82-D82)</f>
        <v>2480.43</v>
      </c>
      <c r="G82" s="11">
        <f>IF(B82="","",F82/D82*100)</f>
        <v>5.51199684803993</v>
      </c>
      <c r="H82" s="11">
        <f>IF(B82="","",D82*1.04)</f>
        <v>46800.5928</v>
      </c>
      <c r="I82" s="11">
        <f>IF(B82="","",C82-H82)</f>
        <v>680.407200000001</v>
      </c>
    </row>
    <row r="83" spans="1:9">
      <c r="A83" s="2">
        <v>80</v>
      </c>
      <c r="B83" s="2">
        <v>26817645</v>
      </c>
      <c r="C83" s="11">
        <v>79135</v>
      </c>
      <c r="D83" s="11">
        <v>75000.62</v>
      </c>
      <c r="E83" s="12">
        <v>44311</v>
      </c>
      <c r="F83" s="11">
        <f t="shared" ref="F83:F146" si="8">IF(B83="","",C83-D83)</f>
        <v>4134.38</v>
      </c>
      <c r="G83" s="11">
        <f t="shared" ref="G83:G146" si="9">IF(B83="","",F83/D83*100)</f>
        <v>5.51246109698827</v>
      </c>
      <c r="H83" s="11">
        <f t="shared" ref="H83:H146" si="10">IF(B83="","",D83*1.04)</f>
        <v>78000.6448</v>
      </c>
      <c r="I83" s="11">
        <f t="shared" ref="I83:I146" si="11">IF(B83="","",C83-H83)</f>
        <v>1134.35520000001</v>
      </c>
    </row>
    <row r="84" spans="1:9">
      <c r="A84" s="2">
        <v>81</v>
      </c>
      <c r="B84" s="2">
        <v>26816773</v>
      </c>
      <c r="C84" s="11">
        <v>94962</v>
      </c>
      <c r="D84" s="11">
        <v>90000.15</v>
      </c>
      <c r="E84" s="12">
        <v>44312</v>
      </c>
      <c r="F84" s="11">
        <f t="shared" si="8"/>
        <v>4961.85000000001</v>
      </c>
      <c r="G84" s="11">
        <f t="shared" si="9"/>
        <v>5.51315747807088</v>
      </c>
      <c r="H84" s="11">
        <f t="shared" si="10"/>
        <v>93600.156</v>
      </c>
      <c r="I84" s="11">
        <f t="shared" si="11"/>
        <v>1361.844</v>
      </c>
    </row>
    <row r="85" spans="1:9">
      <c r="A85" s="2">
        <v>82</v>
      </c>
      <c r="B85" s="13">
        <v>26846210</v>
      </c>
      <c r="C85" s="11">
        <v>126616</v>
      </c>
      <c r="D85" s="11">
        <v>120000.19</v>
      </c>
      <c r="E85" s="12">
        <v>44314</v>
      </c>
      <c r="F85" s="11">
        <f t="shared" si="8"/>
        <v>6615.81</v>
      </c>
      <c r="G85" s="11">
        <f t="shared" si="9"/>
        <v>5.51316627082007</v>
      </c>
      <c r="H85" s="11">
        <f t="shared" si="10"/>
        <v>124800.1976</v>
      </c>
      <c r="I85" s="11">
        <f t="shared" si="11"/>
        <v>1815.8024</v>
      </c>
    </row>
    <row r="86" spans="1:9">
      <c r="A86" s="2">
        <v>83</v>
      </c>
      <c r="B86" s="13">
        <v>26850036</v>
      </c>
      <c r="C86" s="11">
        <v>25323</v>
      </c>
      <c r="D86" s="11">
        <v>23999.64</v>
      </c>
      <c r="E86" s="12">
        <v>44315</v>
      </c>
      <c r="F86" s="11">
        <f t="shared" si="8"/>
        <v>1323.36</v>
      </c>
      <c r="G86" s="11">
        <f t="shared" si="9"/>
        <v>5.51408271124067</v>
      </c>
      <c r="H86" s="11">
        <f t="shared" si="10"/>
        <v>24959.6256</v>
      </c>
      <c r="I86" s="11">
        <f t="shared" si="11"/>
        <v>363.374400000001</v>
      </c>
    </row>
    <row r="87" spans="1:9">
      <c r="A87" s="2">
        <v>84</v>
      </c>
      <c r="B87" s="13">
        <v>26851112</v>
      </c>
      <c r="C87" s="11">
        <v>47481</v>
      </c>
      <c r="D87" s="11">
        <v>45000.57</v>
      </c>
      <c r="E87" s="12">
        <v>44316</v>
      </c>
      <c r="F87" s="11">
        <f t="shared" si="8"/>
        <v>2480.43</v>
      </c>
      <c r="G87" s="11">
        <f t="shared" si="9"/>
        <v>5.51199684803993</v>
      </c>
      <c r="H87" s="11">
        <f t="shared" si="10"/>
        <v>46800.5928</v>
      </c>
      <c r="I87" s="11">
        <f t="shared" si="11"/>
        <v>680.407200000001</v>
      </c>
    </row>
    <row r="88" spans="1:9">
      <c r="A88" s="2">
        <v>85</v>
      </c>
      <c r="B88" s="13">
        <v>26862032</v>
      </c>
      <c r="C88" s="11">
        <v>42205</v>
      </c>
      <c r="D88" s="11">
        <v>40000.06</v>
      </c>
      <c r="E88" s="12">
        <v>44318</v>
      </c>
      <c r="F88" s="11">
        <f t="shared" si="8"/>
        <v>2204.94</v>
      </c>
      <c r="G88" s="11">
        <f t="shared" si="9"/>
        <v>5.51234173148741</v>
      </c>
      <c r="H88" s="11">
        <f t="shared" si="10"/>
        <v>41600.0624</v>
      </c>
      <c r="I88" s="11">
        <f t="shared" si="11"/>
        <v>604.937599999997</v>
      </c>
    </row>
    <row r="89" spans="1:9">
      <c r="A89" s="2">
        <v>86</v>
      </c>
      <c r="B89" s="13">
        <v>26868404</v>
      </c>
      <c r="C89" s="11">
        <v>31654</v>
      </c>
      <c r="D89" s="11">
        <v>30000.05</v>
      </c>
      <c r="E89" s="12">
        <v>44319</v>
      </c>
      <c r="F89" s="11">
        <f t="shared" si="8"/>
        <v>1653.95</v>
      </c>
      <c r="G89" s="11">
        <f t="shared" si="9"/>
        <v>5.51315747807087</v>
      </c>
      <c r="H89" s="11">
        <f t="shared" si="10"/>
        <v>31200.052</v>
      </c>
      <c r="I89" s="11">
        <f t="shared" si="11"/>
        <v>453.948</v>
      </c>
    </row>
    <row r="90" spans="1:9">
      <c r="A90" s="2">
        <v>87</v>
      </c>
      <c r="B90" s="13">
        <v>26844283</v>
      </c>
      <c r="C90" s="11">
        <v>31654</v>
      </c>
      <c r="D90" s="11">
        <v>30000.05</v>
      </c>
      <c r="E90" s="12">
        <v>44320</v>
      </c>
      <c r="F90" s="11">
        <f t="shared" si="8"/>
        <v>1653.95</v>
      </c>
      <c r="G90" s="11">
        <f t="shared" si="9"/>
        <v>5.51315747807087</v>
      </c>
      <c r="H90" s="11">
        <f t="shared" si="10"/>
        <v>31200.052</v>
      </c>
      <c r="I90" s="11">
        <f t="shared" si="11"/>
        <v>453.948</v>
      </c>
    </row>
    <row r="91" spans="1:9">
      <c r="A91" s="2">
        <v>88</v>
      </c>
      <c r="B91" s="13">
        <v>26878451</v>
      </c>
      <c r="C91" s="11">
        <v>46426</v>
      </c>
      <c r="D91" s="11">
        <v>44000.67</v>
      </c>
      <c r="E91" s="12">
        <v>44321</v>
      </c>
      <c r="F91" s="11">
        <f t="shared" si="8"/>
        <v>2425.33</v>
      </c>
      <c r="G91" s="11">
        <f t="shared" si="9"/>
        <v>5.51202970318407</v>
      </c>
      <c r="H91" s="11">
        <f t="shared" si="10"/>
        <v>45760.6968</v>
      </c>
      <c r="I91" s="11">
        <f t="shared" si="11"/>
        <v>665.303200000002</v>
      </c>
    </row>
    <row r="92" spans="1:9">
      <c r="A92" s="2">
        <v>89</v>
      </c>
      <c r="B92" s="13">
        <v>26883517</v>
      </c>
      <c r="C92" s="11">
        <v>211026</v>
      </c>
      <c r="D92" s="11">
        <v>200000.32</v>
      </c>
      <c r="E92" s="12">
        <v>44322</v>
      </c>
      <c r="F92" s="11">
        <f t="shared" si="8"/>
        <v>11025.68</v>
      </c>
      <c r="G92" s="11">
        <f t="shared" si="9"/>
        <v>5.51283117947011</v>
      </c>
      <c r="H92" s="11">
        <f t="shared" si="10"/>
        <v>208000.3328</v>
      </c>
      <c r="I92" s="11">
        <f t="shared" si="11"/>
        <v>3025.6672</v>
      </c>
    </row>
    <row r="93" spans="1:9">
      <c r="A93" s="2">
        <v>90</v>
      </c>
      <c r="B93" s="13">
        <v>26903291</v>
      </c>
      <c r="C93" s="11">
        <v>113421</v>
      </c>
      <c r="D93" s="11">
        <v>107494.91</v>
      </c>
      <c r="E93" s="12">
        <v>44324</v>
      </c>
      <c r="F93" s="11">
        <f t="shared" si="8"/>
        <v>5926.09</v>
      </c>
      <c r="G93" s="11">
        <f t="shared" si="9"/>
        <v>5.5129028900066</v>
      </c>
      <c r="H93" s="11">
        <f t="shared" si="10"/>
        <v>111794.7064</v>
      </c>
      <c r="I93" s="11">
        <f t="shared" si="11"/>
        <v>1626.29359999999</v>
      </c>
    </row>
    <row r="94" spans="1:9">
      <c r="A94" s="2">
        <v>91</v>
      </c>
      <c r="B94" s="13">
        <v>26888473</v>
      </c>
      <c r="C94" s="11">
        <v>16745</v>
      </c>
      <c r="D94" s="11">
        <v>15870.05</v>
      </c>
      <c r="E94" s="12">
        <v>44329</v>
      </c>
      <c r="F94" s="11">
        <f t="shared" si="8"/>
        <v>874.950000000001</v>
      </c>
      <c r="G94" s="11">
        <f t="shared" si="9"/>
        <v>5.51321514424971</v>
      </c>
      <c r="H94" s="11">
        <f t="shared" si="10"/>
        <v>16504.852</v>
      </c>
      <c r="I94" s="11">
        <f t="shared" si="11"/>
        <v>240.148000000001</v>
      </c>
    </row>
    <row r="95" spans="1:9">
      <c r="A95" s="2">
        <v>92</v>
      </c>
      <c r="B95" s="13">
        <v>26912162</v>
      </c>
      <c r="C95" s="11">
        <v>100237</v>
      </c>
      <c r="D95" s="11">
        <v>94999.65</v>
      </c>
      <c r="E95" s="12">
        <v>44329</v>
      </c>
      <c r="F95" s="11">
        <f t="shared" si="8"/>
        <v>5237.35000000001</v>
      </c>
      <c r="G95" s="11">
        <f t="shared" si="9"/>
        <v>5.51302031112747</v>
      </c>
      <c r="H95" s="11">
        <f t="shared" si="10"/>
        <v>98799.636</v>
      </c>
      <c r="I95" s="11">
        <f t="shared" ref="I95:I106" si="12">IF(B95="","",C95-H95)</f>
        <v>1437.364</v>
      </c>
    </row>
    <row r="96" spans="1:9">
      <c r="A96" s="2">
        <v>93</v>
      </c>
      <c r="B96" s="13">
        <v>26946901</v>
      </c>
      <c r="C96" s="11">
        <v>94962</v>
      </c>
      <c r="D96" s="11">
        <v>90000.15</v>
      </c>
      <c r="E96" s="12">
        <v>44332</v>
      </c>
      <c r="F96" s="11">
        <f t="shared" si="8"/>
        <v>4961.85000000001</v>
      </c>
      <c r="G96" s="11">
        <f t="shared" si="9"/>
        <v>5.51315747807088</v>
      </c>
      <c r="H96" s="11">
        <f t="shared" si="10"/>
        <v>93600.156</v>
      </c>
      <c r="I96" s="11">
        <f t="shared" si="12"/>
        <v>1361.844</v>
      </c>
    </row>
    <row r="97" spans="1:9">
      <c r="A97" s="2">
        <v>94</v>
      </c>
      <c r="B97" s="13">
        <v>26955601</v>
      </c>
      <c r="C97" s="11">
        <v>105513</v>
      </c>
      <c r="D97" s="11">
        <v>100000.16</v>
      </c>
      <c r="E97" s="12">
        <v>44334</v>
      </c>
      <c r="F97" s="11">
        <f t="shared" si="8"/>
        <v>5512.84</v>
      </c>
      <c r="G97" s="11">
        <f t="shared" ref="G97:G108" si="13">IF(B97="","",F97/D97*100)</f>
        <v>5.51283117947011</v>
      </c>
      <c r="H97" s="11">
        <f t="shared" si="10"/>
        <v>104000.1664</v>
      </c>
      <c r="I97" s="11">
        <f t="shared" si="12"/>
        <v>1512.8336</v>
      </c>
    </row>
    <row r="98" spans="1:9">
      <c r="A98" s="2">
        <v>95</v>
      </c>
      <c r="B98" s="13">
        <v>26964719</v>
      </c>
      <c r="C98" s="11">
        <v>105513</v>
      </c>
      <c r="D98" s="11">
        <v>100000.16</v>
      </c>
      <c r="E98" s="12">
        <v>44336</v>
      </c>
      <c r="F98" s="11">
        <f t="shared" si="8"/>
        <v>5512.84</v>
      </c>
      <c r="G98" s="11">
        <f t="shared" si="13"/>
        <v>5.51283117947011</v>
      </c>
      <c r="H98" s="11">
        <f t="shared" si="10"/>
        <v>104000.1664</v>
      </c>
      <c r="I98" s="11">
        <f t="shared" si="12"/>
        <v>1512.8336</v>
      </c>
    </row>
    <row r="99" spans="1:9">
      <c r="A99" s="2">
        <v>96</v>
      </c>
      <c r="B99" s="13">
        <v>27000820</v>
      </c>
      <c r="C99" s="11">
        <v>42205</v>
      </c>
      <c r="D99" s="11">
        <f>C99/1.0551</f>
        <v>40000.9477774619</v>
      </c>
      <c r="E99" s="12">
        <v>44343</v>
      </c>
      <c r="F99" s="11">
        <f t="shared" si="8"/>
        <v>2204.0522225381</v>
      </c>
      <c r="G99" s="11">
        <f t="shared" si="13"/>
        <v>5.50999999999987</v>
      </c>
      <c r="H99" s="11">
        <f t="shared" si="10"/>
        <v>41600.9856885604</v>
      </c>
      <c r="I99" s="11">
        <f t="shared" si="12"/>
        <v>604.01431143962</v>
      </c>
    </row>
    <row r="100" spans="1:9">
      <c r="A100" s="2">
        <v>97</v>
      </c>
      <c r="B100" s="13">
        <v>27007840</v>
      </c>
      <c r="C100" s="11">
        <v>63308</v>
      </c>
      <c r="D100" s="11">
        <f t="shared" ref="D100:D107" si="14">C100/1.0551</f>
        <v>60001.8955549237</v>
      </c>
      <c r="E100" s="12">
        <v>44343</v>
      </c>
      <c r="F100" s="11">
        <f t="shared" si="8"/>
        <v>3306.1044450763</v>
      </c>
      <c r="G100" s="11">
        <f t="shared" si="13"/>
        <v>5.51000000000001</v>
      </c>
      <c r="H100" s="11">
        <f t="shared" si="10"/>
        <v>62401.9713771207</v>
      </c>
      <c r="I100" s="11">
        <f t="shared" si="12"/>
        <v>906.028622879348</v>
      </c>
    </row>
    <row r="101" spans="1:9">
      <c r="A101" s="2">
        <v>98</v>
      </c>
      <c r="B101" s="13">
        <v>27028014</v>
      </c>
      <c r="C101" s="11">
        <v>63308</v>
      </c>
      <c r="D101" s="11">
        <f t="shared" si="14"/>
        <v>60001.8955549237</v>
      </c>
      <c r="E101" s="12">
        <v>44346</v>
      </c>
      <c r="F101" s="11">
        <f t="shared" si="8"/>
        <v>3306.1044450763</v>
      </c>
      <c r="G101" s="11">
        <f t="shared" si="13"/>
        <v>5.51000000000001</v>
      </c>
      <c r="H101" s="11">
        <f t="shared" si="10"/>
        <v>62401.9713771207</v>
      </c>
      <c r="I101" s="11">
        <f t="shared" si="12"/>
        <v>906.028622879348</v>
      </c>
    </row>
    <row r="102" spans="1:9">
      <c r="A102" s="2">
        <v>99</v>
      </c>
      <c r="B102" s="13">
        <v>27017668</v>
      </c>
      <c r="C102" s="11">
        <v>100237</v>
      </c>
      <c r="D102" s="11">
        <f t="shared" si="14"/>
        <v>95002.3694436546</v>
      </c>
      <c r="E102" s="12">
        <v>44348</v>
      </c>
      <c r="F102" s="11">
        <f t="shared" si="8"/>
        <v>5234.63055634539</v>
      </c>
      <c r="G102" s="11">
        <f t="shared" si="13"/>
        <v>5.51000000000003</v>
      </c>
      <c r="H102" s="11">
        <f t="shared" si="10"/>
        <v>98802.4642214008</v>
      </c>
      <c r="I102" s="11">
        <f t="shared" ref="I102:I116" si="15">IF(B102="","",C102-H102)</f>
        <v>1434.53577859921</v>
      </c>
    </row>
    <row r="103" spans="1:9">
      <c r="A103" s="2">
        <v>100</v>
      </c>
      <c r="B103" s="13">
        <v>27042419</v>
      </c>
      <c r="C103" s="11">
        <v>58707</v>
      </c>
      <c r="D103" s="11">
        <f t="shared" si="14"/>
        <v>55641.1714529428</v>
      </c>
      <c r="E103" s="12">
        <v>44349</v>
      </c>
      <c r="F103" s="11">
        <f t="shared" si="8"/>
        <v>3065.8285470572</v>
      </c>
      <c r="G103" s="11">
        <f t="shared" si="13"/>
        <v>5.51000000000009</v>
      </c>
      <c r="H103" s="11">
        <f t="shared" si="10"/>
        <v>57866.8183110605</v>
      </c>
      <c r="I103" s="11">
        <f t="shared" si="15"/>
        <v>840.18168893949</v>
      </c>
    </row>
    <row r="104" spans="1:9">
      <c r="A104" s="2">
        <v>101</v>
      </c>
      <c r="B104" s="13">
        <v>27059610</v>
      </c>
      <c r="C104" s="11">
        <v>147718</v>
      </c>
      <c r="D104" s="11">
        <f t="shared" si="14"/>
        <v>140003.791109847</v>
      </c>
      <c r="E104" s="12">
        <v>44350</v>
      </c>
      <c r="F104" s="11">
        <f t="shared" si="8"/>
        <v>7714.20889015301</v>
      </c>
      <c r="G104" s="11">
        <f t="shared" si="13"/>
        <v>5.51000000000031</v>
      </c>
      <c r="H104" s="11">
        <f t="shared" si="10"/>
        <v>145603.942754241</v>
      </c>
      <c r="I104" s="11">
        <f t="shared" si="15"/>
        <v>2114.05724575912</v>
      </c>
    </row>
    <row r="105" spans="1:9">
      <c r="A105" s="2">
        <v>102</v>
      </c>
      <c r="B105" s="13">
        <v>27073832</v>
      </c>
      <c r="C105" s="11">
        <v>105513</v>
      </c>
      <c r="D105" s="11">
        <f t="shared" si="14"/>
        <v>100002.843332386</v>
      </c>
      <c r="E105" s="12">
        <v>44354</v>
      </c>
      <c r="F105" s="11">
        <f t="shared" si="8"/>
        <v>5510.15666761401</v>
      </c>
      <c r="G105" s="11">
        <f t="shared" si="13"/>
        <v>5.50999999999954</v>
      </c>
      <c r="H105" s="11">
        <f t="shared" si="10"/>
        <v>104002.957065681</v>
      </c>
      <c r="I105" s="11">
        <f t="shared" si="15"/>
        <v>1510.04293431857</v>
      </c>
    </row>
    <row r="106" spans="1:9">
      <c r="A106" s="2">
        <v>103</v>
      </c>
      <c r="B106" s="13">
        <v>27078151</v>
      </c>
      <c r="C106" s="11">
        <v>12999</v>
      </c>
      <c r="D106" s="11">
        <f t="shared" si="14"/>
        <v>12320.1592266136</v>
      </c>
      <c r="E106" s="12">
        <v>44356</v>
      </c>
      <c r="F106" s="11">
        <f t="shared" si="8"/>
        <v>678.840773386401</v>
      </c>
      <c r="G106" s="11">
        <f t="shared" si="13"/>
        <v>5.50999999999993</v>
      </c>
      <c r="H106" s="11">
        <f t="shared" si="10"/>
        <v>12812.9655956781</v>
      </c>
      <c r="I106" s="11">
        <f t="shared" si="15"/>
        <v>186.034404321856</v>
      </c>
    </row>
    <row r="107" spans="1:9">
      <c r="A107" s="2">
        <v>104</v>
      </c>
      <c r="B107" s="13">
        <v>27100993</v>
      </c>
      <c r="C107" s="11">
        <v>105513</v>
      </c>
      <c r="D107" s="11">
        <f t="shared" si="14"/>
        <v>100002.843332386</v>
      </c>
      <c r="E107" s="12">
        <v>44356</v>
      </c>
      <c r="F107" s="11">
        <f t="shared" si="8"/>
        <v>5510.15666761401</v>
      </c>
      <c r="G107" s="11">
        <f t="shared" si="13"/>
        <v>5.50999999999954</v>
      </c>
      <c r="H107" s="11">
        <f t="shared" si="10"/>
        <v>104002.957065681</v>
      </c>
      <c r="I107" s="11">
        <f t="shared" si="15"/>
        <v>1510.04293431857</v>
      </c>
    </row>
    <row r="108" spans="1:9">
      <c r="A108" s="2">
        <v>105</v>
      </c>
      <c r="B108" s="13">
        <v>27120107</v>
      </c>
      <c r="C108" s="11">
        <v>100237</v>
      </c>
      <c r="D108" s="11">
        <v>94999.65</v>
      </c>
      <c r="E108" s="12">
        <v>44359</v>
      </c>
      <c r="F108" s="11">
        <f t="shared" si="8"/>
        <v>5237.35000000001</v>
      </c>
      <c r="G108" s="11">
        <f t="shared" si="13"/>
        <v>5.51302031112747</v>
      </c>
      <c r="H108" s="11">
        <f t="shared" si="10"/>
        <v>98799.636</v>
      </c>
      <c r="I108" s="11">
        <f t="shared" si="15"/>
        <v>1437.364</v>
      </c>
    </row>
    <row r="109" spans="1:9">
      <c r="A109" s="2">
        <v>106</v>
      </c>
      <c r="B109" s="13">
        <v>27110876</v>
      </c>
      <c r="C109" s="11">
        <v>211026</v>
      </c>
      <c r="D109" s="11">
        <v>200000</v>
      </c>
      <c r="E109" s="12">
        <v>44362</v>
      </c>
      <c r="F109" s="11">
        <f t="shared" si="8"/>
        <v>11026</v>
      </c>
      <c r="G109" s="11">
        <f t="shared" si="9"/>
        <v>5.513</v>
      </c>
      <c r="H109" s="11">
        <f t="shared" si="10"/>
        <v>208000</v>
      </c>
      <c r="I109" s="11">
        <f t="shared" si="15"/>
        <v>3026</v>
      </c>
    </row>
    <row r="110" spans="1:9">
      <c r="A110" s="2">
        <v>107</v>
      </c>
      <c r="B110" s="13">
        <v>27136500</v>
      </c>
      <c r="C110" s="11">
        <v>11501</v>
      </c>
      <c r="D110" s="11">
        <v>10900</v>
      </c>
      <c r="E110" s="12">
        <v>44362</v>
      </c>
      <c r="F110" s="11">
        <f t="shared" si="8"/>
        <v>601</v>
      </c>
      <c r="G110" s="11">
        <f t="shared" si="9"/>
        <v>5.51376146788991</v>
      </c>
      <c r="H110" s="11">
        <f t="shared" si="10"/>
        <v>11336</v>
      </c>
      <c r="I110" s="11">
        <f t="shared" si="15"/>
        <v>165</v>
      </c>
    </row>
    <row r="111" spans="1:9">
      <c r="A111" s="2">
        <v>108</v>
      </c>
      <c r="B111" s="13">
        <v>27148149</v>
      </c>
      <c r="C111" s="11">
        <v>52757</v>
      </c>
      <c r="D111" s="11">
        <v>50000</v>
      </c>
      <c r="E111" s="12">
        <v>44364</v>
      </c>
      <c r="F111" s="11">
        <f t="shared" si="8"/>
        <v>2757</v>
      </c>
      <c r="G111" s="11">
        <f t="shared" si="9"/>
        <v>5.514</v>
      </c>
      <c r="H111" s="11">
        <f t="shared" si="10"/>
        <v>52000</v>
      </c>
      <c r="I111" s="11">
        <f t="shared" si="15"/>
        <v>757</v>
      </c>
    </row>
    <row r="112" spans="1:9">
      <c r="A112" s="2">
        <v>109</v>
      </c>
      <c r="B112" s="13">
        <v>26983848</v>
      </c>
      <c r="C112" s="11">
        <v>65418</v>
      </c>
      <c r="D112" s="11">
        <v>62000</v>
      </c>
      <c r="E112" s="12">
        <v>44366</v>
      </c>
      <c r="F112" s="11">
        <f t="shared" si="8"/>
        <v>3418</v>
      </c>
      <c r="G112" s="11">
        <f t="shared" si="9"/>
        <v>5.51290322580645</v>
      </c>
      <c r="H112" s="11">
        <f t="shared" si="10"/>
        <v>64480</v>
      </c>
      <c r="I112" s="11">
        <f t="shared" si="15"/>
        <v>938</v>
      </c>
    </row>
    <row r="113" spans="1:9">
      <c r="A113" s="2">
        <v>110</v>
      </c>
      <c r="B113" s="13">
        <v>27165690</v>
      </c>
      <c r="C113" s="11">
        <v>52757</v>
      </c>
      <c r="D113" s="11">
        <v>50000</v>
      </c>
      <c r="E113" s="12">
        <v>44367</v>
      </c>
      <c r="F113" s="11">
        <f t="shared" si="8"/>
        <v>2757</v>
      </c>
      <c r="G113" s="11">
        <f t="shared" si="9"/>
        <v>5.514</v>
      </c>
      <c r="H113" s="11">
        <f t="shared" si="10"/>
        <v>52000</v>
      </c>
      <c r="I113" s="11">
        <f t="shared" si="15"/>
        <v>757</v>
      </c>
    </row>
    <row r="114" spans="1:9">
      <c r="A114" s="2">
        <v>111</v>
      </c>
      <c r="B114" s="13">
        <v>27191195</v>
      </c>
      <c r="C114" s="11">
        <v>105513</v>
      </c>
      <c r="D114" s="11">
        <v>100000</v>
      </c>
      <c r="E114" s="12">
        <v>44369</v>
      </c>
      <c r="F114" s="11">
        <f t="shared" si="8"/>
        <v>5513</v>
      </c>
      <c r="G114" s="11">
        <f t="shared" si="9"/>
        <v>5.513</v>
      </c>
      <c r="H114" s="11">
        <f t="shared" si="10"/>
        <v>104000</v>
      </c>
      <c r="I114" s="11">
        <f t="shared" si="15"/>
        <v>1513</v>
      </c>
    </row>
    <row r="115" spans="1:9">
      <c r="A115" s="2">
        <v>112</v>
      </c>
      <c r="B115" s="13">
        <v>27118347</v>
      </c>
      <c r="C115" s="11">
        <v>263783</v>
      </c>
      <c r="D115" s="11">
        <v>250000.4</v>
      </c>
      <c r="E115" s="12">
        <v>44370</v>
      </c>
      <c r="F115" s="11">
        <f t="shared" si="8"/>
        <v>13782.6</v>
      </c>
      <c r="G115" s="11">
        <f t="shared" si="9"/>
        <v>5.51303117915012</v>
      </c>
      <c r="H115" s="11">
        <f t="shared" si="10"/>
        <v>260000.416</v>
      </c>
      <c r="I115" s="11">
        <f>IF(B115="","",C115-H115)</f>
        <v>3782.584</v>
      </c>
    </row>
    <row r="116" spans="1:9">
      <c r="A116" s="2">
        <v>113</v>
      </c>
      <c r="B116" s="13">
        <v>27209917</v>
      </c>
      <c r="C116" s="11">
        <v>126616</v>
      </c>
      <c r="D116" s="11">
        <v>120000.19</v>
      </c>
      <c r="E116" s="12">
        <v>44372</v>
      </c>
      <c r="F116" s="11">
        <f t="shared" si="8"/>
        <v>6615.81</v>
      </c>
      <c r="G116" s="11">
        <f t="shared" si="9"/>
        <v>5.51316627082007</v>
      </c>
      <c r="H116" s="11">
        <f t="shared" si="10"/>
        <v>124800.1976</v>
      </c>
      <c r="I116" s="11">
        <f>IF(B116="","",C116-H116)</f>
        <v>1815.8024</v>
      </c>
    </row>
    <row r="117" spans="1:9">
      <c r="A117" s="2">
        <v>114</v>
      </c>
      <c r="B117" s="13">
        <v>27237989</v>
      </c>
      <c r="C117" s="11">
        <v>211026</v>
      </c>
      <c r="D117" s="11">
        <v>200000.32</v>
      </c>
      <c r="E117" s="12">
        <v>44378</v>
      </c>
      <c r="F117" s="11">
        <f t="shared" si="8"/>
        <v>11025.68</v>
      </c>
      <c r="G117" s="11">
        <f t="shared" si="9"/>
        <v>5.51283117947011</v>
      </c>
      <c r="H117" s="11">
        <f t="shared" si="10"/>
        <v>208000.3328</v>
      </c>
      <c r="I117" s="11">
        <f>IF(B117="","",C117-H117)</f>
        <v>3025.6672</v>
      </c>
    </row>
    <row r="118" spans="1:9">
      <c r="A118" s="2">
        <v>115</v>
      </c>
      <c r="B118" s="13">
        <v>27275429</v>
      </c>
      <c r="C118" s="11">
        <v>195199</v>
      </c>
      <c r="D118" s="11">
        <v>184999.8</v>
      </c>
      <c r="E118" s="12">
        <v>44383</v>
      </c>
      <c r="F118" s="11">
        <f t="shared" si="8"/>
        <v>10199.2</v>
      </c>
      <c r="G118" s="11">
        <f t="shared" si="9"/>
        <v>5.51308704117519</v>
      </c>
      <c r="H118" s="11">
        <f t="shared" si="10"/>
        <v>192399.792</v>
      </c>
      <c r="I118" s="11">
        <f>IF(B118="","",C118-H118)</f>
        <v>2799.20800000001</v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si="8"/>
        <v/>
      </c>
      <c r="G146" s="11" t="str">
        <f t="shared" si="9"/>
        <v/>
      </c>
      <c r="H146" s="11" t="str">
        <f t="shared" si="10"/>
        <v/>
      </c>
      <c r="I146" s="11" t="str">
        <f t="shared" si="11"/>
        <v/>
      </c>
    </row>
    <row r="147" spans="6:9">
      <c r="F147" s="11" t="str">
        <f t="shared" ref="F147:F210" si="16">IF(B147="","",C147-D147)</f>
        <v/>
      </c>
      <c r="G147" s="11" t="str">
        <f t="shared" ref="G147:G210" si="17">IF(B147="","",F147/D147*100)</f>
        <v/>
      </c>
      <c r="H147" s="11" t="str">
        <f t="shared" ref="H147:H210" si="18">IF(B147="","",D147*1.04)</f>
        <v/>
      </c>
      <c r="I147" s="11" t="str">
        <f t="shared" ref="I147:I210" si="19">IF(B147="","",C147-H147)</f>
        <v/>
      </c>
    </row>
    <row r="148" spans="6:9">
      <c r="F148" s="11" t="str">
        <f t="shared" si="16"/>
        <v/>
      </c>
      <c r="G148" s="11" t="str">
        <f t="shared" si="17"/>
        <v/>
      </c>
      <c r="H148" s="11" t="str">
        <f t="shared" si="18"/>
        <v/>
      </c>
      <c r="I148" s="11" t="str">
        <f t="shared" si="19"/>
        <v/>
      </c>
    </row>
    <row r="149" spans="6:9">
      <c r="F149" s="11" t="str">
        <f t="shared" si="16"/>
        <v/>
      </c>
      <c r="G149" s="11" t="str">
        <f t="shared" si="17"/>
        <v/>
      </c>
      <c r="H149" s="11" t="str">
        <f t="shared" si="18"/>
        <v/>
      </c>
      <c r="I149" s="11" t="str">
        <f t="shared" si="19"/>
        <v/>
      </c>
    </row>
    <row r="150" spans="6:9">
      <c r="F150" s="11" t="str">
        <f t="shared" si="16"/>
        <v/>
      </c>
      <c r="G150" s="11" t="str">
        <f t="shared" si="17"/>
        <v/>
      </c>
      <c r="H150" s="11" t="str">
        <f t="shared" si="18"/>
        <v/>
      </c>
      <c r="I150" s="11" t="str">
        <f t="shared" si="19"/>
        <v/>
      </c>
    </row>
    <row r="151" spans="6:9">
      <c r="F151" s="11" t="str">
        <f t="shared" si="16"/>
        <v/>
      </c>
      <c r="G151" s="11" t="str">
        <f t="shared" si="17"/>
        <v/>
      </c>
      <c r="H151" s="11" t="str">
        <f t="shared" si="18"/>
        <v/>
      </c>
      <c r="I151" s="11" t="str">
        <f t="shared" si="19"/>
        <v/>
      </c>
    </row>
    <row r="152" spans="6:9">
      <c r="F152" s="11" t="str">
        <f t="shared" si="16"/>
        <v/>
      </c>
      <c r="G152" s="11" t="str">
        <f t="shared" si="17"/>
        <v/>
      </c>
      <c r="H152" s="11" t="str">
        <f t="shared" si="18"/>
        <v/>
      </c>
      <c r="I152" s="11" t="str">
        <f t="shared" si="19"/>
        <v/>
      </c>
    </row>
    <row r="153" spans="6:9">
      <c r="F153" s="11" t="str">
        <f t="shared" si="16"/>
        <v/>
      </c>
      <c r="G153" s="11" t="str">
        <f t="shared" si="17"/>
        <v/>
      </c>
      <c r="H153" s="11" t="str">
        <f t="shared" si="18"/>
        <v/>
      </c>
      <c r="I153" s="11" t="str">
        <f t="shared" si="19"/>
        <v/>
      </c>
    </row>
    <row r="154" spans="6:9">
      <c r="F154" s="11" t="str">
        <f t="shared" si="16"/>
        <v/>
      </c>
      <c r="G154" s="11" t="str">
        <f t="shared" si="17"/>
        <v/>
      </c>
      <c r="H154" s="11" t="str">
        <f t="shared" si="18"/>
        <v/>
      </c>
      <c r="I154" s="11" t="str">
        <f t="shared" si="19"/>
        <v/>
      </c>
    </row>
    <row r="155" spans="6:9">
      <c r="F155" s="11" t="str">
        <f t="shared" si="16"/>
        <v/>
      </c>
      <c r="G155" s="11" t="str">
        <f t="shared" si="17"/>
        <v/>
      </c>
      <c r="H155" s="11" t="str">
        <f t="shared" si="18"/>
        <v/>
      </c>
      <c r="I155" s="11" t="str">
        <f t="shared" si="19"/>
        <v/>
      </c>
    </row>
    <row r="156" spans="6:9">
      <c r="F156" s="11" t="str">
        <f t="shared" si="16"/>
        <v/>
      </c>
      <c r="G156" s="11" t="str">
        <f t="shared" si="17"/>
        <v/>
      </c>
      <c r="H156" s="11" t="str">
        <f t="shared" si="18"/>
        <v/>
      </c>
      <c r="I156" s="11" t="str">
        <f t="shared" si="19"/>
        <v/>
      </c>
    </row>
    <row r="157" spans="6:9">
      <c r="F157" s="11" t="str">
        <f t="shared" si="16"/>
        <v/>
      </c>
      <c r="G157" s="11" t="str">
        <f t="shared" si="17"/>
        <v/>
      </c>
      <c r="H157" s="11" t="str">
        <f t="shared" si="18"/>
        <v/>
      </c>
      <c r="I157" s="11" t="str">
        <f t="shared" si="19"/>
        <v/>
      </c>
    </row>
    <row r="158" spans="6:9">
      <c r="F158" s="11" t="str">
        <f t="shared" si="16"/>
        <v/>
      </c>
      <c r="G158" s="11" t="str">
        <f t="shared" si="17"/>
        <v/>
      </c>
      <c r="H158" s="11" t="str">
        <f t="shared" si="18"/>
        <v/>
      </c>
      <c r="I158" s="11" t="str">
        <f t="shared" si="19"/>
        <v/>
      </c>
    </row>
    <row r="159" spans="6:9">
      <c r="F159" s="11" t="str">
        <f t="shared" si="16"/>
        <v/>
      </c>
      <c r="G159" s="11" t="str">
        <f t="shared" si="17"/>
        <v/>
      </c>
      <c r="H159" s="11" t="str">
        <f t="shared" si="18"/>
        <v/>
      </c>
      <c r="I159" s="11" t="str">
        <f t="shared" si="19"/>
        <v/>
      </c>
    </row>
    <row r="160" spans="6:9">
      <c r="F160" s="11" t="str">
        <f t="shared" si="16"/>
        <v/>
      </c>
      <c r="G160" s="11" t="str">
        <f t="shared" si="17"/>
        <v/>
      </c>
      <c r="H160" s="11" t="str">
        <f t="shared" si="18"/>
        <v/>
      </c>
      <c r="I160" s="11" t="str">
        <f t="shared" si="19"/>
        <v/>
      </c>
    </row>
    <row r="161" spans="6:9">
      <c r="F161" s="11" t="str">
        <f t="shared" si="16"/>
        <v/>
      </c>
      <c r="G161" s="11" t="str">
        <f t="shared" si="17"/>
        <v/>
      </c>
      <c r="H161" s="11" t="str">
        <f t="shared" si="18"/>
        <v/>
      </c>
      <c r="I161" s="11" t="str">
        <f t="shared" si="19"/>
        <v/>
      </c>
    </row>
    <row r="162" spans="6:9">
      <c r="F162" s="11" t="str">
        <f t="shared" si="16"/>
        <v/>
      </c>
      <c r="G162" s="11" t="str">
        <f t="shared" si="17"/>
        <v/>
      </c>
      <c r="H162" s="11" t="str">
        <f t="shared" si="18"/>
        <v/>
      </c>
      <c r="I162" s="11" t="str">
        <f t="shared" si="19"/>
        <v/>
      </c>
    </row>
    <row r="163" spans="6:9">
      <c r="F163" s="11" t="str">
        <f t="shared" si="16"/>
        <v/>
      </c>
      <c r="G163" s="11" t="str">
        <f t="shared" si="17"/>
        <v/>
      </c>
      <c r="H163" s="11" t="str">
        <f t="shared" si="18"/>
        <v/>
      </c>
      <c r="I163" s="11" t="str">
        <f t="shared" si="19"/>
        <v/>
      </c>
    </row>
    <row r="164" spans="6:9">
      <c r="F164" s="11" t="str">
        <f t="shared" si="16"/>
        <v/>
      </c>
      <c r="G164" s="11" t="str">
        <f t="shared" si="17"/>
        <v/>
      </c>
      <c r="H164" s="11" t="str">
        <f t="shared" si="18"/>
        <v/>
      </c>
      <c r="I164" s="11" t="str">
        <f t="shared" si="19"/>
        <v/>
      </c>
    </row>
    <row r="165" spans="6:9">
      <c r="F165" s="11" t="str">
        <f t="shared" si="16"/>
        <v/>
      </c>
      <c r="G165" s="11" t="str">
        <f t="shared" si="17"/>
        <v/>
      </c>
      <c r="H165" s="11" t="str">
        <f t="shared" si="18"/>
        <v/>
      </c>
      <c r="I165" s="11" t="str">
        <f t="shared" si="19"/>
        <v/>
      </c>
    </row>
    <row r="166" spans="6:9">
      <c r="F166" s="11" t="str">
        <f t="shared" si="16"/>
        <v/>
      </c>
      <c r="G166" s="11" t="str">
        <f t="shared" si="17"/>
        <v/>
      </c>
      <c r="H166" s="11" t="str">
        <f t="shared" si="18"/>
        <v/>
      </c>
      <c r="I166" s="11" t="str">
        <f t="shared" si="19"/>
        <v/>
      </c>
    </row>
    <row r="167" spans="6:9">
      <c r="F167" s="11" t="str">
        <f t="shared" si="16"/>
        <v/>
      </c>
      <c r="G167" s="11" t="str">
        <f t="shared" si="17"/>
        <v/>
      </c>
      <c r="H167" s="11" t="str">
        <f t="shared" si="18"/>
        <v/>
      </c>
      <c r="I167" s="11" t="str">
        <f t="shared" si="19"/>
        <v/>
      </c>
    </row>
    <row r="168" spans="6:9">
      <c r="F168" s="11" t="str">
        <f t="shared" si="16"/>
        <v/>
      </c>
      <c r="G168" s="11" t="str">
        <f t="shared" si="17"/>
        <v/>
      </c>
      <c r="H168" s="11" t="str">
        <f t="shared" si="18"/>
        <v/>
      </c>
      <c r="I168" s="11" t="str">
        <f t="shared" si="19"/>
        <v/>
      </c>
    </row>
    <row r="169" spans="6:9">
      <c r="F169" s="11" t="str">
        <f t="shared" si="16"/>
        <v/>
      </c>
      <c r="G169" s="11" t="str">
        <f t="shared" si="17"/>
        <v/>
      </c>
      <c r="H169" s="11" t="str">
        <f t="shared" si="18"/>
        <v/>
      </c>
      <c r="I169" s="11" t="str">
        <f t="shared" si="19"/>
        <v/>
      </c>
    </row>
    <row r="170" spans="6:9">
      <c r="F170" s="11" t="str">
        <f t="shared" si="16"/>
        <v/>
      </c>
      <c r="G170" s="11" t="str">
        <f t="shared" si="17"/>
        <v/>
      </c>
      <c r="H170" s="11" t="str">
        <f t="shared" si="18"/>
        <v/>
      </c>
      <c r="I170" s="11" t="str">
        <f t="shared" si="19"/>
        <v/>
      </c>
    </row>
    <row r="171" spans="6:9">
      <c r="F171" s="11" t="str">
        <f t="shared" si="16"/>
        <v/>
      </c>
      <c r="G171" s="11" t="str">
        <f t="shared" si="17"/>
        <v/>
      </c>
      <c r="H171" s="11" t="str">
        <f t="shared" si="18"/>
        <v/>
      </c>
      <c r="I171" s="11" t="str">
        <f t="shared" si="19"/>
        <v/>
      </c>
    </row>
    <row r="172" spans="6:9">
      <c r="F172" s="11" t="str">
        <f t="shared" si="16"/>
        <v/>
      </c>
      <c r="G172" s="11" t="str">
        <f t="shared" si="17"/>
        <v/>
      </c>
      <c r="H172" s="11" t="str">
        <f t="shared" si="18"/>
        <v/>
      </c>
      <c r="I172" s="11" t="str">
        <f t="shared" si="19"/>
        <v/>
      </c>
    </row>
    <row r="173" spans="6:9">
      <c r="F173" s="11" t="str">
        <f t="shared" si="16"/>
        <v/>
      </c>
      <c r="G173" s="11" t="str">
        <f t="shared" si="17"/>
        <v/>
      </c>
      <c r="H173" s="11" t="str">
        <f t="shared" si="18"/>
        <v/>
      </c>
      <c r="I173" s="11" t="str">
        <f t="shared" si="19"/>
        <v/>
      </c>
    </row>
    <row r="174" spans="6:9">
      <c r="F174" s="11" t="str">
        <f t="shared" si="16"/>
        <v/>
      </c>
      <c r="G174" s="11" t="str">
        <f t="shared" si="17"/>
        <v/>
      </c>
      <c r="H174" s="11" t="str">
        <f t="shared" si="18"/>
        <v/>
      </c>
      <c r="I174" s="11" t="str">
        <f t="shared" si="19"/>
        <v/>
      </c>
    </row>
    <row r="175" spans="6:9">
      <c r="F175" s="11" t="str">
        <f t="shared" si="16"/>
        <v/>
      </c>
      <c r="G175" s="11" t="str">
        <f t="shared" si="17"/>
        <v/>
      </c>
      <c r="H175" s="11" t="str">
        <f t="shared" si="18"/>
        <v/>
      </c>
      <c r="I175" s="11" t="str">
        <f t="shared" si="19"/>
        <v/>
      </c>
    </row>
    <row r="176" spans="6:9">
      <c r="F176" s="11" t="str">
        <f t="shared" si="16"/>
        <v/>
      </c>
      <c r="G176" s="11" t="str">
        <f t="shared" si="17"/>
        <v/>
      </c>
      <c r="H176" s="11" t="str">
        <f t="shared" si="18"/>
        <v/>
      </c>
      <c r="I176" s="11" t="str">
        <f t="shared" si="19"/>
        <v/>
      </c>
    </row>
    <row r="177" spans="6:9">
      <c r="F177" s="11" t="str">
        <f t="shared" si="16"/>
        <v/>
      </c>
      <c r="G177" s="11" t="str">
        <f t="shared" si="17"/>
        <v/>
      </c>
      <c r="H177" s="11" t="str">
        <f t="shared" si="18"/>
        <v/>
      </c>
      <c r="I177" s="11" t="str">
        <f t="shared" si="19"/>
        <v/>
      </c>
    </row>
    <row r="178" spans="6:9">
      <c r="F178" s="11" t="str">
        <f t="shared" si="16"/>
        <v/>
      </c>
      <c r="G178" s="11" t="str">
        <f t="shared" si="17"/>
        <v/>
      </c>
      <c r="H178" s="11" t="str">
        <f t="shared" si="18"/>
        <v/>
      </c>
      <c r="I178" s="11" t="str">
        <f t="shared" si="19"/>
        <v/>
      </c>
    </row>
    <row r="179" spans="6:9">
      <c r="F179" s="11" t="str">
        <f t="shared" si="16"/>
        <v/>
      </c>
      <c r="G179" s="11" t="str">
        <f t="shared" si="17"/>
        <v/>
      </c>
      <c r="H179" s="11" t="str">
        <f t="shared" si="18"/>
        <v/>
      </c>
      <c r="I179" s="11" t="str">
        <f t="shared" si="19"/>
        <v/>
      </c>
    </row>
    <row r="180" spans="6:9">
      <c r="F180" s="11" t="str">
        <f t="shared" si="16"/>
        <v/>
      </c>
      <c r="G180" s="11" t="str">
        <f t="shared" si="17"/>
        <v/>
      </c>
      <c r="H180" s="11" t="str">
        <f t="shared" si="18"/>
        <v/>
      </c>
      <c r="I180" s="11" t="str">
        <f t="shared" si="19"/>
        <v/>
      </c>
    </row>
    <row r="181" spans="6:9">
      <c r="F181" s="11" t="str">
        <f t="shared" si="16"/>
        <v/>
      </c>
      <c r="G181" s="11" t="str">
        <f t="shared" si="17"/>
        <v/>
      </c>
      <c r="H181" s="11" t="str">
        <f t="shared" si="18"/>
        <v/>
      </c>
      <c r="I181" s="11" t="str">
        <f t="shared" si="19"/>
        <v/>
      </c>
    </row>
    <row r="182" spans="6:9">
      <c r="F182" s="11" t="str">
        <f t="shared" si="16"/>
        <v/>
      </c>
      <c r="G182" s="11" t="str">
        <f t="shared" si="17"/>
        <v/>
      </c>
      <c r="H182" s="11" t="str">
        <f t="shared" si="18"/>
        <v/>
      </c>
      <c r="I182" s="11" t="str">
        <f t="shared" si="19"/>
        <v/>
      </c>
    </row>
    <row r="183" spans="6:9">
      <c r="F183" s="11" t="str">
        <f t="shared" si="16"/>
        <v/>
      </c>
      <c r="G183" s="11" t="str">
        <f t="shared" si="17"/>
        <v/>
      </c>
      <c r="H183" s="11" t="str">
        <f t="shared" si="18"/>
        <v/>
      </c>
      <c r="I183" s="11" t="str">
        <f t="shared" si="19"/>
        <v/>
      </c>
    </row>
    <row r="184" spans="6:9">
      <c r="F184" s="11" t="str">
        <f t="shared" si="16"/>
        <v/>
      </c>
      <c r="G184" s="11" t="str">
        <f t="shared" si="17"/>
        <v/>
      </c>
      <c r="H184" s="11" t="str">
        <f t="shared" si="18"/>
        <v/>
      </c>
      <c r="I184" s="11" t="str">
        <f t="shared" si="19"/>
        <v/>
      </c>
    </row>
    <row r="185" spans="6:9">
      <c r="F185" s="11" t="str">
        <f t="shared" si="16"/>
        <v/>
      </c>
      <c r="G185" s="11" t="str">
        <f t="shared" si="17"/>
        <v/>
      </c>
      <c r="H185" s="11" t="str">
        <f t="shared" si="18"/>
        <v/>
      </c>
      <c r="I185" s="11" t="str">
        <f t="shared" si="19"/>
        <v/>
      </c>
    </row>
    <row r="186" spans="6:9">
      <c r="F186" s="11" t="str">
        <f t="shared" si="16"/>
        <v/>
      </c>
      <c r="G186" s="11" t="str">
        <f t="shared" si="17"/>
        <v/>
      </c>
      <c r="H186" s="11" t="str">
        <f t="shared" si="18"/>
        <v/>
      </c>
      <c r="I186" s="11" t="str">
        <f t="shared" si="19"/>
        <v/>
      </c>
    </row>
    <row r="187" spans="6:9">
      <c r="F187" s="11" t="str">
        <f t="shared" si="16"/>
        <v/>
      </c>
      <c r="G187" s="11" t="str">
        <f t="shared" si="17"/>
        <v/>
      </c>
      <c r="H187" s="11" t="str">
        <f t="shared" si="18"/>
        <v/>
      </c>
      <c r="I187" s="11" t="str">
        <f t="shared" si="19"/>
        <v/>
      </c>
    </row>
    <row r="188" spans="6:9">
      <c r="F188" s="11" t="str">
        <f t="shared" si="16"/>
        <v/>
      </c>
      <c r="G188" s="11" t="str">
        <f t="shared" si="17"/>
        <v/>
      </c>
      <c r="H188" s="11" t="str">
        <f t="shared" si="18"/>
        <v/>
      </c>
      <c r="I188" s="11" t="str">
        <f t="shared" si="19"/>
        <v/>
      </c>
    </row>
    <row r="189" spans="6:9">
      <c r="F189" s="11" t="str">
        <f t="shared" si="16"/>
        <v/>
      </c>
      <c r="G189" s="11" t="str">
        <f t="shared" si="17"/>
        <v/>
      </c>
      <c r="H189" s="11" t="str">
        <f t="shared" si="18"/>
        <v/>
      </c>
      <c r="I189" s="11" t="str">
        <f t="shared" si="19"/>
        <v/>
      </c>
    </row>
    <row r="190" spans="6:9">
      <c r="F190" s="11" t="str">
        <f t="shared" si="16"/>
        <v/>
      </c>
      <c r="G190" s="11" t="str">
        <f t="shared" si="17"/>
        <v/>
      </c>
      <c r="H190" s="11" t="str">
        <f t="shared" si="18"/>
        <v/>
      </c>
      <c r="I190" s="11" t="str">
        <f t="shared" si="19"/>
        <v/>
      </c>
    </row>
    <row r="191" spans="6:9">
      <c r="F191" s="11" t="str">
        <f t="shared" si="16"/>
        <v/>
      </c>
      <c r="G191" s="11" t="str">
        <f t="shared" si="17"/>
        <v/>
      </c>
      <c r="H191" s="11" t="str">
        <f t="shared" si="18"/>
        <v/>
      </c>
      <c r="I191" s="11" t="str">
        <f t="shared" si="19"/>
        <v/>
      </c>
    </row>
    <row r="192" spans="6:9">
      <c r="F192" s="11" t="str">
        <f t="shared" si="16"/>
        <v/>
      </c>
      <c r="G192" s="11" t="str">
        <f t="shared" si="17"/>
        <v/>
      </c>
      <c r="H192" s="11" t="str">
        <f t="shared" si="18"/>
        <v/>
      </c>
      <c r="I192" s="11" t="str">
        <f t="shared" si="19"/>
        <v/>
      </c>
    </row>
    <row r="193" spans="6:9">
      <c r="F193" s="11" t="str">
        <f t="shared" si="16"/>
        <v/>
      </c>
      <c r="G193" s="11" t="str">
        <f t="shared" si="17"/>
        <v/>
      </c>
      <c r="H193" s="11" t="str">
        <f t="shared" si="18"/>
        <v/>
      </c>
      <c r="I193" s="11" t="str">
        <f t="shared" si="19"/>
        <v/>
      </c>
    </row>
    <row r="194" spans="6:9">
      <c r="F194" s="11" t="str">
        <f t="shared" si="16"/>
        <v/>
      </c>
      <c r="G194" s="11" t="str">
        <f t="shared" si="17"/>
        <v/>
      </c>
      <c r="H194" s="11" t="str">
        <f t="shared" si="18"/>
        <v/>
      </c>
      <c r="I194" s="11" t="str">
        <f t="shared" si="19"/>
        <v/>
      </c>
    </row>
    <row r="195" spans="6:9">
      <c r="F195" s="11" t="str">
        <f t="shared" si="16"/>
        <v/>
      </c>
      <c r="G195" s="11" t="str">
        <f t="shared" si="17"/>
        <v/>
      </c>
      <c r="H195" s="11" t="str">
        <f t="shared" si="18"/>
        <v/>
      </c>
      <c r="I195" s="11" t="str">
        <f t="shared" si="19"/>
        <v/>
      </c>
    </row>
    <row r="196" spans="6:9">
      <c r="F196" s="11" t="str">
        <f t="shared" si="16"/>
        <v/>
      </c>
      <c r="G196" s="11" t="str">
        <f t="shared" si="17"/>
        <v/>
      </c>
      <c r="H196" s="11" t="str">
        <f t="shared" si="18"/>
        <v/>
      </c>
      <c r="I196" s="11" t="str">
        <f t="shared" si="19"/>
        <v/>
      </c>
    </row>
    <row r="197" spans="6:9">
      <c r="F197" s="11" t="str">
        <f t="shared" si="16"/>
        <v/>
      </c>
      <c r="G197" s="11" t="str">
        <f t="shared" si="17"/>
        <v/>
      </c>
      <c r="H197" s="11" t="str">
        <f t="shared" si="18"/>
        <v/>
      </c>
      <c r="I197" s="11" t="str">
        <f t="shared" si="19"/>
        <v/>
      </c>
    </row>
    <row r="198" spans="6:9">
      <c r="F198" s="11" t="str">
        <f t="shared" si="16"/>
        <v/>
      </c>
      <c r="G198" s="11" t="str">
        <f t="shared" si="17"/>
        <v/>
      </c>
      <c r="H198" s="11" t="str">
        <f t="shared" si="18"/>
        <v/>
      </c>
      <c r="I198" s="11" t="str">
        <f t="shared" si="19"/>
        <v/>
      </c>
    </row>
    <row r="199" spans="6:9">
      <c r="F199" s="11" t="str">
        <f t="shared" si="16"/>
        <v/>
      </c>
      <c r="G199" s="11" t="str">
        <f t="shared" si="17"/>
        <v/>
      </c>
      <c r="H199" s="11" t="str">
        <f t="shared" si="18"/>
        <v/>
      </c>
      <c r="I199" s="11" t="str">
        <f t="shared" si="19"/>
        <v/>
      </c>
    </row>
    <row r="200" spans="6:9">
      <c r="F200" s="11" t="str">
        <f t="shared" si="16"/>
        <v/>
      </c>
      <c r="G200" s="11" t="str">
        <f t="shared" si="17"/>
        <v/>
      </c>
      <c r="H200" s="11" t="str">
        <f t="shared" si="18"/>
        <v/>
      </c>
      <c r="I200" s="11" t="str">
        <f t="shared" si="19"/>
        <v/>
      </c>
    </row>
    <row r="201" spans="6:9">
      <c r="F201" s="11" t="str">
        <f t="shared" si="16"/>
        <v/>
      </c>
      <c r="G201" s="11" t="str">
        <f t="shared" si="17"/>
        <v/>
      </c>
      <c r="H201" s="11" t="str">
        <f t="shared" si="18"/>
        <v/>
      </c>
      <c r="I201" s="11" t="str">
        <f t="shared" si="19"/>
        <v/>
      </c>
    </row>
    <row r="202" spans="6:9">
      <c r="F202" s="11" t="str">
        <f t="shared" si="16"/>
        <v/>
      </c>
      <c r="G202" s="11" t="str">
        <f t="shared" si="17"/>
        <v/>
      </c>
      <c r="H202" s="11" t="str">
        <f t="shared" si="18"/>
        <v/>
      </c>
      <c r="I202" s="11" t="str">
        <f t="shared" si="19"/>
        <v/>
      </c>
    </row>
    <row r="203" spans="6:9">
      <c r="F203" s="11" t="str">
        <f t="shared" si="16"/>
        <v/>
      </c>
      <c r="G203" s="11" t="str">
        <f t="shared" si="17"/>
        <v/>
      </c>
      <c r="H203" s="11" t="str">
        <f t="shared" si="18"/>
        <v/>
      </c>
      <c r="I203" s="11" t="str">
        <f t="shared" si="19"/>
        <v/>
      </c>
    </row>
    <row r="204" spans="6:9">
      <c r="F204" s="11" t="str">
        <f t="shared" si="16"/>
        <v/>
      </c>
      <c r="G204" s="11" t="str">
        <f t="shared" si="17"/>
        <v/>
      </c>
      <c r="H204" s="11" t="str">
        <f t="shared" si="18"/>
        <v/>
      </c>
      <c r="I204" s="11" t="str">
        <f t="shared" si="19"/>
        <v/>
      </c>
    </row>
    <row r="205" spans="6:9">
      <c r="F205" s="11" t="str">
        <f t="shared" si="16"/>
        <v/>
      </c>
      <c r="G205" s="11" t="str">
        <f t="shared" si="17"/>
        <v/>
      </c>
      <c r="H205" s="11" t="str">
        <f t="shared" si="18"/>
        <v/>
      </c>
      <c r="I205" s="11" t="str">
        <f t="shared" si="19"/>
        <v/>
      </c>
    </row>
    <row r="206" spans="6:9">
      <c r="F206" s="11" t="str">
        <f t="shared" si="16"/>
        <v/>
      </c>
      <c r="G206" s="11" t="str">
        <f t="shared" si="17"/>
        <v/>
      </c>
      <c r="H206" s="11" t="str">
        <f t="shared" si="18"/>
        <v/>
      </c>
      <c r="I206" s="11" t="str">
        <f t="shared" si="19"/>
        <v/>
      </c>
    </row>
    <row r="207" spans="6:9">
      <c r="F207" s="11" t="str">
        <f t="shared" si="16"/>
        <v/>
      </c>
      <c r="G207" s="11" t="str">
        <f t="shared" si="17"/>
        <v/>
      </c>
      <c r="H207" s="11" t="str">
        <f t="shared" si="18"/>
        <v/>
      </c>
      <c r="I207" s="11" t="str">
        <f t="shared" si="19"/>
        <v/>
      </c>
    </row>
    <row r="208" spans="6:9">
      <c r="F208" s="11" t="str">
        <f t="shared" si="16"/>
        <v/>
      </c>
      <c r="G208" s="11" t="str">
        <f t="shared" si="17"/>
        <v/>
      </c>
      <c r="H208" s="11" t="str">
        <f t="shared" si="18"/>
        <v/>
      </c>
      <c r="I208" s="11" t="str">
        <f t="shared" si="19"/>
        <v/>
      </c>
    </row>
    <row r="209" spans="6:9">
      <c r="F209" s="11" t="str">
        <f t="shared" si="16"/>
        <v/>
      </c>
      <c r="G209" s="11" t="str">
        <f t="shared" si="17"/>
        <v/>
      </c>
      <c r="H209" s="11" t="str">
        <f t="shared" si="18"/>
        <v/>
      </c>
      <c r="I209" s="11" t="str">
        <f t="shared" si="19"/>
        <v/>
      </c>
    </row>
    <row r="210" spans="6:9">
      <c r="F210" s="11" t="str">
        <f t="shared" si="16"/>
        <v/>
      </c>
      <c r="G210" s="11" t="str">
        <f t="shared" si="17"/>
        <v/>
      </c>
      <c r="H210" s="11" t="str">
        <f t="shared" si="18"/>
        <v/>
      </c>
      <c r="I210" s="11" t="str">
        <f t="shared" si="19"/>
        <v/>
      </c>
    </row>
    <row r="211" spans="6:9">
      <c r="F211" s="11" t="str">
        <f t="shared" ref="F211:F221" si="20">IF(B211="","",C211-D211)</f>
        <v/>
      </c>
      <c r="G211" s="11" t="str">
        <f t="shared" ref="G211:G221" si="21">IF(B211="","",F211/D211*100)</f>
        <v/>
      </c>
      <c r="H211" s="11" t="str">
        <f t="shared" ref="H211:H221" si="22">IF(B211="","",D211*1.04)</f>
        <v/>
      </c>
      <c r="I211" s="11" t="str">
        <f t="shared" ref="I211:I221" si="23">IF(B211="","",C211-H211)</f>
        <v/>
      </c>
    </row>
    <row r="212" spans="6:9">
      <c r="F212" s="11" t="str">
        <f t="shared" si="20"/>
        <v/>
      </c>
      <c r="G212" s="11" t="str">
        <f t="shared" si="21"/>
        <v/>
      </c>
      <c r="H212" s="11" t="str">
        <f t="shared" si="22"/>
        <v/>
      </c>
      <c r="I212" s="11" t="str">
        <f t="shared" si="23"/>
        <v/>
      </c>
    </row>
    <row r="213" spans="6:9">
      <c r="F213" s="11" t="str">
        <f t="shared" si="20"/>
        <v/>
      </c>
      <c r="G213" s="11" t="str">
        <f t="shared" si="21"/>
        <v/>
      </c>
      <c r="H213" s="11" t="str">
        <f t="shared" si="22"/>
        <v/>
      </c>
      <c r="I213" s="11" t="str">
        <f t="shared" si="23"/>
        <v/>
      </c>
    </row>
    <row r="214" spans="6:9">
      <c r="F214" s="11" t="str">
        <f t="shared" si="20"/>
        <v/>
      </c>
      <c r="G214" s="11" t="str">
        <f t="shared" si="21"/>
        <v/>
      </c>
      <c r="H214" s="11" t="str">
        <f t="shared" si="22"/>
        <v/>
      </c>
      <c r="I214" s="11" t="str">
        <f t="shared" si="23"/>
        <v/>
      </c>
    </row>
    <row r="215" spans="6:9">
      <c r="F215" s="11" t="str">
        <f t="shared" si="20"/>
        <v/>
      </c>
      <c r="G215" s="11" t="str">
        <f t="shared" si="21"/>
        <v/>
      </c>
      <c r="H215" s="11" t="str">
        <f t="shared" si="22"/>
        <v/>
      </c>
      <c r="I215" s="11" t="str">
        <f t="shared" si="23"/>
        <v/>
      </c>
    </row>
    <row r="216" spans="6:9">
      <c r="F216" s="11" t="str">
        <f t="shared" si="20"/>
        <v/>
      </c>
      <c r="G216" s="11" t="str">
        <f t="shared" si="21"/>
        <v/>
      </c>
      <c r="H216" s="11" t="str">
        <f t="shared" si="22"/>
        <v/>
      </c>
      <c r="I216" s="11" t="str">
        <f t="shared" si="23"/>
        <v/>
      </c>
    </row>
    <row r="217" spans="6:9">
      <c r="F217" s="11" t="str">
        <f t="shared" si="20"/>
        <v/>
      </c>
      <c r="G217" s="11" t="str">
        <f t="shared" si="21"/>
        <v/>
      </c>
      <c r="H217" s="11" t="str">
        <f t="shared" si="22"/>
        <v/>
      </c>
      <c r="I217" s="11" t="str">
        <f t="shared" si="23"/>
        <v/>
      </c>
    </row>
    <row r="218" spans="6:9">
      <c r="F218" s="11" t="str">
        <f t="shared" si="20"/>
        <v/>
      </c>
      <c r="G218" s="11" t="str">
        <f t="shared" si="21"/>
        <v/>
      </c>
      <c r="H218" s="11" t="str">
        <f t="shared" si="22"/>
        <v/>
      </c>
      <c r="I218" s="11" t="str">
        <f t="shared" si="23"/>
        <v/>
      </c>
    </row>
    <row r="219" spans="6:9">
      <c r="F219" s="11" t="str">
        <f t="shared" si="20"/>
        <v/>
      </c>
      <c r="G219" s="11" t="str">
        <f t="shared" si="21"/>
        <v/>
      </c>
      <c r="H219" s="11" t="str">
        <f t="shared" si="22"/>
        <v/>
      </c>
      <c r="I219" s="11" t="str">
        <f t="shared" si="23"/>
        <v/>
      </c>
    </row>
    <row r="220" spans="6:9">
      <c r="F220" s="11" t="str">
        <f t="shared" si="20"/>
        <v/>
      </c>
      <c r="G220" s="11" t="str">
        <f t="shared" si="21"/>
        <v/>
      </c>
      <c r="H220" s="11" t="str">
        <f t="shared" si="22"/>
        <v/>
      </c>
      <c r="I220" s="11" t="str">
        <f t="shared" si="23"/>
        <v/>
      </c>
    </row>
    <row r="221" spans="6:9">
      <c r="F221" s="11" t="str">
        <f t="shared" si="20"/>
        <v/>
      </c>
      <c r="G221" s="11" t="str">
        <f t="shared" si="21"/>
        <v/>
      </c>
      <c r="H221" s="11" t="str">
        <f t="shared" si="22"/>
        <v/>
      </c>
      <c r="I221" s="11" t="str">
        <f t="shared" si="23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  <hyperlink ref="B70" r:id="rId1" display="26718802" tooltip="https://fiori.jioconnect.com/sap/bc/ui5_ui5/sap/zehys_dashboard/javascript:void(0);"/>
    <hyperlink ref="B71" r:id="rId1" display="26715231" tooltip="https://fiori.jioconnect.com/sap/bc/ui5_ui5/sap/zehys_dashboard/javascript:void(0);"/>
    <hyperlink ref="B72" r:id="rId1" display="26724015" tooltip="https://fiori.jioconnect.com/sap/bc/ui5_ui5/sap/zehys_dashboard/javascript:void(0);"/>
    <hyperlink ref="B73" r:id="rId1" display="26744506" tooltip="https://fiori.jioconnect.com/sap/bc/ui5_ui5/sap/zehys_dashboard/javascript:void(0);"/>
    <hyperlink ref="B75" r:id="rId1" display="26755972" tooltip="https://fiori.jioconnect.com/sap/bc/ui5_ui5/sap/zehys_dashboard/javascript:void(0);"/>
    <hyperlink ref="B76" r:id="rId1" display="26767217" tooltip="https://fiori.jioconnect.com/sap/bc/ui5_ui5/sap/zehys_dashboard/javascript:void(0);"/>
    <hyperlink ref="B77" r:id="rId1" display="26779891" tooltip="https://fiori.jioconnect.com/sap/bc/ui5_ui5/sap/zehys_dashboard/javascript:void(0);"/>
    <hyperlink ref="B78" r:id="rId1" display="26750644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2021-07-07T02:33:59Z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</Properties>
</file>