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<sst xmlns="http://schemas.openxmlformats.org/spreadsheetml/2006/main" count="10" uniqueCount="10">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</sst>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[$-409]dd\-mmm\-yy;@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1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21" borderId="2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0" fillId="24" borderId="3" applyNumberFormat="0" applyFon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20" fillId="32" borderId="7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9" fillId="32" borderId="1" applyNumberFormat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54" activePane="bottomLeft" state="frozen"/>
      <selection/>
      <selection pane="bottomLeft" activeCell="C64" sqref="C64:D64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5814884</v>
      </c>
      <c r="D2" s="7">
        <f>SUM(D3:D221)</f>
        <v>5507240.2</v>
      </c>
      <c r="E2" s="8">
        <f>C2-D2</f>
        <v>307643.800000001</v>
      </c>
      <c r="F2" s="9">
        <f>SUM(F3:F221)</f>
        <v>307643.8</v>
      </c>
      <c r="G2" s="10">
        <f>C2-H2</f>
        <v>87354.1919999989</v>
      </c>
      <c r="H2" s="7">
        <f>SUM(H3:H221)</f>
        <v>5727529.808</v>
      </c>
      <c r="I2" s="10">
        <f>SUM(I3:I221)</f>
        <v>87354.1919999999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3:9">
      <c r="C67" s="11"/>
      <c r="D67" s="11"/>
      <c r="E67" s="12"/>
      <c r="F67" s="11" t="str">
        <f t="shared" si="4"/>
        <v/>
      </c>
      <c r="G67" s="11" t="str">
        <f t="shared" si="5"/>
        <v/>
      </c>
      <c r="H67" s="11" t="str">
        <f t="shared" si="6"/>
        <v/>
      </c>
      <c r="I67" s="11" t="str">
        <f t="shared" si="7"/>
        <v/>
      </c>
    </row>
    <row r="68" spans="3:9">
      <c r="C68" s="11"/>
      <c r="D68" s="11"/>
      <c r="E68" s="12"/>
      <c r="F68" s="11" t="str">
        <f t="shared" si="4"/>
        <v/>
      </c>
      <c r="G68" s="11" t="str">
        <f t="shared" si="5"/>
        <v/>
      </c>
      <c r="H68" s="11" t="str">
        <f t="shared" si="6"/>
        <v/>
      </c>
      <c r="I68" s="11" t="str">
        <f t="shared" si="7"/>
        <v/>
      </c>
    </row>
    <row r="69" spans="3:9">
      <c r="C69" s="11"/>
      <c r="D69" s="11"/>
      <c r="E69" s="12"/>
      <c r="F69" s="11" t="str">
        <f t="shared" si="4"/>
        <v/>
      </c>
      <c r="G69" s="11" t="str">
        <f t="shared" si="5"/>
        <v/>
      </c>
      <c r="H69" s="11" t="str">
        <f t="shared" si="6"/>
        <v/>
      </c>
      <c r="I69" s="11" t="str">
        <f t="shared" si="7"/>
        <v/>
      </c>
    </row>
    <row r="70" spans="3:9">
      <c r="C70" s="11"/>
      <c r="D70" s="11"/>
      <c r="E70" s="12"/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3:9">
      <c r="C71" s="11"/>
      <c r="D71" s="11"/>
      <c r="E71" s="12"/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3:9">
      <c r="C72" s="11"/>
      <c r="D72" s="11"/>
      <c r="E72" s="12"/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3:9">
      <c r="C73" s="11"/>
      <c r="D73" s="11"/>
      <c r="E73" s="12"/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3:9">
      <c r="C74" s="11"/>
      <c r="D74" s="11"/>
      <c r="E74" s="12"/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3:9">
      <c r="C75" s="11"/>
      <c r="D75" s="11"/>
      <c r="E75" s="12"/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3:9">
      <c r="C76" s="11"/>
      <c r="D76" s="11"/>
      <c r="E76" s="12"/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3:9">
      <c r="C77" s="11"/>
      <c r="D77" s="11"/>
      <c r="E77" s="12"/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3:9">
      <c r="C78" s="11"/>
      <c r="D78" s="11"/>
      <c r="E78" s="12"/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3:9">
      <c r="C79" s="11"/>
      <c r="D79" s="11"/>
      <c r="E79" s="12"/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3:9">
      <c r="C80" s="11"/>
      <c r="D80" s="11"/>
      <c r="E80" s="12"/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3:9">
      <c r="C81" s="11"/>
      <c r="D81" s="11"/>
      <c r="E81" s="12"/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3:9">
      <c r="C82" s="11"/>
      <c r="D82" s="11"/>
      <c r="E82" s="12"/>
      <c r="F82" s="11" t="str">
        <f>IF(B82="","",C82-D82)</f>
        <v/>
      </c>
      <c r="G82" s="11" t="str">
        <f>IF(B82="","",F82/D82*100)</f>
        <v/>
      </c>
      <c r="H82" s="11" t="str">
        <f>IF(B82="","",D82*1.04)</f>
        <v/>
      </c>
      <c r="I82" s="11" t="str">
        <f>IF(B82="","",C82-H82)</f>
        <v/>
      </c>
    </row>
    <row r="83" spans="5:9">
      <c r="E83" s="12"/>
      <c r="F83" s="11" t="str">
        <f t="shared" ref="F83:F146" si="8">IF(B83="","",C83-D83)</f>
        <v/>
      </c>
      <c r="G83" s="11" t="str">
        <f t="shared" ref="G83:G146" si="9">IF(B83="","",F83/D83*100)</f>
        <v/>
      </c>
      <c r="H83" s="11" t="str">
        <f t="shared" ref="H83:H146" si="10">IF(B83="","",D83*1.04)</f>
        <v/>
      </c>
      <c r="I83" s="11" t="str">
        <f t="shared" ref="I83:I146" si="11">IF(B83="","",C83-H83)</f>
        <v/>
      </c>
    </row>
    <row r="84" spans="5:9">
      <c r="E84" s="12"/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5:9">
      <c r="E85" s="12"/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2021-04-05T02:37:37Z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