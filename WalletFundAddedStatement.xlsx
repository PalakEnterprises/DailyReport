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<sst xmlns="http://schemas.openxmlformats.org/spreadsheetml/2006/main" count="10" uniqueCount="10">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</sst>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[$-409]dd\-mmm\-yy;@"/>
    <numFmt numFmtId="178" formatCode="_ * #,##0.00_ ;_ * \-#,##0.00_ ;_ * &quot;-&quot;??_ ;_ @_ 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4" borderId="4" applyNumberFormat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8" borderId="6" applyNumberForma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5" fillId="17" borderId="5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8" fillId="1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1"/>
  <sheetViews>
    <sheetView tabSelected="1" workbookViewId="0">
      <pane ySplit="2" topLeftCell="A45" activePane="bottomLeft" state="frozen"/>
      <selection/>
      <selection pane="bottomLeft" activeCell="C61" sqref="C61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SUM(C3:C221)</f>
        <v>5503586</v>
      </c>
      <c r="D2" s="7">
        <f>SUM(D3:D221)</f>
        <v>5212239.8</v>
      </c>
      <c r="E2" s="8">
        <f>C2-D2</f>
        <v>291346.2</v>
      </c>
      <c r="F2" s="9">
        <f>SUM(F3:F221)</f>
        <v>291346.2</v>
      </c>
      <c r="G2" s="10">
        <f>C2-H2</f>
        <v>82856.608</v>
      </c>
      <c r="H2" s="7">
        <f>SUM(H3:H221)</f>
        <v>5420729.392</v>
      </c>
      <c r="I2" s="10">
        <f>SUM(I3:I221)</f>
        <v>82856.6079999999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572.624000000003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1685.156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1986.7712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2225.07440000001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1563.69839999999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1:9">
      <c r="A47" s="1">
        <v>45</v>
      </c>
      <c r="B47" s="2">
        <v>26494758</v>
      </c>
      <c r="C47" s="11">
        <v>31677</v>
      </c>
      <c r="D47" s="11">
        <v>30000.33</v>
      </c>
      <c r="E47" s="12">
        <v>44270</v>
      </c>
      <c r="F47" s="11">
        <f t="shared" si="4"/>
        <v>1676.67</v>
      </c>
      <c r="G47" s="11">
        <f t="shared" si="5"/>
        <v>5.58883852277624</v>
      </c>
      <c r="H47" s="11">
        <f t="shared" si="6"/>
        <v>31200.3432</v>
      </c>
      <c r="I47" s="11">
        <f t="shared" si="7"/>
        <v>476.656800000001</v>
      </c>
    </row>
    <row r="48" spans="1:9">
      <c r="A48" s="1">
        <v>46</v>
      </c>
      <c r="B48" s="2">
        <v>26520745</v>
      </c>
      <c r="C48" s="11">
        <v>52795</v>
      </c>
      <c r="D48" s="11">
        <v>49999.89</v>
      </c>
      <c r="E48" s="12">
        <v>44271</v>
      </c>
      <c r="F48" s="11">
        <f t="shared" si="4"/>
        <v>2795.11</v>
      </c>
      <c r="G48" s="11">
        <f t="shared" si="5"/>
        <v>5.59023229851106</v>
      </c>
      <c r="H48" s="11">
        <f t="shared" si="6"/>
        <v>51999.8856</v>
      </c>
      <c r="I48" s="11">
        <f t="shared" si="7"/>
        <v>795.114399999999</v>
      </c>
    </row>
    <row r="49" spans="1:9">
      <c r="A49" s="1">
        <v>47</v>
      </c>
      <c r="B49" s="2">
        <v>26520801</v>
      </c>
      <c r="C49" s="11">
        <v>23464</v>
      </c>
      <c r="D49" s="11">
        <v>22221.39</v>
      </c>
      <c r="E49" s="12">
        <v>44271</v>
      </c>
      <c r="F49" s="11">
        <f t="shared" si="4"/>
        <v>1242.61</v>
      </c>
      <c r="G49" s="11">
        <f t="shared" si="5"/>
        <v>5.59195441869298</v>
      </c>
      <c r="H49" s="11">
        <f t="shared" si="6"/>
        <v>23110.2456</v>
      </c>
      <c r="I49" s="11">
        <f t="shared" si="7"/>
        <v>353.754400000002</v>
      </c>
    </row>
    <row r="50" spans="1:9">
      <c r="A50" s="1">
        <v>48</v>
      </c>
      <c r="B50" s="2">
        <v>25824156</v>
      </c>
      <c r="C50" s="11">
        <v>26397</v>
      </c>
      <c r="D50" s="11">
        <v>24999.44</v>
      </c>
      <c r="E50" s="12">
        <v>44273</v>
      </c>
      <c r="F50" s="11">
        <f t="shared" si="4"/>
        <v>1397.56</v>
      </c>
      <c r="G50" s="11">
        <f t="shared" si="5"/>
        <v>5.59036522418103</v>
      </c>
      <c r="H50" s="11">
        <f t="shared" si="6"/>
        <v>25999.4176</v>
      </c>
      <c r="I50" s="11">
        <f t="shared" si="7"/>
        <v>397.582399999999</v>
      </c>
    </row>
    <row r="51" spans="1:9">
      <c r="A51" s="1">
        <v>49</v>
      </c>
      <c r="B51" s="2">
        <v>26557418</v>
      </c>
      <c r="C51" s="11">
        <v>126708</v>
      </c>
      <c r="D51" s="11">
        <v>120000.34</v>
      </c>
      <c r="E51" s="12">
        <v>44275</v>
      </c>
      <c r="F51" s="11">
        <f t="shared" si="4"/>
        <v>6707.66</v>
      </c>
      <c r="G51" s="11">
        <f t="shared" si="5"/>
        <v>5.58970082918099</v>
      </c>
      <c r="H51" s="11">
        <f t="shared" si="6"/>
        <v>124800.3536</v>
      </c>
      <c r="I51" s="11">
        <f t="shared" si="7"/>
        <v>1907.6464</v>
      </c>
    </row>
    <row r="52" spans="1:9">
      <c r="A52" s="1">
        <v>50</v>
      </c>
      <c r="B52" s="2">
        <v>26565040</v>
      </c>
      <c r="C52" s="11">
        <v>22174</v>
      </c>
      <c r="D52" s="11">
        <v>20999.73</v>
      </c>
      <c r="E52" s="12">
        <v>44277</v>
      </c>
      <c r="F52" s="11">
        <f t="shared" si="4"/>
        <v>1174.27</v>
      </c>
      <c r="G52" s="11">
        <f t="shared" si="5"/>
        <v>5.5918337997679</v>
      </c>
      <c r="H52" s="11">
        <f t="shared" si="6"/>
        <v>21839.7192</v>
      </c>
      <c r="I52" s="11">
        <f t="shared" si="7"/>
        <v>334.2808</v>
      </c>
    </row>
    <row r="53" spans="1:9">
      <c r="A53" s="1">
        <v>51</v>
      </c>
      <c r="B53" s="2">
        <v>26577691</v>
      </c>
      <c r="C53" s="11">
        <v>15838</v>
      </c>
      <c r="D53" s="11">
        <v>14999.67</v>
      </c>
      <c r="E53" s="12">
        <v>44278</v>
      </c>
      <c r="F53" s="11">
        <f t="shared" si="4"/>
        <v>838.33</v>
      </c>
      <c r="G53" s="11">
        <f t="shared" si="5"/>
        <v>5.5889896244384</v>
      </c>
      <c r="H53" s="11">
        <f t="shared" si="6"/>
        <v>15599.6568</v>
      </c>
      <c r="I53" s="11">
        <f t="shared" si="7"/>
        <v>238.343199999999</v>
      </c>
    </row>
    <row r="54" spans="1:9">
      <c r="A54" s="1">
        <v>51</v>
      </c>
      <c r="B54" s="2">
        <v>26543741</v>
      </c>
      <c r="C54" s="11">
        <v>31677</v>
      </c>
      <c r="D54" s="11">
        <v>30000.33</v>
      </c>
      <c r="E54" s="12">
        <v>44278</v>
      </c>
      <c r="F54" s="11">
        <f t="shared" si="4"/>
        <v>1676.67</v>
      </c>
      <c r="G54" s="11">
        <f t="shared" si="5"/>
        <v>5.58883852277624</v>
      </c>
      <c r="H54" s="11">
        <f t="shared" si="6"/>
        <v>31200.3432</v>
      </c>
      <c r="I54" s="11">
        <f t="shared" si="7"/>
        <v>476.656800000001</v>
      </c>
    </row>
    <row r="55" spans="1:9">
      <c r="A55" s="1">
        <v>52</v>
      </c>
      <c r="B55" s="2">
        <v>26575351</v>
      </c>
      <c r="C55" s="11">
        <v>35900</v>
      </c>
      <c r="D55" s="11">
        <v>34000.04</v>
      </c>
      <c r="E55" s="12">
        <v>44278</v>
      </c>
      <c r="F55" s="11">
        <f t="shared" si="4"/>
        <v>1899.96</v>
      </c>
      <c r="G55" s="11">
        <f t="shared" si="5"/>
        <v>5.5881110728105</v>
      </c>
      <c r="H55" s="11">
        <f t="shared" si="6"/>
        <v>35360.0416</v>
      </c>
      <c r="I55" s="11">
        <f t="shared" si="7"/>
        <v>539.958400000003</v>
      </c>
    </row>
    <row r="56" spans="1:9">
      <c r="A56" s="1">
        <v>53</v>
      </c>
      <c r="B56" s="2">
        <v>26575086</v>
      </c>
      <c r="C56" s="11">
        <v>21118</v>
      </c>
      <c r="D56" s="11">
        <v>20000.56</v>
      </c>
      <c r="E56" s="12">
        <v>44279</v>
      </c>
      <c r="F56" s="11">
        <f t="shared" si="4"/>
        <v>1117.44</v>
      </c>
      <c r="G56" s="11">
        <f t="shared" si="5"/>
        <v>5.58704356278024</v>
      </c>
      <c r="H56" s="11">
        <f t="shared" si="6"/>
        <v>20800.5824</v>
      </c>
      <c r="I56" s="11">
        <f t="shared" si="7"/>
        <v>317.417600000001</v>
      </c>
    </row>
    <row r="57" spans="1:9">
      <c r="A57" s="1">
        <v>54</v>
      </c>
      <c r="B57" s="2">
        <v>26588279</v>
      </c>
      <c r="C57" s="11">
        <v>38857</v>
      </c>
      <c r="D57" s="11">
        <v>36800.14</v>
      </c>
      <c r="E57" s="12">
        <v>44280</v>
      </c>
      <c r="F57" s="11">
        <f t="shared" si="4"/>
        <v>2056.86</v>
      </c>
      <c r="G57" s="11">
        <f t="shared" si="5"/>
        <v>5.58927221472527</v>
      </c>
      <c r="H57" s="11">
        <f t="shared" si="6"/>
        <v>38272.1456</v>
      </c>
      <c r="I57" s="11">
        <f t="shared" si="7"/>
        <v>584.854399999997</v>
      </c>
    </row>
    <row r="58" spans="1:9">
      <c r="A58" s="1">
        <v>55</v>
      </c>
      <c r="B58" s="2">
        <v>26594327</v>
      </c>
      <c r="C58" s="11">
        <v>31677</v>
      </c>
      <c r="D58" s="11">
        <v>30000.33</v>
      </c>
      <c r="E58" s="12">
        <v>44280</v>
      </c>
      <c r="F58" s="11">
        <f t="shared" si="4"/>
        <v>1676.67</v>
      </c>
      <c r="G58" s="11">
        <f t="shared" si="5"/>
        <v>5.58883852277624</v>
      </c>
      <c r="H58" s="11">
        <f t="shared" si="6"/>
        <v>31200.3432</v>
      </c>
      <c r="I58" s="11">
        <f t="shared" si="7"/>
        <v>476.656800000001</v>
      </c>
    </row>
    <row r="59" spans="1:9">
      <c r="A59" s="1">
        <v>56</v>
      </c>
      <c r="B59" s="2">
        <v>26613703</v>
      </c>
      <c r="C59" s="11">
        <v>52795</v>
      </c>
      <c r="D59" s="11">
        <v>49999.89</v>
      </c>
      <c r="E59" s="12">
        <v>44282</v>
      </c>
      <c r="F59" s="11">
        <f t="shared" si="4"/>
        <v>2795.11</v>
      </c>
      <c r="G59" s="11">
        <f t="shared" si="5"/>
        <v>5.59023229851106</v>
      </c>
      <c r="H59" s="11">
        <f t="shared" si="6"/>
        <v>51999.8856</v>
      </c>
      <c r="I59" s="11">
        <f t="shared" si="7"/>
        <v>795.114399999999</v>
      </c>
    </row>
    <row r="60" spans="1:9">
      <c r="A60" s="1">
        <v>57</v>
      </c>
      <c r="B60" s="2">
        <v>26616616</v>
      </c>
      <c r="C60" s="11">
        <v>47515</v>
      </c>
      <c r="D60" s="11">
        <v>45000</v>
      </c>
      <c r="E60" s="12">
        <v>44283</v>
      </c>
      <c r="F60" s="11">
        <f t="shared" si="4"/>
        <v>2515</v>
      </c>
      <c r="G60" s="11">
        <f t="shared" si="5"/>
        <v>5.58888888888889</v>
      </c>
      <c r="H60" s="11">
        <f t="shared" si="6"/>
        <v>46800</v>
      </c>
      <c r="I60" s="11">
        <f t="shared" si="7"/>
        <v>715</v>
      </c>
    </row>
    <row r="61" spans="1:9">
      <c r="A61" s="1">
        <v>58</v>
      </c>
      <c r="B61" s="2">
        <v>26620844</v>
      </c>
      <c r="C61" s="11">
        <v>26397</v>
      </c>
      <c r="D61" s="11">
        <v>24999.44</v>
      </c>
      <c r="E61" s="12">
        <v>44285</v>
      </c>
      <c r="F61" s="11">
        <f t="shared" si="4"/>
        <v>1397.56</v>
      </c>
      <c r="G61" s="11">
        <f t="shared" si="5"/>
        <v>5.59036522418103</v>
      </c>
      <c r="H61" s="11">
        <f t="shared" si="6"/>
        <v>25999.4176</v>
      </c>
      <c r="I61" s="11">
        <f t="shared" si="7"/>
        <v>397.582399999999</v>
      </c>
    </row>
    <row r="62" spans="3:9">
      <c r="C62" s="11"/>
      <c r="D62" s="11"/>
      <c r="E62" s="12"/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3:9">
      <c r="C63" s="11"/>
      <c r="D63" s="11"/>
      <c r="E63" s="12"/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3:9">
      <c r="C64" s="11"/>
      <c r="D64" s="11"/>
      <c r="E64" s="12"/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3:9">
      <c r="C65" s="11"/>
      <c r="D65" s="11"/>
      <c r="E65" s="12"/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3:9">
      <c r="C66" s="11"/>
      <c r="D66" s="11"/>
      <c r="E66" s="12"/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3:9">
      <c r="C67" s="11"/>
      <c r="D67" s="11"/>
      <c r="E67" s="12"/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3:9">
      <c r="C68" s="11"/>
      <c r="D68" s="11"/>
      <c r="E68" s="12"/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3:9">
      <c r="C69" s="11"/>
      <c r="D69" s="11"/>
      <c r="E69" s="12"/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3:9">
      <c r="C70" s="11"/>
      <c r="D70" s="11"/>
      <c r="E70" s="12"/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3:9">
      <c r="C71" s="11"/>
      <c r="D71" s="11"/>
      <c r="E71" s="12"/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3:9">
      <c r="C72" s="11"/>
      <c r="D72" s="11"/>
      <c r="E72" s="12"/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3:9">
      <c r="C73" s="11"/>
      <c r="D73" s="11"/>
      <c r="E73" s="12"/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3:9">
      <c r="C74" s="11"/>
      <c r="D74" s="11"/>
      <c r="E74" s="12"/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3:9">
      <c r="C75" s="11"/>
      <c r="D75" s="11"/>
      <c r="E75" s="12"/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3:9">
      <c r="C76" s="11"/>
      <c r="D76" s="11"/>
      <c r="E76" s="12"/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3:9">
      <c r="C77" s="11"/>
      <c r="D77" s="11"/>
      <c r="E77" s="12"/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3:9">
      <c r="C78" s="11"/>
      <c r="D78" s="11"/>
      <c r="E78" s="12"/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3:9">
      <c r="C79" s="11"/>
      <c r="D79" s="11"/>
      <c r="E79" s="12"/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3:9">
      <c r="C80" s="11"/>
      <c r="D80" s="11"/>
      <c r="E80" s="12"/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3:9">
      <c r="C81" s="11"/>
      <c r="D81" s="11"/>
      <c r="E81" s="12"/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3:9">
      <c r="C82" s="11"/>
      <c r="D82" s="11"/>
      <c r="E82" s="12"/>
      <c r="F82" s="11" t="str">
        <f>IF(B82="","",C82-D82)</f>
        <v/>
      </c>
      <c r="G82" s="11" t="str">
        <f>IF(B82="","",F82/D82*100)</f>
        <v/>
      </c>
      <c r="H82" s="11" t="str">
        <f>IF(B82="","",D82*1.04)</f>
        <v/>
      </c>
      <c r="I82" s="11" t="str">
        <f>IF(B82="","",C82-H82)</f>
        <v/>
      </c>
    </row>
    <row r="83" spans="5:9">
      <c r="E83" s="12"/>
      <c r="F83" s="11" t="str">
        <f t="shared" ref="F83:F146" si="8">IF(B83="","",C83-D83)</f>
        <v/>
      </c>
      <c r="G83" s="11" t="str">
        <f t="shared" ref="G83:G146" si="9">IF(B83="","",F83/D83*100)</f>
        <v/>
      </c>
      <c r="H83" s="11" t="str">
        <f t="shared" ref="H83:H146" si="10">IF(B83="","",D83*1.04)</f>
        <v/>
      </c>
      <c r="I83" s="11" t="str">
        <f t="shared" ref="I83:I146" si="11">IF(B83="","",C83-H83)</f>
        <v/>
      </c>
    </row>
    <row r="84" spans="5:9">
      <c r="E84" s="12"/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5:9">
      <c r="E85" s="12"/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si="8"/>
        <v/>
      </c>
      <c r="G146" s="11" t="str">
        <f t="shared" si="9"/>
        <v/>
      </c>
      <c r="H146" s="11" t="str">
        <f t="shared" si="10"/>
        <v/>
      </c>
      <c r="I146" s="11" t="str">
        <f t="shared" si="11"/>
        <v/>
      </c>
    </row>
    <row r="147" spans="6:9">
      <c r="F147" s="11" t="str">
        <f t="shared" ref="F147:F210" si="12">IF(B147="","",C147-D147)</f>
        <v/>
      </c>
      <c r="G147" s="11" t="str">
        <f t="shared" ref="G147:G210" si="13">IF(B147="","",F147/D147*100)</f>
        <v/>
      </c>
      <c r="H147" s="11" t="str">
        <f t="shared" ref="H147:H210" si="14">IF(B147="","",D147*1.04)</f>
        <v/>
      </c>
      <c r="I147" s="11" t="str">
        <f t="shared" ref="I147:I210" si="15">IF(B147="","",C147-H147)</f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si="12"/>
        <v/>
      </c>
      <c r="G210" s="11" t="str">
        <f t="shared" si="13"/>
        <v/>
      </c>
      <c r="H210" s="11" t="str">
        <f t="shared" si="14"/>
        <v/>
      </c>
      <c r="I210" s="11" t="str">
        <f t="shared" si="15"/>
        <v/>
      </c>
    </row>
    <row r="211" spans="6:9">
      <c r="F211" s="11" t="str">
        <f t="shared" ref="F211:F221" si="16">IF(B211="","",C211-D211)</f>
        <v/>
      </c>
      <c r="G211" s="11" t="str">
        <f t="shared" ref="G211:G221" si="17">IF(B211="","",F211/D211*100)</f>
        <v/>
      </c>
      <c r="H211" s="11" t="str">
        <f t="shared" ref="H211:H221" si="18">IF(B211="","",D211*1.04)</f>
        <v/>
      </c>
      <c r="I211" s="11" t="str">
        <f t="shared" ref="I211:I221" si="19">IF(B211="","",C211-H211)</f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  <row r="221" spans="6:9">
      <c r="F221" s="11" t="str">
        <f t="shared" si="16"/>
        <v/>
      </c>
      <c r="G221" s="11" t="str">
        <f t="shared" si="17"/>
        <v/>
      </c>
      <c r="H221" s="11" t="str">
        <f t="shared" si="18"/>
        <v/>
      </c>
      <c r="I221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2021-03-30T02:29:32Z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</Properties>
</file>