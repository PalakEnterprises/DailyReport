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<sst xmlns="http://schemas.openxmlformats.org/spreadsheetml/2006/main" count="10" uniqueCount="10">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</sst>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178" formatCode="[$-409]dd\-mmm\-yy;@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7" borderId="2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25" borderId="7" applyNumberFormat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5" fillId="23" borderId="5" applyNumberFormat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21" fillId="23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24" activePane="bottomLeft" state="frozen"/>
      <selection/>
      <selection pane="bottomLeft" activeCell="J42" sqref="J42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4578810</v>
      </c>
      <c r="D2" s="7">
        <f>SUM(D3:D220)</f>
        <v>4336418.47</v>
      </c>
      <c r="E2" s="8">
        <f>C2-D2</f>
        <v>242391.53</v>
      </c>
      <c r="F2" s="9">
        <f>SUM(F3:F220)</f>
        <v>242391.53</v>
      </c>
      <c r="G2" s="10">
        <f>C2-H2</f>
        <v>68934.7911999999</v>
      </c>
      <c r="H2" s="7">
        <f>SUM(H3:H220)</f>
        <v>4509875.2088</v>
      </c>
      <c r="I2" s="10">
        <f>SUM(I3:I220)</f>
        <v>68934.7911999999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6:9">
      <c r="F43" s="11" t="str">
        <f t="shared" si="4"/>
        <v/>
      </c>
      <c r="G43" s="11" t="str">
        <f t="shared" si="5"/>
        <v/>
      </c>
      <c r="H43" s="11" t="str">
        <f t="shared" si="6"/>
        <v/>
      </c>
      <c r="I43" s="11" t="str">
        <f t="shared" si="7"/>
        <v/>
      </c>
    </row>
    <row r="44" spans="6:9">
      <c r="F44" s="11" t="str">
        <f t="shared" si="4"/>
        <v/>
      </c>
      <c r="G44" s="11" t="str">
        <f t="shared" si="5"/>
        <v/>
      </c>
      <c r="H44" s="11" t="str">
        <f t="shared" si="6"/>
        <v/>
      </c>
      <c r="I44" s="11" t="str">
        <f t="shared" si="7"/>
        <v/>
      </c>
    </row>
    <row r="45" spans="6:9">
      <c r="F45" s="11" t="str">
        <f t="shared" si="4"/>
        <v/>
      </c>
      <c r="G45" s="11" t="str">
        <f t="shared" si="5"/>
        <v/>
      </c>
      <c r="H45" s="11" t="str">
        <f t="shared" si="6"/>
        <v/>
      </c>
      <c r="I45" s="11" t="str">
        <f t="shared" si="7"/>
        <v/>
      </c>
    </row>
    <row r="46" spans="6:9">
      <c r="F46" s="11" t="str">
        <f t="shared" si="4"/>
        <v/>
      </c>
      <c r="G46" s="11" t="str">
        <f t="shared" si="5"/>
        <v/>
      </c>
      <c r="H46" s="11" t="str">
        <f t="shared" si="6"/>
        <v/>
      </c>
      <c r="I46" s="11" t="str">
        <f t="shared" si="7"/>
        <v/>
      </c>
    </row>
    <row r="47" spans="6:9">
      <c r="F47" s="11" t="str">
        <f t="shared" si="4"/>
        <v/>
      </c>
      <c r="G47" s="11" t="str">
        <f t="shared" si="5"/>
        <v/>
      </c>
      <c r="H47" s="11" t="str">
        <f t="shared" si="6"/>
        <v/>
      </c>
      <c r="I47" s="11" t="str">
        <f t="shared" si="7"/>
        <v/>
      </c>
    </row>
    <row r="48" spans="6:9">
      <c r="F48" s="11" t="str">
        <f t="shared" si="4"/>
        <v/>
      </c>
      <c r="G48" s="11" t="str">
        <f t="shared" si="5"/>
        <v/>
      </c>
      <c r="H48" s="11" t="str">
        <f t="shared" si="6"/>
        <v/>
      </c>
      <c r="I48" s="11" t="str">
        <f t="shared" si="7"/>
        <v/>
      </c>
    </row>
    <row r="49" spans="6:9">
      <c r="F49" s="11" t="str">
        <f t="shared" si="4"/>
        <v/>
      </c>
      <c r="G49" s="11" t="str">
        <f t="shared" si="5"/>
        <v/>
      </c>
      <c r="H49" s="11" t="str">
        <f t="shared" si="6"/>
        <v/>
      </c>
      <c r="I49" s="11" t="str">
        <f t="shared" si="7"/>
        <v/>
      </c>
    </row>
    <row r="50" spans="6:9">
      <c r="F50" s="11" t="str">
        <f t="shared" si="4"/>
        <v/>
      </c>
      <c r="G50" s="11" t="str">
        <f t="shared" si="5"/>
        <v/>
      </c>
      <c r="H50" s="11" t="str">
        <f t="shared" si="6"/>
        <v/>
      </c>
      <c r="I50" s="11" t="str">
        <f t="shared" si="7"/>
        <v/>
      </c>
    </row>
    <row r="51" spans="6:9">
      <c r="F51" s="11" t="str">
        <f t="shared" si="4"/>
        <v/>
      </c>
      <c r="G51" s="11" t="str">
        <f t="shared" si="5"/>
        <v/>
      </c>
      <c r="H51" s="11" t="str">
        <f t="shared" si="6"/>
        <v/>
      </c>
      <c r="I51" s="11" t="str">
        <f t="shared" si="7"/>
        <v/>
      </c>
    </row>
    <row r="52" spans="6:9">
      <c r="F52" s="11" t="str">
        <f t="shared" si="4"/>
        <v/>
      </c>
      <c r="G52" s="11" t="str">
        <f t="shared" si="5"/>
        <v/>
      </c>
      <c r="H52" s="11" t="str">
        <f t="shared" si="6"/>
        <v/>
      </c>
      <c r="I52" s="11" t="str">
        <f t="shared" si="7"/>
        <v/>
      </c>
    </row>
    <row r="53" spans="6:9">
      <c r="F53" s="11" t="str">
        <f t="shared" si="4"/>
        <v/>
      </c>
      <c r="G53" s="11" t="str">
        <f t="shared" si="5"/>
        <v/>
      </c>
      <c r="H53" s="11" t="str">
        <f t="shared" si="6"/>
        <v/>
      </c>
      <c r="I53" s="11" t="str">
        <f t="shared" si="7"/>
        <v/>
      </c>
    </row>
    <row r="54" spans="6:9">
      <c r="F54" s="11" t="str">
        <f t="shared" si="4"/>
        <v/>
      </c>
      <c r="G54" s="11" t="str">
        <f t="shared" si="5"/>
        <v/>
      </c>
      <c r="H54" s="11" t="str">
        <f t="shared" si="6"/>
        <v/>
      </c>
      <c r="I54" s="11" t="str">
        <f t="shared" si="7"/>
        <v/>
      </c>
    </row>
    <row r="55" spans="6:9">
      <c r="F55" s="11" t="str">
        <f t="shared" si="4"/>
        <v/>
      </c>
      <c r="G55" s="11" t="str">
        <f t="shared" si="5"/>
        <v/>
      </c>
      <c r="H55" s="11" t="str">
        <f t="shared" si="6"/>
        <v/>
      </c>
      <c r="I55" s="11" t="str">
        <f t="shared" si="7"/>
        <v/>
      </c>
    </row>
    <row r="56" spans="6:9">
      <c r="F56" s="11" t="str">
        <f t="shared" si="4"/>
        <v/>
      </c>
      <c r="G56" s="11" t="str">
        <f t="shared" si="5"/>
        <v/>
      </c>
      <c r="H56" s="11" t="str">
        <f t="shared" si="6"/>
        <v/>
      </c>
      <c r="I56" s="11" t="str">
        <f t="shared" si="7"/>
        <v/>
      </c>
    </row>
    <row r="57" spans="6:9">
      <c r="F57" s="11" t="str">
        <f t="shared" si="4"/>
        <v/>
      </c>
      <c r="G57" s="11" t="str">
        <f t="shared" si="5"/>
        <v/>
      </c>
      <c r="H57" s="11" t="str">
        <f t="shared" si="6"/>
        <v/>
      </c>
      <c r="I57" s="11" t="str">
        <f t="shared" si="7"/>
        <v/>
      </c>
    </row>
    <row r="58" spans="6:9">
      <c r="F58" s="11" t="str">
        <f t="shared" si="4"/>
        <v/>
      </c>
      <c r="G58" s="11" t="str">
        <f t="shared" si="5"/>
        <v/>
      </c>
      <c r="H58" s="11" t="str">
        <f t="shared" si="6"/>
        <v/>
      </c>
      <c r="I58" s="11" t="str">
        <f t="shared" si="7"/>
        <v/>
      </c>
    </row>
    <row r="59" spans="6:9">
      <c r="F59" s="11" t="str">
        <f t="shared" si="4"/>
        <v/>
      </c>
      <c r="G59" s="11" t="str">
        <f t="shared" si="5"/>
        <v/>
      </c>
      <c r="H59" s="11" t="str">
        <f t="shared" si="6"/>
        <v/>
      </c>
      <c r="I59" s="11" t="str">
        <f t="shared" si="7"/>
        <v/>
      </c>
    </row>
    <row r="60" spans="6:9">
      <c r="F60" s="11" t="str">
        <f t="shared" si="4"/>
        <v/>
      </c>
      <c r="G60" s="11" t="str">
        <f t="shared" si="5"/>
        <v/>
      </c>
      <c r="H60" s="11" t="str">
        <f t="shared" si="6"/>
        <v/>
      </c>
      <c r="I60" s="11" t="str">
        <f t="shared" si="7"/>
        <v/>
      </c>
    </row>
    <row r="61" spans="6:9">
      <c r="F61" s="11" t="str">
        <f t="shared" si="4"/>
        <v/>
      </c>
      <c r="G61" s="11" t="str">
        <f t="shared" si="5"/>
        <v/>
      </c>
      <c r="H61" s="11" t="str">
        <f t="shared" si="6"/>
        <v/>
      </c>
      <c r="I61" s="11" t="str">
        <f t="shared" si="7"/>
        <v/>
      </c>
    </row>
    <row r="62" spans="6:9">
      <c r="F62" s="11" t="str">
        <f t="shared" si="4"/>
        <v/>
      </c>
      <c r="G62" s="11" t="str">
        <f t="shared" si="5"/>
        <v/>
      </c>
      <c r="H62" s="11" t="str">
        <f t="shared" si="6"/>
        <v/>
      </c>
      <c r="I62" s="11" t="str">
        <f t="shared" si="7"/>
        <v/>
      </c>
    </row>
    <row r="63" spans="6:9">
      <c r="F63" s="11" t="str">
        <f t="shared" si="4"/>
        <v/>
      </c>
      <c r="G63" s="11" t="str">
        <f t="shared" si="5"/>
        <v/>
      </c>
      <c r="H63" s="11" t="str">
        <f t="shared" si="6"/>
        <v/>
      </c>
      <c r="I63" s="11" t="str">
        <f t="shared" si="7"/>
        <v/>
      </c>
    </row>
    <row r="64" spans="6:9">
      <c r="F64" s="11" t="str">
        <f t="shared" si="4"/>
        <v/>
      </c>
      <c r="G64" s="11" t="str">
        <f t="shared" si="5"/>
        <v/>
      </c>
      <c r="H64" s="11" t="str">
        <f t="shared" si="6"/>
        <v/>
      </c>
      <c r="I64" s="11" t="str">
        <f t="shared" si="7"/>
        <v/>
      </c>
    </row>
    <row r="65" spans="6:9">
      <c r="F65" s="11" t="str">
        <f t="shared" si="4"/>
        <v/>
      </c>
      <c r="G65" s="11" t="str">
        <f t="shared" si="5"/>
        <v/>
      </c>
      <c r="H65" s="11" t="str">
        <f t="shared" si="6"/>
        <v/>
      </c>
      <c r="I65" s="11" t="str">
        <f t="shared" si="7"/>
        <v/>
      </c>
    </row>
    <row r="66" spans="6:9">
      <c r="F66" s="11" t="str">
        <f t="shared" si="4"/>
        <v/>
      </c>
      <c r="G66" s="11" t="str">
        <f t="shared" si="5"/>
        <v/>
      </c>
      <c r="H66" s="11" t="str">
        <f t="shared" si="6"/>
        <v/>
      </c>
      <c r="I66" s="11" t="str">
        <f t="shared" si="7"/>
        <v/>
      </c>
    </row>
    <row r="67" spans="6:9"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6:9"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6:9"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6:9"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6:9"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6:9"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6:9"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6:9"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6:9"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6:9"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6:9"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6:9"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6:9"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6:9"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6:9"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6:9">
      <c r="F82" s="11" t="str">
        <f t="shared" ref="F82:F145" si="8">IF(B82="","",C82-D82)</f>
        <v/>
      </c>
      <c r="G82" s="11" t="str">
        <f t="shared" ref="G82:G145" si="9">IF(B82="","",F82/D82*100)</f>
        <v/>
      </c>
      <c r="H82" s="11" t="str">
        <f t="shared" ref="H82:H145" si="10">IF(B82="","",D82*1.04)</f>
        <v/>
      </c>
      <c r="I82" s="11" t="str">
        <f t="shared" ref="I82:I145" si="11">IF(B82="","",C82-H82)</f>
        <v/>
      </c>
    </row>
    <row r="83" spans="6:9">
      <c r="F83" s="11" t="str">
        <f t="shared" si="8"/>
        <v/>
      </c>
      <c r="G83" s="11" t="str">
        <f t="shared" si="9"/>
        <v/>
      </c>
      <c r="H83" s="11" t="str">
        <f t="shared" si="10"/>
        <v/>
      </c>
      <c r="I83" s="11" t="str">
        <f t="shared" si="11"/>
        <v/>
      </c>
    </row>
    <row r="84" spans="6:9"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6:9"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ref="F146:F209" si="12">IF(B146="","",C146-D146)</f>
        <v/>
      </c>
      <c r="G146" s="11" t="str">
        <f t="shared" ref="G146:G209" si="13">IF(B146="","",F146/D146*100)</f>
        <v/>
      </c>
      <c r="H146" s="11" t="str">
        <f t="shared" ref="H146:H209" si="14">IF(B146="","",D146*1.04)</f>
        <v/>
      </c>
      <c r="I146" s="11" t="str">
        <f t="shared" ref="I146:I209" si="15">IF(B146="","",C146-H146)</f>
        <v/>
      </c>
    </row>
    <row r="147" spans="6:9">
      <c r="F147" s="11" t="str">
        <f t="shared" si="12"/>
        <v/>
      </c>
      <c r="G147" s="11" t="str">
        <f t="shared" si="13"/>
        <v/>
      </c>
      <c r="H147" s="11" t="str">
        <f t="shared" si="14"/>
        <v/>
      </c>
      <c r="I147" s="11" t="str">
        <f t="shared" si="15"/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ref="F210:F220" si="16">IF(B210="","",C210-D210)</f>
        <v/>
      </c>
      <c r="G210" s="11" t="str">
        <f t="shared" ref="G210:G220" si="17">IF(B210="","",F210/D210*100)</f>
        <v/>
      </c>
      <c r="H210" s="11" t="str">
        <f t="shared" ref="H210:H220" si="18">IF(B210="","",D210*1.04)</f>
        <v/>
      </c>
      <c r="I210" s="11" t="str">
        <f t="shared" ref="I210:I220" si="19">IF(B210="","",C210-H210)</f>
        <v/>
      </c>
    </row>
    <row r="211" spans="6:9">
      <c r="F211" s="11" t="str">
        <f t="shared" si="16"/>
        <v/>
      </c>
      <c r="G211" s="11" t="str">
        <f t="shared" si="17"/>
        <v/>
      </c>
      <c r="H211" s="11" t="str">
        <f t="shared" si="18"/>
        <v/>
      </c>
      <c r="I211" s="11" t="str">
        <f t="shared" si="19"/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2021-03-07T05:18:04Z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</Properties>
</file>