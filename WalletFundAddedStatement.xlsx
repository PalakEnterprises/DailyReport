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<sst xmlns="http://schemas.openxmlformats.org/spreadsheetml/2006/main" count="10" uniqueCount="10">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</sst>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d\-mmm\-yy;@"/>
  </numFmts>
  <fonts count="24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9.2"/>
      <color theme="1"/>
      <name val="Helvetica"/>
      <charset val="134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8" borderId="2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21" borderId="4" applyNumberFormat="0" applyFon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7" borderId="1" applyNumberForma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75" activePane="bottomLeft" state="frozen"/>
      <selection/>
      <selection pane="bottomLeft" activeCell="F91" sqref="F91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7140447</v>
      </c>
      <c r="D2" s="7">
        <f>SUM(D3:D221)</f>
        <v>6763541.49</v>
      </c>
      <c r="E2" s="8">
        <f>C2-D2</f>
        <v>376905.510000001</v>
      </c>
      <c r="F2" s="9">
        <f>SUM(F3:F221)</f>
        <v>376905.51</v>
      </c>
      <c r="G2" s="10">
        <f>C2-H2</f>
        <v>106363.850399997</v>
      </c>
      <c r="H2" s="7">
        <f>SUM(H3:H221)</f>
        <v>7034083.1496</v>
      </c>
      <c r="I2" s="10">
        <f>SUM(I3:I221)</f>
        <v>106363.8504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>
        <v>71</v>
      </c>
      <c r="B74" s="2">
        <v>26731087</v>
      </c>
      <c r="C74" s="11">
        <v>11923</v>
      </c>
      <c r="D74" s="11">
        <v>11299.79</v>
      </c>
      <c r="E74" s="12">
        <v>44301</v>
      </c>
      <c r="F74" s="11">
        <f t="shared" si="4"/>
        <v>623.209999999999</v>
      </c>
      <c r="G74" s="11">
        <f t="shared" si="5"/>
        <v>5.51523523888496</v>
      </c>
      <c r="H74" s="11">
        <f t="shared" si="6"/>
        <v>11751.7816</v>
      </c>
      <c r="I74" s="11">
        <f t="shared" si="7"/>
        <v>171.218399999998</v>
      </c>
    </row>
    <row r="75" spans="1:9">
      <c r="A75" s="1">
        <v>72</v>
      </c>
      <c r="B75" s="2">
        <v>26755972</v>
      </c>
      <c r="C75" s="11">
        <v>44949</v>
      </c>
      <c r="D75" s="11">
        <v>42600.61</v>
      </c>
      <c r="E75" s="12">
        <v>44302</v>
      </c>
      <c r="F75" s="11">
        <f t="shared" si="4"/>
        <v>2348.39</v>
      </c>
      <c r="G75" s="11">
        <f t="shared" si="5"/>
        <v>5.51257364624591</v>
      </c>
      <c r="H75" s="11">
        <f t="shared" si="6"/>
        <v>44304.6344</v>
      </c>
      <c r="I75" s="11">
        <f t="shared" si="7"/>
        <v>644.365599999997</v>
      </c>
    </row>
    <row r="76" spans="1:9">
      <c r="A76" s="1">
        <v>73</v>
      </c>
      <c r="B76" s="2">
        <v>26767217</v>
      </c>
      <c r="C76" s="11">
        <v>63308</v>
      </c>
      <c r="D76" s="11">
        <v>60000.1</v>
      </c>
      <c r="E76" s="12">
        <v>44303</v>
      </c>
      <c r="F76" s="11">
        <f t="shared" si="4"/>
        <v>3307.9</v>
      </c>
      <c r="G76" s="11">
        <f t="shared" si="5"/>
        <v>5.51315747807087</v>
      </c>
      <c r="H76" s="11">
        <f t="shared" si="6"/>
        <v>62400.104</v>
      </c>
      <c r="I76" s="11">
        <f t="shared" si="7"/>
        <v>907.896000000001</v>
      </c>
    </row>
    <row r="77" spans="1:9">
      <c r="A77" s="1">
        <v>74</v>
      </c>
      <c r="B77" s="2">
        <v>26779891</v>
      </c>
      <c r="C77" s="11">
        <v>52757</v>
      </c>
      <c r="D77" s="11">
        <v>50000.08</v>
      </c>
      <c r="E77" s="12">
        <v>44305</v>
      </c>
      <c r="F77" s="11">
        <f t="shared" si="4"/>
        <v>2756.92</v>
      </c>
      <c r="G77" s="11">
        <f t="shared" si="5"/>
        <v>5.51383117787011</v>
      </c>
      <c r="H77" s="11">
        <f t="shared" si="6"/>
        <v>52000.0832</v>
      </c>
      <c r="I77" s="11">
        <f t="shared" si="7"/>
        <v>756.916799999999</v>
      </c>
    </row>
    <row r="78" spans="1:9">
      <c r="A78" s="2">
        <v>75</v>
      </c>
      <c r="B78" s="2">
        <v>26750644</v>
      </c>
      <c r="C78" s="11">
        <v>48536</v>
      </c>
      <c r="D78" s="11">
        <v>46000.47</v>
      </c>
      <c r="E78" s="12">
        <v>44305</v>
      </c>
      <c r="F78" s="11">
        <f t="shared" si="4"/>
        <v>2535.53</v>
      </c>
      <c r="G78" s="11">
        <f t="shared" si="5"/>
        <v>5.51196542122287</v>
      </c>
      <c r="H78" s="11">
        <f t="shared" si="6"/>
        <v>47840.4888</v>
      </c>
      <c r="I78" s="11">
        <f t="shared" si="7"/>
        <v>695.511199999994</v>
      </c>
    </row>
    <row r="79" spans="1:9">
      <c r="A79" s="2">
        <v>76</v>
      </c>
      <c r="B79" s="2">
        <v>26763879</v>
      </c>
      <c r="C79" s="11">
        <v>21103</v>
      </c>
      <c r="D79" s="11">
        <v>20000.03</v>
      </c>
      <c r="E79" s="12">
        <v>44307</v>
      </c>
      <c r="F79" s="11">
        <f t="shared" si="4"/>
        <v>1102.97</v>
      </c>
      <c r="G79" s="11">
        <f t="shared" si="5"/>
        <v>5.51484172773741</v>
      </c>
      <c r="H79" s="11">
        <f t="shared" si="6"/>
        <v>20800.0312</v>
      </c>
      <c r="I79" s="11">
        <f t="shared" si="7"/>
        <v>302.968799999999</v>
      </c>
    </row>
    <row r="80" spans="1:9">
      <c r="A80" s="2">
        <v>77</v>
      </c>
      <c r="B80" s="2">
        <v>26785136</v>
      </c>
      <c r="C80" s="11">
        <v>52757</v>
      </c>
      <c r="D80" s="11">
        <v>50000.08</v>
      </c>
      <c r="E80" s="12">
        <v>44308</v>
      </c>
      <c r="F80" s="11">
        <f t="shared" si="4"/>
        <v>2756.92</v>
      </c>
      <c r="G80" s="11">
        <f t="shared" si="5"/>
        <v>5.51383117787011</v>
      </c>
      <c r="H80" s="11">
        <f t="shared" si="6"/>
        <v>52000.0832</v>
      </c>
      <c r="I80" s="11">
        <f t="shared" si="7"/>
        <v>756.916799999999</v>
      </c>
    </row>
    <row r="81" spans="1:9">
      <c r="A81" s="2">
        <v>78</v>
      </c>
      <c r="B81" s="2">
        <v>26801716</v>
      </c>
      <c r="C81" s="11">
        <v>74492</v>
      </c>
      <c r="D81" s="11">
        <v>70599.85</v>
      </c>
      <c r="E81" s="12">
        <v>44308</v>
      </c>
      <c r="F81" s="11">
        <f t="shared" si="4"/>
        <v>3892.14999999999</v>
      </c>
      <c r="G81" s="11">
        <f t="shared" si="5"/>
        <v>5.51297205305676</v>
      </c>
      <c r="H81" s="11">
        <f t="shared" si="6"/>
        <v>73423.844</v>
      </c>
      <c r="I81" s="11">
        <f t="shared" si="7"/>
        <v>1068.15599999999</v>
      </c>
    </row>
    <row r="82" spans="1:9">
      <c r="A82" s="2">
        <v>79</v>
      </c>
      <c r="B82" s="2">
        <v>26658659</v>
      </c>
      <c r="C82" s="11">
        <v>47481</v>
      </c>
      <c r="D82" s="11">
        <v>45000.57</v>
      </c>
      <c r="E82" s="12">
        <v>44310</v>
      </c>
      <c r="F82" s="11">
        <f>IF(B82="","",C82-D82)</f>
        <v>2480.43</v>
      </c>
      <c r="G82" s="11">
        <f>IF(B82="","",F82/D82*100)</f>
        <v>5.51199684803993</v>
      </c>
      <c r="H82" s="11">
        <f>IF(B82="","",D82*1.04)</f>
        <v>46800.5928</v>
      </c>
      <c r="I82" s="11">
        <f>IF(B82="","",C82-H82)</f>
        <v>680.407200000001</v>
      </c>
    </row>
    <row r="83" spans="1:9">
      <c r="A83" s="2">
        <v>80</v>
      </c>
      <c r="B83" s="2">
        <v>26817645</v>
      </c>
      <c r="C83" s="11">
        <v>79135</v>
      </c>
      <c r="D83" s="11">
        <v>75000.62</v>
      </c>
      <c r="E83" s="12">
        <v>44311</v>
      </c>
      <c r="F83" s="11">
        <f t="shared" ref="F83:F146" si="8">IF(B83="","",C83-D83)</f>
        <v>4134.38</v>
      </c>
      <c r="G83" s="11">
        <f t="shared" ref="G83:G146" si="9">IF(B83="","",F83/D83*100)</f>
        <v>5.51246109698827</v>
      </c>
      <c r="H83" s="11">
        <f t="shared" ref="H83:H146" si="10">IF(B83="","",D83*1.04)</f>
        <v>78000.6448</v>
      </c>
      <c r="I83" s="11">
        <f t="shared" ref="I83:I146" si="11">IF(B83="","",C83-H83)</f>
        <v>1134.35520000001</v>
      </c>
    </row>
    <row r="84" spans="1:9">
      <c r="A84" s="2">
        <v>81</v>
      </c>
      <c r="B84" s="2">
        <v>26816773</v>
      </c>
      <c r="C84" s="11">
        <v>94962</v>
      </c>
      <c r="D84" s="11">
        <v>90000.15</v>
      </c>
      <c r="E84" s="12">
        <v>44312</v>
      </c>
      <c r="F84" s="11">
        <f t="shared" si="8"/>
        <v>4961.85000000001</v>
      </c>
      <c r="G84" s="11">
        <f t="shared" si="9"/>
        <v>5.51315747807088</v>
      </c>
      <c r="H84" s="11">
        <f t="shared" si="10"/>
        <v>93600.156</v>
      </c>
      <c r="I84" s="11">
        <f t="shared" si="11"/>
        <v>1361.844</v>
      </c>
    </row>
    <row r="85" spans="1:9">
      <c r="A85" s="2">
        <v>82</v>
      </c>
      <c r="B85" s="13">
        <v>26846210</v>
      </c>
      <c r="C85" s="11">
        <v>126616</v>
      </c>
      <c r="D85" s="11">
        <v>120000.19</v>
      </c>
      <c r="E85" s="12">
        <v>44314</v>
      </c>
      <c r="F85" s="11">
        <f t="shared" si="8"/>
        <v>6615.81</v>
      </c>
      <c r="G85" s="11">
        <f t="shared" si="9"/>
        <v>5.51316627082007</v>
      </c>
      <c r="H85" s="11">
        <f t="shared" si="10"/>
        <v>124800.1976</v>
      </c>
      <c r="I85" s="11">
        <f t="shared" si="11"/>
        <v>1815.8024</v>
      </c>
    </row>
    <row r="86" spans="1:9">
      <c r="A86" s="2">
        <v>83</v>
      </c>
      <c r="B86" s="13">
        <v>26850036</v>
      </c>
      <c r="C86" s="11">
        <v>25323</v>
      </c>
      <c r="D86" s="11">
        <v>23999.64</v>
      </c>
      <c r="E86" s="12">
        <v>44315</v>
      </c>
      <c r="F86" s="11">
        <f t="shared" si="8"/>
        <v>1323.36</v>
      </c>
      <c r="G86" s="11">
        <f t="shared" si="9"/>
        <v>5.51408271124067</v>
      </c>
      <c r="H86" s="11">
        <f t="shared" si="10"/>
        <v>24959.6256</v>
      </c>
      <c r="I86" s="11">
        <f t="shared" si="11"/>
        <v>363.374400000001</v>
      </c>
    </row>
    <row r="87" spans="1:9">
      <c r="A87" s="2">
        <v>84</v>
      </c>
      <c r="B87" s="13">
        <v>26851112</v>
      </c>
      <c r="C87" s="11">
        <v>47481</v>
      </c>
      <c r="D87" s="11">
        <v>45000.57</v>
      </c>
      <c r="E87" s="12">
        <v>44316</v>
      </c>
      <c r="F87" s="11">
        <f t="shared" si="8"/>
        <v>2480.43</v>
      </c>
      <c r="G87" s="11">
        <f t="shared" si="9"/>
        <v>5.51199684803993</v>
      </c>
      <c r="H87" s="11">
        <f t="shared" si="10"/>
        <v>46800.5928</v>
      </c>
      <c r="I87" s="11">
        <f t="shared" si="11"/>
        <v>680.407200000001</v>
      </c>
    </row>
    <row r="88" spans="1:9">
      <c r="A88" s="2">
        <v>85</v>
      </c>
      <c r="B88" s="13">
        <v>26862032</v>
      </c>
      <c r="C88" s="11">
        <v>42205</v>
      </c>
      <c r="D88" s="11">
        <v>40000.06</v>
      </c>
      <c r="E88" s="12">
        <v>44318</v>
      </c>
      <c r="F88" s="11">
        <f t="shared" si="8"/>
        <v>2204.94</v>
      </c>
      <c r="G88" s="11">
        <f t="shared" si="9"/>
        <v>5.51234173148741</v>
      </c>
      <c r="H88" s="11">
        <f t="shared" si="10"/>
        <v>41600.0624</v>
      </c>
      <c r="I88" s="11">
        <f t="shared" si="11"/>
        <v>604.937599999997</v>
      </c>
    </row>
    <row r="89" spans="1:9">
      <c r="A89" s="2">
        <v>86</v>
      </c>
      <c r="B89" s="13">
        <v>26868404</v>
      </c>
      <c r="C89" s="11">
        <v>31654</v>
      </c>
      <c r="D89" s="11">
        <v>30000.05</v>
      </c>
      <c r="E89" s="12">
        <v>44319</v>
      </c>
      <c r="F89" s="11">
        <f t="shared" si="8"/>
        <v>1653.95</v>
      </c>
      <c r="G89" s="11">
        <f t="shared" si="9"/>
        <v>5.51315747807087</v>
      </c>
      <c r="H89" s="11">
        <f t="shared" si="10"/>
        <v>31200.052</v>
      </c>
      <c r="I89" s="11">
        <f t="shared" si="11"/>
        <v>453.948</v>
      </c>
    </row>
    <row r="90" spans="1:9">
      <c r="A90" s="2">
        <v>87</v>
      </c>
      <c r="B90" s="13">
        <v>26844283</v>
      </c>
      <c r="C90" s="11">
        <v>31654</v>
      </c>
      <c r="D90" s="11">
        <v>30000.05</v>
      </c>
      <c r="E90" s="12">
        <v>44320</v>
      </c>
      <c r="F90" s="11">
        <f t="shared" si="8"/>
        <v>1653.95</v>
      </c>
      <c r="G90" s="11">
        <f t="shared" si="9"/>
        <v>5.51315747807087</v>
      </c>
      <c r="H90" s="11">
        <f t="shared" si="10"/>
        <v>31200.052</v>
      </c>
      <c r="I90" s="11">
        <f t="shared" si="11"/>
        <v>453.948</v>
      </c>
    </row>
    <row r="91" spans="2:9">
      <c r="B91" s="13"/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2:9">
      <c r="B92" s="13"/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2:9">
      <c r="B93" s="13"/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  <hyperlink ref="B75" r:id="rId1" display="26755972" tooltip="https://fiori.jioconnect.com/sap/bc/ui5_ui5/sap/zehys_dashboard/javascript:void(0);"/>
    <hyperlink ref="B76" r:id="rId1" display="26767217" tooltip="https://fiori.jioconnect.com/sap/bc/ui5_ui5/sap/zehys_dashboard/javascript:void(0);"/>
    <hyperlink ref="B77" r:id="rId1" display="26779891" tooltip="https://fiori.jioconnect.com/sap/bc/ui5_ui5/sap/zehys_dashboard/javascript:void(0);"/>
    <hyperlink ref="B78" r:id="rId1" display="26750644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2021-05-04T08:38:47Z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