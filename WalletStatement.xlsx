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<sst xmlns="http://schemas.openxmlformats.org/spreadsheetml/2006/main" count="10" uniqueCount="10">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</sst>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d\-mmm\-yy;@"/>
    <numFmt numFmtId="179" formatCode="[$-409]m/d/yy\ h:mm\ AM/PM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25" borderId="5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23" borderId="5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abSelected="1" workbookViewId="0">
      <selection activeCell="A2" sqref="A2:A1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="1" customFormat="1" spans="1:9">
      <c r="A2" s="1">
        <v>1</v>
      </c>
      <c r="B2" s="1">
        <v>25700791</v>
      </c>
      <c r="C2" s="6">
        <v>1056</v>
      </c>
      <c r="D2" s="6">
        <v>1000</v>
      </c>
      <c r="E2" s="7">
        <v>44166</v>
      </c>
      <c r="F2" s="6">
        <f t="shared" ref="F2:F11" si="0">C2-D2</f>
        <v>56</v>
      </c>
      <c r="G2" s="6">
        <f t="shared" ref="G2:G11" si="1">F2/D2*100</f>
        <v>5.6</v>
      </c>
      <c r="H2" s="6">
        <f t="shared" ref="H2:H11" si="2">D2*1.04</f>
        <v>1040</v>
      </c>
      <c r="I2" s="6">
        <f t="shared" ref="I2:I11" si="3">C2-H2</f>
        <v>16</v>
      </c>
    </row>
    <row r="3" s="1" customFormat="1" spans="1:9">
      <c r="A3" s="1">
        <v>2</v>
      </c>
      <c r="B3" s="1">
        <v>25698317</v>
      </c>
      <c r="C3" s="6">
        <v>831855</v>
      </c>
      <c r="D3" s="6">
        <v>787819</v>
      </c>
      <c r="E3" s="7">
        <v>44166</v>
      </c>
      <c r="F3" s="6">
        <f t="shared" si="0"/>
        <v>44036</v>
      </c>
      <c r="G3" s="6">
        <f t="shared" si="1"/>
        <v>5.58960878069709</v>
      </c>
      <c r="H3" s="6">
        <f t="shared" si="2"/>
        <v>819331.76</v>
      </c>
      <c r="I3" s="6">
        <f t="shared" si="3"/>
        <v>12523.24</v>
      </c>
    </row>
    <row r="4" s="1" customFormat="1" spans="1:9">
      <c r="A4" s="1">
        <v>3</v>
      </c>
      <c r="B4" s="1">
        <v>25686982</v>
      </c>
      <c r="C4" s="6">
        <v>1056</v>
      </c>
      <c r="D4" s="6">
        <v>1000</v>
      </c>
      <c r="E4" s="7">
        <v>44166</v>
      </c>
      <c r="F4" s="6">
        <f t="shared" si="0"/>
        <v>56</v>
      </c>
      <c r="G4" s="6">
        <f t="shared" si="1"/>
        <v>5.6</v>
      </c>
      <c r="H4" s="6">
        <f t="shared" si="2"/>
        <v>1040</v>
      </c>
      <c r="I4" s="6">
        <f t="shared" si="3"/>
        <v>16</v>
      </c>
    </row>
    <row r="5" s="1" customFormat="1" spans="1:9">
      <c r="A5" s="1">
        <v>4</v>
      </c>
      <c r="B5" s="1">
        <v>25809813</v>
      </c>
      <c r="C5" s="6">
        <v>1056</v>
      </c>
      <c r="D5" s="6">
        <v>1000.18</v>
      </c>
      <c r="E5" s="7">
        <v>44180</v>
      </c>
      <c r="F5" s="6">
        <f t="shared" si="0"/>
        <v>55.8200000000001</v>
      </c>
      <c r="G5" s="6">
        <f t="shared" si="1"/>
        <v>5.58099542082426</v>
      </c>
      <c r="H5" s="6">
        <f t="shared" si="2"/>
        <v>1040.1872</v>
      </c>
      <c r="I5" s="6">
        <f t="shared" si="3"/>
        <v>15.8127999999999</v>
      </c>
    </row>
    <row r="6" s="1" customFormat="1" spans="1:9">
      <c r="A6" s="1">
        <v>5</v>
      </c>
      <c r="B6" s="1">
        <v>25799444</v>
      </c>
      <c r="C6" s="6">
        <v>199564</v>
      </c>
      <c r="D6" s="6">
        <v>188999.6</v>
      </c>
      <c r="E6" s="7">
        <v>44180</v>
      </c>
      <c r="F6" s="6">
        <f t="shared" si="0"/>
        <v>10564.4</v>
      </c>
      <c r="G6" s="6">
        <f t="shared" si="1"/>
        <v>5.58964145955864</v>
      </c>
      <c r="H6" s="6">
        <f t="shared" si="2"/>
        <v>196559.584</v>
      </c>
      <c r="I6" s="6">
        <f t="shared" si="3"/>
        <v>3004.416</v>
      </c>
    </row>
    <row r="7" s="1" customFormat="1" spans="1:9">
      <c r="A7" s="1">
        <v>6</v>
      </c>
      <c r="B7" s="1">
        <v>25833013</v>
      </c>
      <c r="C7" s="6">
        <v>105590</v>
      </c>
      <c r="D7" s="6">
        <v>100000.78</v>
      </c>
      <c r="E7" s="7">
        <v>44183</v>
      </c>
      <c r="F7" s="6">
        <f t="shared" si="0"/>
        <v>5589.22</v>
      </c>
      <c r="G7" s="6">
        <f t="shared" si="1"/>
        <v>5.58917640442405</v>
      </c>
      <c r="H7" s="6">
        <f t="shared" si="2"/>
        <v>104000.8112</v>
      </c>
      <c r="I7" s="6">
        <f t="shared" si="3"/>
        <v>1589.1888</v>
      </c>
    </row>
    <row r="8" s="1" customFormat="1" spans="1:9">
      <c r="A8" s="1">
        <v>7</v>
      </c>
      <c r="B8" s="1">
        <v>25837282</v>
      </c>
      <c r="C8" s="6">
        <v>263974</v>
      </c>
      <c r="D8" s="6">
        <v>249999.45</v>
      </c>
      <c r="E8" s="7">
        <v>44184</v>
      </c>
      <c r="F8" s="6">
        <f t="shared" si="0"/>
        <v>13974.55</v>
      </c>
      <c r="G8" s="6">
        <f t="shared" si="1"/>
        <v>5.58983229763105</v>
      </c>
      <c r="H8" s="6">
        <f t="shared" si="2"/>
        <v>259999.428</v>
      </c>
      <c r="I8" s="6">
        <f t="shared" si="3"/>
        <v>3974.57199999999</v>
      </c>
    </row>
    <row r="9" s="1" customFormat="1" spans="1:9">
      <c r="A9" s="1">
        <v>8</v>
      </c>
      <c r="B9" s="1">
        <v>25898018</v>
      </c>
      <c r="C9" s="6">
        <v>43292</v>
      </c>
      <c r="D9" s="6">
        <v>41000.29</v>
      </c>
      <c r="E9" s="7">
        <v>44193</v>
      </c>
      <c r="F9" s="6">
        <f t="shared" si="0"/>
        <v>2291.71</v>
      </c>
      <c r="G9" s="6">
        <f t="shared" si="1"/>
        <v>5.58949704989891</v>
      </c>
      <c r="H9" s="6">
        <f t="shared" si="2"/>
        <v>42640.3016</v>
      </c>
      <c r="I9" s="6">
        <f t="shared" si="3"/>
        <v>651.698400000001</v>
      </c>
    </row>
    <row r="10" spans="1:9">
      <c r="A10" s="1">
        <v>9</v>
      </c>
      <c r="B10" s="2">
        <v>25895264</v>
      </c>
      <c r="C10" s="6">
        <v>211179</v>
      </c>
      <c r="D10" s="6">
        <v>199999.56</v>
      </c>
      <c r="E10" s="7">
        <v>44193</v>
      </c>
      <c r="F10" s="6">
        <f t="shared" si="0"/>
        <v>11179.44</v>
      </c>
      <c r="G10" s="6">
        <f t="shared" si="1"/>
        <v>5.58973229741105</v>
      </c>
      <c r="H10" s="6">
        <f t="shared" si="2"/>
        <v>207999.5424</v>
      </c>
      <c r="I10" s="6">
        <f t="shared" si="3"/>
        <v>3179.45759999999</v>
      </c>
    </row>
    <row r="11" spans="1:9">
      <c r="A11" s="1">
        <v>10</v>
      </c>
      <c r="B11" s="2">
        <v>25942968</v>
      </c>
      <c r="C11" s="6">
        <v>116149</v>
      </c>
      <c r="D11" s="6">
        <v>110000.56</v>
      </c>
      <c r="E11" s="7">
        <v>44200</v>
      </c>
      <c r="F11" s="6">
        <f t="shared" si="0"/>
        <v>6148.44</v>
      </c>
      <c r="G11" s="6">
        <f t="shared" si="1"/>
        <v>5.58946245364569</v>
      </c>
      <c r="H11" s="6">
        <f t="shared" si="2"/>
        <v>114400.5824</v>
      </c>
      <c r="I11" s="6">
        <f t="shared" si="3"/>
        <v>1748.4176</v>
      </c>
    </row>
    <row r="12" spans="1:9">
      <c r="A12" s="1">
        <v>11</v>
      </c>
      <c r="B12" s="2">
        <v>25957586</v>
      </c>
      <c r="C12" s="6">
        <v>105590</v>
      </c>
      <c r="D12" s="6">
        <v>100000.78</v>
      </c>
      <c r="E12" s="7">
        <v>44202</v>
      </c>
      <c r="F12" s="6">
        <f>C12-D12</f>
        <v>5589.22</v>
      </c>
      <c r="G12" s="6">
        <f>F12/D12*100</f>
        <v>5.58917640442405</v>
      </c>
      <c r="H12" s="6">
        <f>D12*1.04</f>
        <v>104000.8112</v>
      </c>
      <c r="I12" s="6">
        <f>C12-H12</f>
        <v>1589.1888</v>
      </c>
    </row>
    <row r="18" spans="5:5">
      <c r="E18" s="8"/>
    </row>
    <row r="20" spans="2:9">
      <c r="B20" s="9" t="s">
        <v>9</v>
      </c>
      <c r="C20" s="10">
        <f>SUM(C2:C19)</f>
        <v>1880361</v>
      </c>
      <c r="D20" s="10">
        <f>SUM(D2:D19)</f>
        <v>1780820.2</v>
      </c>
      <c r="E20" s="10"/>
      <c r="F20" s="11">
        <f>SUM(F2:F19)</f>
        <v>99540.8</v>
      </c>
      <c r="G20" s="10"/>
      <c r="H20" s="10">
        <f>SUM(H2:H19)</f>
        <v>1852053.008</v>
      </c>
      <c r="I20" s="10">
        <f>SUM(I2:I19)</f>
        <v>28307.992</v>
      </c>
    </row>
    <row r="23" s="2" customFormat="1" spans="3:6">
      <c r="C23" s="12"/>
      <c r="D23" s="12"/>
      <c r="F23" s="3"/>
    </row>
  </sheetData>
  <sortState ref="3:10">
    <sortCondition ref="A3:A10" descending="1"/>
  </sortState>
  <hyperlinks>
    <hyperlink ref="B6" r:id="rId1" display="25799444" tooltip="https://fiori.jioconnect.com/sap/bc/ui5_ui5/sap/zehys_dashboard/javascript:void(0);"/>
    <hyperlink ref="B5" r:id="rId1" display="25809813" tooltip="https://fiori.jioconnect.com/sap/bc/ui5_ui5/sap/zehys_dashboard/javascript:void(0);"/>
    <hyperlink ref="B4" r:id="rId1" display="25686982" tooltip="https://fiori.jioconnect.com/sap/bc/ui5_ui5/sap/zehys_dashboard/javascript:void(0);"/>
    <hyperlink ref="B3" r:id="rId1" display="25698317" tooltip="https://fiori.jioconnect.com/sap/bc/ui5_ui5/sap/zehys_dashboard/javascript:void(0);"/>
    <hyperlink ref="B2" r:id="rId1" display="25700791" tooltip="https://fiori.jioconnect.com/sap/bc/ui5_ui5/sap/zehys_dashboard/javascript:void(0);"/>
    <hyperlink ref="B8" r:id="rId1" display="25837282" tooltip="https://fiori.jioconnect.com/sap/bc/ui5_ui5/sap/zehys_dashboard/javascript:void(0);"/>
    <hyperlink ref="B7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2021-01-06T03:31:44Z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</Properties>
</file>