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<sst xmlns="http://schemas.openxmlformats.org/spreadsheetml/2006/main" count="10" uniqueCount="10">
  <si>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S.No</t>
  </si>
  <si>
    <t>Order ID</t>
  </si>
  <si>
    <t>Topup Amount</t>
  </si>
  <si>
    <t>Order Amount</t>
  </si>
  <si>
    <t>Creation Date/Time</t>
  </si>
  <si>
    <t>Difference</t>
  </si>
  <si>
    <t>Percentage</t>
  </si>
  <si>
    <t>Retailer 4% Comm.</t>
  </si>
  <si>
    <t>Distributor Commission</t>
  </si>
  <si>
    <t>Total: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</si>
</sst>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[$-409]dd\-mmm\-yy;@"/>
    <numFmt numFmtId="44" formatCode="_(&quot;$&quot;* #,##0.00_);_(&quot;$&quot;* \(#,##0.00\);_(&quot;$&quot;* &quot;-&quot;??_);_(@_)"/>
    <numFmt numFmtId="179" formatCode="[$-409]m/d/yy\ h:mm\ AM/PM;@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27" borderId="4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ori.jioconnect.com/sap/bc/ui5_ui5/sap/zehys_dashboard/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D14" sqref="D14"/>
    </sheetView>
  </sheetViews>
  <sheetFormatPr defaultColWidth="9.14285714285714" defaultRowHeight="15"/>
  <cols>
    <col min="1" max="1" width="5.71428571428571" style="2" customWidth="1"/>
    <col min="2" max="2" width="9.57142857142857" style="2" customWidth="1"/>
    <col min="3" max="3" width="15.2857142857143" style="2" customWidth="1"/>
    <col min="4" max="4" width="14.8571428571429" style="2" customWidth="1"/>
    <col min="5" max="5" width="20.1428571428571" style="2" customWidth="1"/>
    <col min="6" max="6" width="10.8571428571429" style="3" customWidth="1"/>
    <col min="7" max="7" width="11" style="2" customWidth="1"/>
    <col min="8" max="8" width="17.7142857142857" style="2" customWidth="1"/>
    <col min="9" max="9" width="24" style="2" customWidth="1"/>
    <col min="10" max="16382" width="51.1428571428571" style="2" customWidth="1"/>
    <col min="16383" max="16384" width="9.14285714285714" style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</row>
    <row r="3" s="1" customFormat="1" spans="1:9">
      <c r="A3" s="1">
        <f t="shared" ref="A3:A10" si="0">ROW()-2</f>
        <v>1</v>
      </c>
      <c r="B3" s="1">
        <v>25700791</v>
      </c>
      <c r="C3" s="6">
        <v>1056</v>
      </c>
      <c r="D3" s="6">
        <v>1000</v>
      </c>
      <c r="E3" s="7">
        <v>44166</v>
      </c>
      <c r="F3" s="6">
        <f t="shared" ref="F3:F10" si="1">C3-D3</f>
        <v>56</v>
      </c>
      <c r="G3" s="6">
        <f t="shared" ref="G3:G10" si="2">F3/D3*100</f>
        <v>5.6</v>
      </c>
      <c r="H3" s="6">
        <f t="shared" ref="H3:H10" si="3">D3*1.04</f>
        <v>1040</v>
      </c>
      <c r="I3" s="6">
        <f t="shared" ref="I3:I10" si="4">C3-H3</f>
        <v>16</v>
      </c>
    </row>
    <row r="4" s="1" customFormat="1" spans="1:9">
      <c r="A4" s="1">
        <f t="shared" si="0"/>
        <v>2</v>
      </c>
      <c r="B4" s="1">
        <v>25698317</v>
      </c>
      <c r="C4" s="6">
        <v>831855</v>
      </c>
      <c r="D4" s="6">
        <v>787819</v>
      </c>
      <c r="E4" s="7">
        <v>44166</v>
      </c>
      <c r="F4" s="6">
        <f t="shared" si="1"/>
        <v>44036</v>
      </c>
      <c r="G4" s="6">
        <f t="shared" si="2"/>
        <v>5.58960878069709</v>
      </c>
      <c r="H4" s="6">
        <f t="shared" si="3"/>
        <v>819331.76</v>
      </c>
      <c r="I4" s="6">
        <f t="shared" si="4"/>
        <v>12523.24</v>
      </c>
    </row>
    <row r="5" s="1" customFormat="1" spans="1:9">
      <c r="A5" s="1">
        <f t="shared" si="0"/>
        <v>3</v>
      </c>
      <c r="B5" s="1">
        <v>25686982</v>
      </c>
      <c r="C5" s="6">
        <v>1056</v>
      </c>
      <c r="D5" s="6">
        <v>1000</v>
      </c>
      <c r="E5" s="7">
        <v>44166</v>
      </c>
      <c r="F5" s="6">
        <f t="shared" si="1"/>
        <v>56</v>
      </c>
      <c r="G5" s="6">
        <f t="shared" si="2"/>
        <v>5.6</v>
      </c>
      <c r="H5" s="6">
        <f t="shared" si="3"/>
        <v>1040</v>
      </c>
      <c r="I5" s="6">
        <f t="shared" si="4"/>
        <v>16</v>
      </c>
    </row>
    <row r="6" s="1" customFormat="1" spans="1:9">
      <c r="A6" s="1">
        <f t="shared" si="0"/>
        <v>4</v>
      </c>
      <c r="B6" s="1">
        <v>25809813</v>
      </c>
      <c r="C6" s="6">
        <v>1056</v>
      </c>
      <c r="D6" s="6">
        <v>1000.18</v>
      </c>
      <c r="E6" s="7">
        <v>44180</v>
      </c>
      <c r="F6" s="6">
        <f t="shared" si="1"/>
        <v>55.8200000000001</v>
      </c>
      <c r="G6" s="6">
        <f t="shared" si="2"/>
        <v>5.58099542082426</v>
      </c>
      <c r="H6" s="6">
        <f t="shared" si="3"/>
        <v>1040.1872</v>
      </c>
      <c r="I6" s="6">
        <f t="shared" si="4"/>
        <v>15.8127999999999</v>
      </c>
    </row>
    <row r="7" s="1" customFormat="1" spans="1:9">
      <c r="A7" s="1">
        <f t="shared" si="0"/>
        <v>5</v>
      </c>
      <c r="B7" s="1">
        <v>25799444</v>
      </c>
      <c r="C7" s="6">
        <v>199564</v>
      </c>
      <c r="D7" s="6">
        <v>188999.6</v>
      </c>
      <c r="E7" s="7">
        <v>44180</v>
      </c>
      <c r="F7" s="6">
        <f t="shared" si="1"/>
        <v>10564.4</v>
      </c>
      <c r="G7" s="6">
        <f t="shared" si="2"/>
        <v>5.58964145955864</v>
      </c>
      <c r="H7" s="6">
        <f t="shared" si="3"/>
        <v>196559.584</v>
      </c>
      <c r="I7" s="6">
        <f t="shared" si="4"/>
        <v>3004.416</v>
      </c>
    </row>
    <row r="8" s="1" customFormat="1" spans="1:9">
      <c r="A8" s="1">
        <f t="shared" si="0"/>
        <v>6</v>
      </c>
      <c r="B8" s="1">
        <v>25833013</v>
      </c>
      <c r="C8" s="6">
        <v>105590</v>
      </c>
      <c r="D8" s="6">
        <v>100000.78</v>
      </c>
      <c r="E8" s="7">
        <v>44183</v>
      </c>
      <c r="F8" s="6">
        <f t="shared" si="1"/>
        <v>5589.22</v>
      </c>
      <c r="G8" s="6">
        <f t="shared" si="2"/>
        <v>5.58917640442405</v>
      </c>
      <c r="H8" s="6">
        <f t="shared" si="3"/>
        <v>104000.8112</v>
      </c>
      <c r="I8" s="6">
        <f t="shared" si="4"/>
        <v>1589.1888</v>
      </c>
    </row>
    <row r="9" s="1" customFormat="1" spans="1:9">
      <c r="A9" s="1">
        <f t="shared" si="0"/>
        <v>7</v>
      </c>
      <c r="B9" s="1">
        <v>25837282</v>
      </c>
      <c r="C9" s="6">
        <v>263974</v>
      </c>
      <c r="D9" s="6">
        <v>249999.45</v>
      </c>
      <c r="E9" s="7">
        <v>44184</v>
      </c>
      <c r="F9" s="6">
        <f t="shared" si="1"/>
        <v>13974.55</v>
      </c>
      <c r="G9" s="6">
        <f t="shared" si="2"/>
        <v>5.58983229763105</v>
      </c>
      <c r="H9" s="6">
        <f t="shared" si="3"/>
        <v>259999.428</v>
      </c>
      <c r="I9" s="6">
        <f t="shared" si="4"/>
        <v>3974.57199999999</v>
      </c>
    </row>
    <row r="10" s="1" customFormat="1" spans="1:9">
      <c r="A10" s="1">
        <f t="shared" si="0"/>
        <v>8</v>
      </c>
      <c r="B10" s="1">
        <v>25898018</v>
      </c>
      <c r="C10" s="6">
        <v>43292</v>
      </c>
      <c r="D10" s="6">
        <v>41000.29</v>
      </c>
      <c r="E10" s="7">
        <v>44193</v>
      </c>
      <c r="F10" s="6">
        <f t="shared" si="1"/>
        <v>2291.71</v>
      </c>
      <c r="G10" s="6">
        <f t="shared" si="2"/>
        <v>5.58949704989891</v>
      </c>
      <c r="H10" s="6">
        <f t="shared" si="3"/>
        <v>42640.3016</v>
      </c>
      <c r="I10" s="6">
        <f t="shared" si="4"/>
        <v>651.698400000001</v>
      </c>
    </row>
    <row r="11" spans="1:9">
      <c r="A11" s="1">
        <f>ROW()-2</f>
        <v>9</v>
      </c>
      <c r="B11" s="2">
        <v>25895264</v>
      </c>
      <c r="C11" s="6">
        <v>211179</v>
      </c>
      <c r="D11" s="6">
        <v>199999.56</v>
      </c>
      <c r="E11" s="7">
        <v>44193</v>
      </c>
      <c r="F11" s="6">
        <f>C11-D11</f>
        <v>11179.44</v>
      </c>
      <c r="G11" s="6">
        <f>F11/D11*100</f>
        <v>5.58973229741106</v>
      </c>
      <c r="H11" s="6">
        <f>D11*1.04</f>
        <v>207999.5424</v>
      </c>
      <c r="I11" s="6">
        <f>C11-H11</f>
        <v>3179.45759999999</v>
      </c>
    </row>
    <row r="19" spans="5:5">
      <c r="E19" s="8"/>
    </row>
    <row r="21" spans="2:9">
      <c r="B21" s="9" t="s">
        <v>9</v>
      </c>
      <c r="C21" s="10">
        <f>SUM(C3:C20)</f>
        <v>1658622</v>
      </c>
      <c r="D21" s="10">
        <f>SUM(D3:D20)</f>
        <v>1570818.86</v>
      </c>
      <c r="E21" s="10"/>
      <c r="F21" s="11">
        <f>SUM(F3:F20)</f>
        <v>87803.14</v>
      </c>
      <c r="G21" s="10"/>
      <c r="H21" s="10">
        <f>SUM(H3:H20)</f>
        <v>1633651.6144</v>
      </c>
      <c r="I21" s="10">
        <f>SUM(I3:I20)</f>
        <v>24970.3856</v>
      </c>
    </row>
    <row r="24" s="2" customFormat="1" spans="3:6">
      <c r="C24" s="12"/>
      <c r="D24" s="12"/>
      <c r="F24" s="3"/>
    </row>
  </sheetData>
  <sortState ref="3:10">
    <sortCondition ref="A3:A10" descending="1"/>
  </sortState>
  <hyperlinks>
    <hyperlink ref="B7" r:id="rId1" display="25799444" tooltip="https://fiori.jioconnect.com/sap/bc/ui5_ui5/sap/zehys_dashboard/javascript:void(0);"/>
    <hyperlink ref="B6" r:id="rId1" display="25809813" tooltip="https://fiori.jioconnect.com/sap/bc/ui5_ui5/sap/zehys_dashboard/javascript:void(0);"/>
    <hyperlink ref="B5" r:id="rId1" display="25686982" tooltip="https://fiori.jioconnect.com/sap/bc/ui5_ui5/sap/zehys_dashboard/javascript:void(0);"/>
    <hyperlink ref="B4" r:id="rId1" display="25698317" tooltip="https://fiori.jioconnect.com/sap/bc/ui5_ui5/sap/zehys_dashboard/javascript:void(0);"/>
    <hyperlink ref="B3" r:id="rId1" display="25700791" tooltip="https://fiori.jioconnect.com/sap/bc/ui5_ui5/sap/zehys_dashboard/javascript:void(0);"/>
    <hyperlink ref="B9" r:id="rId1" display="25837282" tooltip="https://fiori.jioconnect.com/sap/bc/ui5_ui5/sap/zehys_dashboard/javascript:void(0);"/>
    <hyperlink ref="B8" r:id="rId1" display="25833013" tooltip="https://fiori.jioconnect.com/sap/bc/ui5_ui5/sap/zehys_dashboard/javascript:void(0);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2020-12-15T19:43:00Z</dcterms:created>
  <dcterms:modified xsi:type="dcterms:W3CDTF">2020-12-28T12:19:25Z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