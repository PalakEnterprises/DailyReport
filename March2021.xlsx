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sharedStrings.xml><?xml version="1.0" encoding="utf-8"?>
<sst xmlns="http://schemas.openxmlformats.org/spreadsheetml/2006/main" count="650" uniqueCount="175">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</sst>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0" fillId="2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18" borderId="6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27" borderId="3" applyNumberFormat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0" fillId="14" borderId="9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14" borderId="3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8" borderId="0" xfId="0" applyFont="1" applyFill="1" applyAlignment="1" applyProtection="1">
      <alignment horizontal="center" vertical="center"/>
    </xf>
    <xf numFmtId="0" fontId="1" fillId="8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9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8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H3" activePane="bottomRight" state="frozen"/>
      <selection/>
      <selection pane="topRight"/>
      <selection pane="bottomLeft"/>
      <selection pane="bottomRight" activeCell="I8" sqref="I8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16384" width="9.14285714285714" style="11"/>
  </cols>
  <sheetData>
    <row r="1" s="10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6" t="s">
        <v>7</v>
      </c>
      <c r="I1" s="34">
        <v>44256</v>
      </c>
      <c r="J1" s="34">
        <v>44257</v>
      </c>
      <c r="K1" s="34">
        <v>44258</v>
      </c>
      <c r="L1" s="34">
        <v>44259</v>
      </c>
      <c r="M1" s="34">
        <v>44260</v>
      </c>
      <c r="N1" s="34">
        <v>44261</v>
      </c>
      <c r="O1" s="34">
        <v>44262</v>
      </c>
      <c r="P1" s="34">
        <v>44263</v>
      </c>
      <c r="Q1" s="34">
        <v>44264</v>
      </c>
      <c r="R1" s="34">
        <v>44265</v>
      </c>
      <c r="S1" s="34">
        <v>44266</v>
      </c>
      <c r="T1" s="34">
        <v>44267</v>
      </c>
      <c r="U1" s="34">
        <v>44268</v>
      </c>
      <c r="V1" s="34">
        <v>44269</v>
      </c>
      <c r="W1" s="34">
        <v>44270</v>
      </c>
      <c r="X1" s="34">
        <v>44271</v>
      </c>
      <c r="Y1" s="34">
        <v>44272</v>
      </c>
      <c r="Z1" s="34">
        <v>44273</v>
      </c>
      <c r="AA1" s="34">
        <v>44274</v>
      </c>
      <c r="AB1" s="34">
        <v>44275</v>
      </c>
      <c r="AC1" s="34">
        <v>44276</v>
      </c>
      <c r="AD1" s="34">
        <v>44277</v>
      </c>
      <c r="AE1" s="34">
        <v>44278</v>
      </c>
      <c r="AF1" s="34">
        <v>44279</v>
      </c>
      <c r="AG1" s="34">
        <v>44280</v>
      </c>
      <c r="AH1" s="34">
        <v>44281</v>
      </c>
      <c r="AI1" s="34">
        <v>44282</v>
      </c>
      <c r="AJ1" s="34">
        <v>44283</v>
      </c>
      <c r="AK1" s="34">
        <v>44284</v>
      </c>
      <c r="AL1" s="34">
        <v>44285</v>
      </c>
      <c r="AM1" s="34">
        <v>44286</v>
      </c>
      <c r="AN1" s="37"/>
      <c r="AO1" s="37"/>
      <c r="AP1" s="37"/>
      <c r="AQ1" s="37"/>
      <c r="AR1" s="37"/>
      <c r="AS1" s="37"/>
    </row>
    <row r="2" s="10" customFormat="1" spans="1:39">
      <c r="A2" s="13"/>
      <c r="B2" s="27">
        <f>SUM(F3:F121)</f>
        <v>178900</v>
      </c>
      <c r="D2" s="16">
        <f>SUM(G3:G121)</f>
        <v>0</v>
      </c>
      <c r="E2" s="15" t="s">
        <v>8</v>
      </c>
      <c r="F2" s="27">
        <f t="shared" ref="F2:F18" si="0">G2/1.04+H2</f>
        <v>178900</v>
      </c>
      <c r="G2" s="16">
        <f t="shared" ref="G2:G28" si="1">SUM(I2:AM2)</f>
        <v>0</v>
      </c>
      <c r="H2" s="28">
        <f>SUM(H3:H121)</f>
        <v>178900</v>
      </c>
      <c r="I2" s="10">
        <f t="shared" ref="H2:AJ2" si="2">SUM(I3:I121)</f>
        <v>0</v>
      </c>
      <c r="J2" s="10">
        <f t="shared" si="2"/>
        <v>0</v>
      </c>
      <c r="K2" s="10">
        <f t="shared" si="2"/>
        <v>0</v>
      </c>
      <c r="L2" s="10">
        <f t="shared" si="2"/>
        <v>0</v>
      </c>
      <c r="M2" s="10">
        <f t="shared" si="2"/>
        <v>0</v>
      </c>
      <c r="N2" s="10">
        <f t="shared" si="2"/>
        <v>0</v>
      </c>
      <c r="O2" s="10">
        <f t="shared" si="2"/>
        <v>0</v>
      </c>
      <c r="P2" s="10">
        <f t="shared" si="2"/>
        <v>0</v>
      </c>
      <c r="Q2" s="10">
        <f t="shared" si="2"/>
        <v>0</v>
      </c>
      <c r="R2" s="10">
        <f t="shared" si="2"/>
        <v>0</v>
      </c>
      <c r="S2" s="10">
        <f t="shared" si="2"/>
        <v>0</v>
      </c>
      <c r="T2" s="10">
        <f t="shared" si="2"/>
        <v>0</v>
      </c>
      <c r="U2" s="10">
        <f t="shared" si="2"/>
        <v>0</v>
      </c>
      <c r="V2" s="10">
        <f t="shared" si="2"/>
        <v>0</v>
      </c>
      <c r="W2" s="10">
        <f t="shared" si="2"/>
        <v>0</v>
      </c>
      <c r="X2" s="10">
        <f t="shared" si="2"/>
        <v>0</v>
      </c>
      <c r="Y2" s="10">
        <f t="shared" si="2"/>
        <v>0</v>
      </c>
      <c r="Z2" s="10">
        <f t="shared" si="2"/>
        <v>0</v>
      </c>
      <c r="AA2" s="10">
        <f t="shared" si="2"/>
        <v>0</v>
      </c>
      <c r="AB2" s="10">
        <f t="shared" si="2"/>
        <v>0</v>
      </c>
      <c r="AC2" s="10">
        <f t="shared" si="2"/>
        <v>0</v>
      </c>
      <c r="AD2" s="10">
        <f t="shared" si="2"/>
        <v>0</v>
      </c>
      <c r="AE2" s="10">
        <f t="shared" si="2"/>
        <v>0</v>
      </c>
      <c r="AF2" s="10">
        <f t="shared" si="2"/>
        <v>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  <c r="AK2" s="10">
        <f>SUM(AK3:AK121)</f>
        <v>0</v>
      </c>
      <c r="AL2" s="10">
        <f>SUM(AL3:AL121)</f>
        <v>0</v>
      </c>
      <c r="AM2" s="10">
        <f>SUM(AM3:AM121)</f>
        <v>0</v>
      </c>
    </row>
    <row r="3" s="11" customFormat="1" spans="1:36">
      <c r="A3" s="11">
        <v>1</v>
      </c>
      <c r="D3" s="11" t="s">
        <v>9</v>
      </c>
      <c r="E3" s="17" t="s">
        <v>10</v>
      </c>
      <c r="F3" s="10">
        <f t="shared" si="0"/>
        <v>0</v>
      </c>
      <c r="G3" s="10">
        <f t="shared" si="1"/>
        <v>0</v>
      </c>
      <c r="H3" s="29">
        <v>0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</row>
    <row r="4" s="11" customFormat="1" spans="1:36">
      <c r="A4" s="11">
        <v>2</v>
      </c>
      <c r="D4" s="11" t="s">
        <v>9</v>
      </c>
      <c r="E4" s="17" t="s">
        <v>11</v>
      </c>
      <c r="F4" s="10">
        <f t="shared" si="0"/>
        <v>1000</v>
      </c>
      <c r="G4" s="10">
        <f t="shared" si="1"/>
        <v>0</v>
      </c>
      <c r="H4" s="29">
        <v>1000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</row>
    <row r="5" s="11" customFormat="1" spans="1:36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0"/>
        <v>2500</v>
      </c>
      <c r="G5" s="10">
        <f t="shared" si="1"/>
        <v>0</v>
      </c>
      <c r="H5" s="29">
        <v>2500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</row>
    <row r="6" s="11" customFormat="1" spans="1:36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0"/>
        <v>0</v>
      </c>
      <c r="G6" s="10">
        <f t="shared" si="1"/>
        <v>0</v>
      </c>
      <c r="H6" s="29">
        <v>0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</row>
    <row r="7" s="11" customFormat="1" spans="1:36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0"/>
        <v>12000</v>
      </c>
      <c r="G7" s="10">
        <f t="shared" si="1"/>
        <v>0</v>
      </c>
      <c r="H7" s="29">
        <v>12000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</row>
    <row r="8" s="11" customFormat="1" spans="1:36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0"/>
        <v>0</v>
      </c>
      <c r="G8" s="10">
        <f t="shared" si="1"/>
        <v>0</v>
      </c>
      <c r="H8" s="29">
        <v>0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</row>
    <row r="9" s="11" customFormat="1" spans="1:36">
      <c r="A9" s="11">
        <v>7</v>
      </c>
      <c r="D9" s="11" t="s">
        <v>9</v>
      </c>
      <c r="E9" s="17" t="s">
        <v>20</v>
      </c>
      <c r="F9" s="10">
        <f t="shared" si="0"/>
        <v>0</v>
      </c>
      <c r="G9" s="10">
        <f t="shared" si="1"/>
        <v>0</v>
      </c>
      <c r="H9" s="29">
        <v>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</row>
    <row r="10" s="11" customFormat="1" spans="1:36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0"/>
        <v>0</v>
      </c>
      <c r="G10" s="10">
        <f t="shared" si="1"/>
        <v>0</v>
      </c>
      <c r="H10" s="29">
        <v>0</v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</row>
    <row r="11" s="11" customFormat="1" spans="1:36">
      <c r="A11" s="11">
        <v>9</v>
      </c>
      <c r="D11" s="11" t="s">
        <v>23</v>
      </c>
      <c r="E11" s="17" t="s">
        <v>24</v>
      </c>
      <c r="F11" s="10">
        <f t="shared" si="0"/>
        <v>0</v>
      </c>
      <c r="G11" s="10">
        <f t="shared" si="1"/>
        <v>0</v>
      </c>
      <c r="H11" s="29">
        <v>0</v>
      </c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</row>
    <row r="12" s="11" customFormat="1" spans="1:36">
      <c r="A12" s="11">
        <v>10</v>
      </c>
      <c r="D12" s="11" t="s">
        <v>23</v>
      </c>
      <c r="E12" s="17" t="s">
        <v>25</v>
      </c>
      <c r="F12" s="10">
        <f t="shared" si="0"/>
        <v>0</v>
      </c>
      <c r="G12" s="10">
        <f t="shared" si="1"/>
        <v>0</v>
      </c>
      <c r="H12" s="29">
        <v>0</v>
      </c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</row>
    <row r="13" s="11" customFormat="1" spans="1:36">
      <c r="A13" s="11">
        <v>11</v>
      </c>
      <c r="D13" s="11" t="s">
        <v>23</v>
      </c>
      <c r="E13" s="17" t="s">
        <v>26</v>
      </c>
      <c r="F13" s="10">
        <f t="shared" si="0"/>
        <v>0</v>
      </c>
      <c r="G13" s="10">
        <f t="shared" si="1"/>
        <v>0</v>
      </c>
      <c r="H13" s="29">
        <v>0</v>
      </c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</row>
    <row r="14" s="11" customFormat="1" spans="1:36">
      <c r="A14" s="11">
        <v>12</v>
      </c>
      <c r="D14" s="11" t="s">
        <v>23</v>
      </c>
      <c r="E14" s="17" t="s">
        <v>27</v>
      </c>
      <c r="F14" s="10">
        <f t="shared" si="0"/>
        <v>5000</v>
      </c>
      <c r="G14" s="10">
        <f t="shared" si="1"/>
        <v>0</v>
      </c>
      <c r="H14" s="29">
        <v>5000</v>
      </c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</row>
    <row r="15" s="11" customFormat="1" spans="1:36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0"/>
        <v>2000</v>
      </c>
      <c r="G15" s="10">
        <f t="shared" si="1"/>
        <v>0</v>
      </c>
      <c r="H15" s="29">
        <v>2000</v>
      </c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</row>
    <row r="16" s="11" customFormat="1" spans="1:36">
      <c r="A16" s="11">
        <v>14</v>
      </c>
      <c r="D16" s="11" t="s">
        <v>23</v>
      </c>
      <c r="E16" s="17" t="s">
        <v>30</v>
      </c>
      <c r="F16" s="10">
        <f t="shared" si="0"/>
        <v>2000</v>
      </c>
      <c r="G16" s="10">
        <f t="shared" si="1"/>
        <v>0</v>
      </c>
      <c r="H16" s="29">
        <v>2000</v>
      </c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</row>
    <row r="17" s="11" customFormat="1" spans="1:36">
      <c r="A17" s="11">
        <v>15</v>
      </c>
      <c r="B17" s="30" t="s">
        <v>31</v>
      </c>
      <c r="D17" s="11" t="s">
        <v>23</v>
      </c>
      <c r="E17" s="17" t="s">
        <v>32</v>
      </c>
      <c r="F17" s="10">
        <f t="shared" si="0"/>
        <v>2000</v>
      </c>
      <c r="G17" s="10">
        <f t="shared" si="1"/>
        <v>0</v>
      </c>
      <c r="H17" s="29">
        <v>2000</v>
      </c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</row>
    <row r="18" s="11" customFormat="1" spans="1:36">
      <c r="A18" s="11">
        <v>16</v>
      </c>
      <c r="B18" s="31" t="s">
        <v>33</v>
      </c>
      <c r="C18" s="11">
        <v>683909556</v>
      </c>
      <c r="D18" s="11" t="s">
        <v>23</v>
      </c>
      <c r="E18" s="32" t="s">
        <v>34</v>
      </c>
      <c r="F18" s="10">
        <f t="shared" si="0"/>
        <v>1000</v>
      </c>
      <c r="G18" s="10">
        <f t="shared" si="1"/>
        <v>0</v>
      </c>
      <c r="H18" s="29">
        <v>1000</v>
      </c>
      <c r="I18" s="35"/>
      <c r="J18" s="35"/>
      <c r="K18" s="35"/>
      <c r="L18" s="35"/>
      <c r="M18" s="36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6"/>
      <c r="Y18" s="35"/>
      <c r="Z18" s="35"/>
      <c r="AA18" s="35"/>
      <c r="AB18" s="20"/>
      <c r="AC18" s="20"/>
      <c r="AD18" s="20"/>
      <c r="AE18" s="20"/>
      <c r="AF18" s="20"/>
      <c r="AG18" s="20"/>
      <c r="AH18" s="20"/>
      <c r="AI18" s="20"/>
      <c r="AJ18" s="20"/>
    </row>
    <row r="19" s="11" customFormat="1" spans="1:36">
      <c r="A19" s="11">
        <v>17</v>
      </c>
      <c r="D19" s="11" t="s">
        <v>23</v>
      </c>
      <c r="E19" s="17" t="s">
        <v>35</v>
      </c>
      <c r="F19" s="10">
        <f t="shared" ref="F19:F82" si="3">G19/1.04+H19</f>
        <v>1500</v>
      </c>
      <c r="G19" s="10">
        <f t="shared" si="1"/>
        <v>0</v>
      </c>
      <c r="H19" s="29">
        <v>1500</v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</row>
    <row r="20" s="11" customFormat="1" spans="1:36">
      <c r="A20" s="11">
        <v>18</v>
      </c>
      <c r="D20" s="11" t="s">
        <v>36</v>
      </c>
      <c r="E20" s="17" t="s">
        <v>37</v>
      </c>
      <c r="F20" s="10">
        <f t="shared" si="3"/>
        <v>5000</v>
      </c>
      <c r="G20" s="10">
        <f t="shared" si="1"/>
        <v>0</v>
      </c>
      <c r="H20" s="29">
        <v>5000</v>
      </c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s="11" customFormat="1" spans="1:36">
      <c r="A21" s="11">
        <v>19</v>
      </c>
      <c r="D21" s="11" t="s">
        <v>36</v>
      </c>
      <c r="E21" s="17" t="s">
        <v>38</v>
      </c>
      <c r="F21" s="10">
        <f t="shared" si="3"/>
        <v>0</v>
      </c>
      <c r="G21" s="10">
        <f t="shared" si="1"/>
        <v>0</v>
      </c>
      <c r="H21" s="29">
        <v>0</v>
      </c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</row>
    <row r="22" s="11" customFormat="1" spans="1:36">
      <c r="A22" s="11">
        <v>20</v>
      </c>
      <c r="D22" s="11" t="s">
        <v>36</v>
      </c>
      <c r="E22" s="17" t="s">
        <v>39</v>
      </c>
      <c r="F22" s="10">
        <f t="shared" si="3"/>
        <v>1000</v>
      </c>
      <c r="G22" s="10">
        <f t="shared" si="1"/>
        <v>0</v>
      </c>
      <c r="H22" s="29">
        <v>1000</v>
      </c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</row>
    <row r="23" s="11" customFormat="1" spans="1:36">
      <c r="A23" s="11">
        <v>21</v>
      </c>
      <c r="D23" s="11" t="s">
        <v>36</v>
      </c>
      <c r="E23" s="17" t="s">
        <v>40</v>
      </c>
      <c r="F23" s="10">
        <f t="shared" si="3"/>
        <v>5000</v>
      </c>
      <c r="G23" s="10">
        <f t="shared" si="1"/>
        <v>0</v>
      </c>
      <c r="H23" s="29">
        <v>5000</v>
      </c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</row>
    <row r="24" s="11" customFormat="1" spans="1:36">
      <c r="A24" s="11">
        <v>22</v>
      </c>
      <c r="D24" s="11" t="s">
        <v>36</v>
      </c>
      <c r="E24" s="17" t="s">
        <v>41</v>
      </c>
      <c r="F24" s="10">
        <f t="shared" si="3"/>
        <v>0</v>
      </c>
      <c r="G24" s="10">
        <f t="shared" si="1"/>
        <v>0</v>
      </c>
      <c r="H24" s="29">
        <v>0</v>
      </c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</row>
    <row r="25" s="11" customFormat="1" spans="1:36">
      <c r="A25" s="11">
        <v>23</v>
      </c>
      <c r="D25" s="11" t="s">
        <v>36</v>
      </c>
      <c r="E25" s="17" t="s">
        <v>42</v>
      </c>
      <c r="F25" s="10">
        <f t="shared" si="3"/>
        <v>0</v>
      </c>
      <c r="G25" s="10">
        <f t="shared" si="1"/>
        <v>0</v>
      </c>
      <c r="H25" s="29">
        <v>0</v>
      </c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</row>
    <row r="26" s="11" customFormat="1" spans="1:36">
      <c r="A26" s="11">
        <v>24</v>
      </c>
      <c r="D26" s="11" t="s">
        <v>36</v>
      </c>
      <c r="E26" s="17" t="s">
        <v>43</v>
      </c>
      <c r="F26" s="10">
        <f t="shared" si="3"/>
        <v>5000</v>
      </c>
      <c r="G26" s="10">
        <f t="shared" si="1"/>
        <v>0</v>
      </c>
      <c r="H26" s="29">
        <v>5000</v>
      </c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</row>
    <row r="27" s="11" customFormat="1" spans="1:36">
      <c r="A27" s="11">
        <v>25</v>
      </c>
      <c r="D27" s="11" t="s">
        <v>36</v>
      </c>
      <c r="E27" s="17" t="s">
        <v>44</v>
      </c>
      <c r="F27" s="10">
        <f t="shared" si="3"/>
        <v>3000</v>
      </c>
      <c r="G27" s="10">
        <f t="shared" si="1"/>
        <v>0</v>
      </c>
      <c r="H27" s="29">
        <v>3000</v>
      </c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</row>
    <row r="28" s="11" customFormat="1" spans="1:36">
      <c r="A28" s="11">
        <v>26</v>
      </c>
      <c r="D28" s="11" t="s">
        <v>36</v>
      </c>
      <c r="E28" s="17" t="s">
        <v>45</v>
      </c>
      <c r="F28" s="10">
        <f t="shared" si="3"/>
        <v>3000</v>
      </c>
      <c r="G28" s="10">
        <f t="shared" si="1"/>
        <v>0</v>
      </c>
      <c r="H28" s="29">
        <v>3000</v>
      </c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</row>
    <row r="29" s="11" customFormat="1" spans="1:36">
      <c r="A29" s="11">
        <v>27</v>
      </c>
      <c r="D29" s="11" t="s">
        <v>36</v>
      </c>
      <c r="E29" s="17" t="s">
        <v>46</v>
      </c>
      <c r="F29" s="10">
        <f t="shared" si="3"/>
        <v>0</v>
      </c>
      <c r="G29" s="10">
        <f>SUM(J29:AM29)</f>
        <v>0</v>
      </c>
      <c r="H29" s="29">
        <v>0</v>
      </c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</row>
    <row r="30" s="11" customFormat="1" spans="1:36">
      <c r="A30" s="11">
        <v>28</v>
      </c>
      <c r="D30" s="11" t="s">
        <v>36</v>
      </c>
      <c r="E30" s="17" t="s">
        <v>47</v>
      </c>
      <c r="F30" s="10">
        <f t="shared" si="3"/>
        <v>2000</v>
      </c>
      <c r="G30" s="10">
        <f t="shared" ref="G30:G41" si="4">SUM(I30:AM30)</f>
        <v>0</v>
      </c>
      <c r="H30" s="29">
        <v>2000</v>
      </c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</row>
    <row r="31" s="11" customFormat="1" spans="1:36">
      <c r="A31" s="11">
        <v>29</v>
      </c>
      <c r="D31" s="11" t="s">
        <v>36</v>
      </c>
      <c r="E31" s="17" t="s">
        <v>48</v>
      </c>
      <c r="F31" s="10">
        <f t="shared" si="3"/>
        <v>5000</v>
      </c>
      <c r="G31" s="10">
        <f t="shared" si="4"/>
        <v>0</v>
      </c>
      <c r="H31" s="29">
        <v>5000</v>
      </c>
      <c r="I31" s="19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19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</row>
    <row r="32" s="11" customFormat="1" spans="1:36">
      <c r="A32" s="11">
        <v>30</v>
      </c>
      <c r="D32" s="11" t="s">
        <v>36</v>
      </c>
      <c r="E32" s="17" t="s">
        <v>49</v>
      </c>
      <c r="F32" s="10">
        <f t="shared" si="3"/>
        <v>0</v>
      </c>
      <c r="G32" s="10">
        <f t="shared" si="4"/>
        <v>0</v>
      </c>
      <c r="H32" s="29">
        <v>0</v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</row>
    <row r="33" s="11" customFormat="1" spans="1:36">
      <c r="A33" s="11">
        <v>31</v>
      </c>
      <c r="D33" s="11" t="s">
        <v>36</v>
      </c>
      <c r="E33" s="17" t="s">
        <v>50</v>
      </c>
      <c r="F33" s="10">
        <f t="shared" si="3"/>
        <v>0</v>
      </c>
      <c r="G33" s="10">
        <f t="shared" si="4"/>
        <v>0</v>
      </c>
      <c r="H33" s="29">
        <v>0</v>
      </c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</row>
    <row r="34" s="11" customFormat="1" spans="1:36">
      <c r="A34" s="11">
        <v>32</v>
      </c>
      <c r="D34" s="11" t="s">
        <v>51</v>
      </c>
      <c r="E34" s="17" t="s">
        <v>52</v>
      </c>
      <c r="F34" s="10">
        <f t="shared" si="3"/>
        <v>2000</v>
      </c>
      <c r="G34" s="10">
        <f t="shared" si="4"/>
        <v>0</v>
      </c>
      <c r="H34" s="29">
        <v>2000</v>
      </c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</row>
    <row r="35" s="11" customFormat="1" spans="1:36">
      <c r="A35" s="11">
        <v>33</v>
      </c>
      <c r="D35" s="11" t="s">
        <v>51</v>
      </c>
      <c r="E35" s="17" t="s">
        <v>53</v>
      </c>
      <c r="F35" s="10">
        <f t="shared" si="3"/>
        <v>1000</v>
      </c>
      <c r="G35" s="10">
        <f t="shared" si="4"/>
        <v>0</v>
      </c>
      <c r="H35" s="29">
        <v>1000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</row>
    <row r="36" s="11" customFormat="1" spans="1:36">
      <c r="A36" s="11">
        <v>34</v>
      </c>
      <c r="D36" s="11" t="s">
        <v>51</v>
      </c>
      <c r="E36" s="17" t="s">
        <v>54</v>
      </c>
      <c r="F36" s="10">
        <f t="shared" si="3"/>
        <v>0</v>
      </c>
      <c r="G36" s="10">
        <f t="shared" si="4"/>
        <v>0</v>
      </c>
      <c r="H36" s="29">
        <v>0</v>
      </c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</row>
    <row r="37" s="11" customFormat="1" spans="1:36">
      <c r="A37" s="11">
        <v>35</v>
      </c>
      <c r="D37" s="11" t="s">
        <v>51</v>
      </c>
      <c r="E37" s="17" t="s">
        <v>55</v>
      </c>
      <c r="F37" s="10">
        <f t="shared" si="3"/>
        <v>3000</v>
      </c>
      <c r="G37" s="10">
        <f t="shared" si="4"/>
        <v>0</v>
      </c>
      <c r="H37" s="29">
        <v>3000</v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</row>
    <row r="38" s="11" customFormat="1" spans="1:36">
      <c r="A38" s="11">
        <v>36</v>
      </c>
      <c r="D38" s="11" t="s">
        <v>51</v>
      </c>
      <c r="E38" s="17" t="s">
        <v>56</v>
      </c>
      <c r="F38" s="10">
        <f t="shared" si="3"/>
        <v>0</v>
      </c>
      <c r="G38" s="10">
        <f t="shared" si="4"/>
        <v>0</v>
      </c>
      <c r="H38" s="29">
        <v>0</v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</row>
    <row r="39" s="11" customFormat="1" spans="1:36">
      <c r="A39" s="11">
        <v>37</v>
      </c>
      <c r="D39" s="11" t="s">
        <v>51</v>
      </c>
      <c r="E39" s="17" t="s">
        <v>57</v>
      </c>
      <c r="F39" s="10">
        <f t="shared" si="3"/>
        <v>0</v>
      </c>
      <c r="G39" s="10">
        <f t="shared" si="4"/>
        <v>0</v>
      </c>
      <c r="H39" s="29">
        <v>0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</row>
    <row r="40" s="11" customFormat="1" spans="1:36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0</v>
      </c>
      <c r="G40" s="10">
        <f t="shared" si="4"/>
        <v>0</v>
      </c>
      <c r="H40" s="29">
        <v>0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</row>
    <row r="41" s="11" customFormat="1" spans="1:36">
      <c r="A41" s="11">
        <v>39</v>
      </c>
      <c r="D41" s="11" t="s">
        <v>51</v>
      </c>
      <c r="E41" s="17" t="s">
        <v>59</v>
      </c>
      <c r="F41" s="10">
        <f t="shared" si="3"/>
        <v>2000</v>
      </c>
      <c r="G41" s="10">
        <f t="shared" si="4"/>
        <v>0</v>
      </c>
      <c r="H41" s="29">
        <v>2000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</row>
    <row r="42" s="11" customFormat="1" spans="1:36">
      <c r="A42" s="11">
        <v>40</v>
      </c>
      <c r="D42" s="11" t="s">
        <v>51</v>
      </c>
      <c r="E42" s="17" t="s">
        <v>60</v>
      </c>
      <c r="F42" s="10">
        <f t="shared" si="3"/>
        <v>0</v>
      </c>
      <c r="G42" s="10">
        <f>SUM(I42:AM42)</f>
        <v>0</v>
      </c>
      <c r="H42" s="29">
        <v>0</v>
      </c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</row>
    <row r="43" s="11" customFormat="1" spans="1:36">
      <c r="A43" s="11">
        <v>41</v>
      </c>
      <c r="D43" s="11" t="s">
        <v>51</v>
      </c>
      <c r="E43" s="17" t="s">
        <v>61</v>
      </c>
      <c r="F43" s="10">
        <f t="shared" si="3"/>
        <v>3000</v>
      </c>
      <c r="G43" s="10">
        <f t="shared" ref="G43:G84" si="5">SUM(I43:AM43)</f>
        <v>0</v>
      </c>
      <c r="H43" s="29">
        <v>3000</v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</row>
    <row r="44" s="11" customFormat="1" spans="1:36">
      <c r="A44" s="11">
        <v>42</v>
      </c>
      <c r="D44" s="11" t="s">
        <v>51</v>
      </c>
      <c r="E44" s="17" t="s">
        <v>62</v>
      </c>
      <c r="F44" s="10">
        <f t="shared" si="3"/>
        <v>0</v>
      </c>
      <c r="G44" s="10">
        <f t="shared" si="5"/>
        <v>0</v>
      </c>
      <c r="H44" s="29">
        <v>0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</row>
    <row r="45" s="11" customFormat="1" spans="1:36">
      <c r="A45" s="11">
        <v>43</v>
      </c>
      <c r="D45" s="11" t="s">
        <v>51</v>
      </c>
      <c r="E45" s="17" t="s">
        <v>63</v>
      </c>
      <c r="F45" s="10">
        <f t="shared" si="3"/>
        <v>0</v>
      </c>
      <c r="G45" s="10">
        <f t="shared" si="5"/>
        <v>0</v>
      </c>
      <c r="H45" s="29">
        <v>0</v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</row>
    <row r="46" s="11" customFormat="1" spans="1:36">
      <c r="A46" s="11">
        <v>44</v>
      </c>
      <c r="D46" s="11" t="s">
        <v>64</v>
      </c>
      <c r="E46" s="17" t="s">
        <v>65</v>
      </c>
      <c r="F46" s="10">
        <f t="shared" si="3"/>
        <v>0</v>
      </c>
      <c r="G46" s="10">
        <f t="shared" si="5"/>
        <v>0</v>
      </c>
      <c r="H46" s="29">
        <v>0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</row>
    <row r="47" s="11" customFormat="1" spans="1:36">
      <c r="A47" s="11">
        <v>45</v>
      </c>
      <c r="D47" s="11" t="s">
        <v>64</v>
      </c>
      <c r="E47" s="17" t="s">
        <v>66</v>
      </c>
      <c r="F47" s="10">
        <f t="shared" si="3"/>
        <v>0</v>
      </c>
      <c r="G47" s="10">
        <f t="shared" si="5"/>
        <v>0</v>
      </c>
      <c r="H47" s="29">
        <v>0</v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</row>
    <row r="48" s="11" customFormat="1" spans="1:36">
      <c r="A48" s="11">
        <v>46</v>
      </c>
      <c r="D48" s="11" t="s">
        <v>64</v>
      </c>
      <c r="E48" s="17" t="s">
        <v>67</v>
      </c>
      <c r="F48" s="10">
        <f t="shared" si="3"/>
        <v>0</v>
      </c>
      <c r="G48" s="10">
        <f t="shared" si="5"/>
        <v>0</v>
      </c>
      <c r="H48" s="29">
        <v>0</v>
      </c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</row>
    <row r="49" s="11" customFormat="1" spans="1:36">
      <c r="A49" s="11">
        <v>47</v>
      </c>
      <c r="D49" s="11" t="s">
        <v>64</v>
      </c>
      <c r="E49" s="17" t="s">
        <v>68</v>
      </c>
      <c r="F49" s="10">
        <f t="shared" si="3"/>
        <v>6000</v>
      </c>
      <c r="G49" s="10">
        <f t="shared" si="5"/>
        <v>0</v>
      </c>
      <c r="H49" s="29">
        <v>6000</v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</row>
    <row r="50" s="11" customFormat="1" spans="1:36">
      <c r="A50" s="11">
        <v>48</v>
      </c>
      <c r="D50" s="11" t="s">
        <v>64</v>
      </c>
      <c r="E50" s="17" t="s">
        <v>69</v>
      </c>
      <c r="F50" s="10">
        <f t="shared" si="3"/>
        <v>6000</v>
      </c>
      <c r="G50" s="10">
        <f t="shared" si="5"/>
        <v>0</v>
      </c>
      <c r="H50" s="29">
        <v>6000</v>
      </c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</row>
    <row r="51" s="11" customFormat="1" spans="1:36">
      <c r="A51" s="11">
        <v>49</v>
      </c>
      <c r="D51" s="11" t="s">
        <v>64</v>
      </c>
      <c r="E51" s="17" t="s">
        <v>70</v>
      </c>
      <c r="F51" s="10">
        <f t="shared" si="3"/>
        <v>2000</v>
      </c>
      <c r="G51" s="10">
        <f t="shared" si="5"/>
        <v>0</v>
      </c>
      <c r="H51" s="29">
        <v>2000</v>
      </c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</row>
    <row r="52" s="11" customFormat="1" spans="1:36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5"/>
        <v>0</v>
      </c>
      <c r="H52" s="29">
        <v>0</v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</row>
    <row r="53" s="11" customFormat="1" spans="1:36">
      <c r="A53" s="11">
        <v>51</v>
      </c>
      <c r="D53" s="11" t="s">
        <v>64</v>
      </c>
      <c r="E53" s="17" t="s">
        <v>72</v>
      </c>
      <c r="F53" s="10">
        <f t="shared" si="3"/>
        <v>1000</v>
      </c>
      <c r="G53" s="10">
        <f t="shared" si="5"/>
        <v>0</v>
      </c>
      <c r="H53" s="29">
        <v>1000</v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</row>
    <row r="54" s="11" customFormat="1" spans="1:36">
      <c r="A54" s="11">
        <v>52</v>
      </c>
      <c r="D54" s="11" t="s">
        <v>64</v>
      </c>
      <c r="E54" s="17" t="s">
        <v>73</v>
      </c>
      <c r="F54" s="10">
        <f t="shared" si="3"/>
        <v>2000</v>
      </c>
      <c r="G54" s="10">
        <f t="shared" si="5"/>
        <v>0</v>
      </c>
      <c r="H54" s="29">
        <v>2000</v>
      </c>
      <c r="I54" s="20"/>
      <c r="J54" s="20"/>
      <c r="K54" s="20"/>
      <c r="L54" s="19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</row>
    <row r="55" s="11" customFormat="1" spans="1:36">
      <c r="A55" s="11">
        <v>53</v>
      </c>
      <c r="B55" s="33"/>
      <c r="D55" s="11" t="s">
        <v>64</v>
      </c>
      <c r="E55" s="32" t="s">
        <v>74</v>
      </c>
      <c r="F55" s="10">
        <f t="shared" si="3"/>
        <v>0</v>
      </c>
      <c r="G55" s="10">
        <f t="shared" si="5"/>
        <v>0</v>
      </c>
      <c r="H55" s="29">
        <v>0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19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</row>
    <row r="56" s="11" customFormat="1" spans="1:36">
      <c r="A56" s="11">
        <v>54</v>
      </c>
      <c r="B56" s="33"/>
      <c r="D56" s="11" t="s">
        <v>64</v>
      </c>
      <c r="E56" s="32" t="s">
        <v>75</v>
      </c>
      <c r="F56" s="10">
        <f t="shared" si="3"/>
        <v>1000</v>
      </c>
      <c r="G56" s="10">
        <f t="shared" si="5"/>
        <v>0</v>
      </c>
      <c r="H56" s="29">
        <v>1000</v>
      </c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</row>
    <row r="57" s="11" customFormat="1" spans="1:36">
      <c r="A57" s="11">
        <v>55</v>
      </c>
      <c r="B57" s="33"/>
      <c r="D57" s="11" t="s">
        <v>64</v>
      </c>
      <c r="E57" s="32" t="s">
        <v>76</v>
      </c>
      <c r="F57" s="10">
        <f t="shared" si="3"/>
        <v>0</v>
      </c>
      <c r="G57" s="10">
        <f t="shared" si="5"/>
        <v>0</v>
      </c>
      <c r="H57" s="29">
        <v>0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</row>
    <row r="58" s="11" customFormat="1" spans="1:36">
      <c r="A58" s="11">
        <v>56</v>
      </c>
      <c r="D58" s="11" t="s">
        <v>77</v>
      </c>
      <c r="E58" s="17" t="s">
        <v>78</v>
      </c>
      <c r="F58" s="10">
        <f t="shared" si="3"/>
        <v>0</v>
      </c>
      <c r="G58" s="10">
        <f t="shared" si="5"/>
        <v>0</v>
      </c>
      <c r="H58" s="29">
        <v>0</v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</row>
    <row r="59" s="11" customFormat="1" spans="1:36">
      <c r="A59" s="11">
        <v>57</v>
      </c>
      <c r="D59" s="11" t="s">
        <v>77</v>
      </c>
      <c r="E59" s="17" t="s">
        <v>79</v>
      </c>
      <c r="F59" s="10">
        <f t="shared" si="3"/>
        <v>5000</v>
      </c>
      <c r="G59" s="10">
        <f t="shared" si="5"/>
        <v>0</v>
      </c>
      <c r="H59" s="29">
        <v>5000</v>
      </c>
      <c r="I59" s="20"/>
      <c r="J59" s="20"/>
      <c r="K59" s="20"/>
      <c r="L59" s="20"/>
      <c r="M59" s="20"/>
      <c r="N59" s="20"/>
      <c r="O59" s="20"/>
      <c r="P59" s="19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</row>
    <row r="60" s="11" customFormat="1" spans="1:36">
      <c r="A60" s="11">
        <v>58</v>
      </c>
      <c r="D60" s="11" t="s">
        <v>77</v>
      </c>
      <c r="E60" s="17" t="s">
        <v>80</v>
      </c>
      <c r="F60" s="10">
        <f t="shared" si="3"/>
        <v>0</v>
      </c>
      <c r="G60" s="10">
        <f t="shared" si="5"/>
        <v>0</v>
      </c>
      <c r="H60" s="29">
        <v>0</v>
      </c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</row>
    <row r="61" s="11" customFormat="1" spans="1:36">
      <c r="A61" s="11">
        <v>59</v>
      </c>
      <c r="D61" s="11" t="s">
        <v>77</v>
      </c>
      <c r="E61" s="17" t="s">
        <v>81</v>
      </c>
      <c r="F61" s="10">
        <f t="shared" si="3"/>
        <v>0</v>
      </c>
      <c r="G61" s="10">
        <f t="shared" si="5"/>
        <v>0</v>
      </c>
      <c r="H61" s="29">
        <v>0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</row>
    <row r="62" s="11" customFormat="1" spans="1:36">
      <c r="A62" s="11">
        <v>60</v>
      </c>
      <c r="B62" s="33"/>
      <c r="D62" s="11" t="s">
        <v>82</v>
      </c>
      <c r="E62" s="32" t="s">
        <v>83</v>
      </c>
      <c r="F62" s="10">
        <f t="shared" si="3"/>
        <v>0</v>
      </c>
      <c r="G62" s="10">
        <f t="shared" si="5"/>
        <v>0</v>
      </c>
      <c r="H62" s="29">
        <v>0</v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</row>
    <row r="63" s="11" customFormat="1" spans="1:36">
      <c r="A63" s="11">
        <v>61</v>
      </c>
      <c r="B63" s="33"/>
      <c r="D63" s="11" t="s">
        <v>82</v>
      </c>
      <c r="E63" s="32" t="s">
        <v>84</v>
      </c>
      <c r="F63" s="10">
        <f t="shared" si="3"/>
        <v>1100</v>
      </c>
      <c r="G63" s="10">
        <f t="shared" si="5"/>
        <v>0</v>
      </c>
      <c r="H63" s="29">
        <v>1100</v>
      </c>
      <c r="I63" s="20"/>
      <c r="J63" s="20"/>
      <c r="K63" s="20"/>
      <c r="L63" s="20"/>
      <c r="M63" s="20"/>
      <c r="N63" s="20"/>
      <c r="O63" s="20"/>
      <c r="P63" s="20"/>
      <c r="Q63" s="19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</row>
    <row r="64" s="11" customFormat="1" spans="1:36">
      <c r="A64" s="11">
        <v>62</v>
      </c>
      <c r="C64" s="30" t="s">
        <v>85</v>
      </c>
      <c r="D64" s="11" t="s">
        <v>82</v>
      </c>
      <c r="E64" s="17" t="s">
        <v>86</v>
      </c>
      <c r="F64" s="10">
        <f t="shared" si="3"/>
        <v>0</v>
      </c>
      <c r="G64" s="10">
        <f t="shared" si="5"/>
        <v>0</v>
      </c>
      <c r="H64" s="29">
        <v>0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</row>
    <row r="65" s="11" customFormat="1" spans="1:36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-1000</v>
      </c>
      <c r="G65" s="10">
        <f t="shared" si="5"/>
        <v>0</v>
      </c>
      <c r="H65" s="24">
        <v>-1000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</row>
    <row r="66" s="11" customFormat="1" spans="1:36">
      <c r="A66" s="11">
        <v>64</v>
      </c>
      <c r="B66" s="33"/>
      <c r="D66" s="11" t="s">
        <v>87</v>
      </c>
      <c r="E66" s="32" t="s">
        <v>89</v>
      </c>
      <c r="F66" s="10">
        <f t="shared" si="3"/>
        <v>7000</v>
      </c>
      <c r="G66" s="10">
        <f t="shared" si="5"/>
        <v>0</v>
      </c>
      <c r="H66" s="29">
        <v>7000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</row>
    <row r="67" s="11" customFormat="1" spans="1:36">
      <c r="A67" s="11">
        <v>65</v>
      </c>
      <c r="B67" s="33"/>
      <c r="D67" s="11" t="s">
        <v>90</v>
      </c>
      <c r="E67" s="32" t="s">
        <v>91</v>
      </c>
      <c r="F67" s="10">
        <f t="shared" si="3"/>
        <v>500</v>
      </c>
      <c r="G67" s="10">
        <f t="shared" si="5"/>
        <v>0</v>
      </c>
      <c r="H67" s="29">
        <v>500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</row>
    <row r="68" s="11" customFormat="1" spans="1:36">
      <c r="A68" s="11">
        <v>66</v>
      </c>
      <c r="D68" s="11" t="s">
        <v>92</v>
      </c>
      <c r="E68" s="17" t="s">
        <v>93</v>
      </c>
      <c r="F68" s="10">
        <f t="shared" si="3"/>
        <v>2000</v>
      </c>
      <c r="G68" s="10">
        <f t="shared" si="5"/>
        <v>0</v>
      </c>
      <c r="H68" s="29">
        <v>2000</v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</row>
    <row r="69" s="11" customFormat="1" spans="1:36">
      <c r="A69" s="11">
        <v>67</v>
      </c>
      <c r="D69" s="11" t="s">
        <v>92</v>
      </c>
      <c r="E69" s="17" t="s">
        <v>94</v>
      </c>
      <c r="F69" s="10">
        <f t="shared" si="3"/>
        <v>0</v>
      </c>
      <c r="G69" s="10">
        <f t="shared" si="5"/>
        <v>0</v>
      </c>
      <c r="H69" s="29">
        <v>0</v>
      </c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</row>
    <row r="70" s="11" customFormat="1" spans="1:36">
      <c r="A70" s="11">
        <v>68</v>
      </c>
      <c r="D70" s="11" t="s">
        <v>92</v>
      </c>
      <c r="E70" s="17" t="s">
        <v>95</v>
      </c>
      <c r="F70" s="10">
        <f t="shared" si="3"/>
        <v>-2000</v>
      </c>
      <c r="G70" s="10">
        <f t="shared" si="5"/>
        <v>0</v>
      </c>
      <c r="H70" s="29">
        <v>-2000</v>
      </c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</row>
    <row r="71" s="11" customFormat="1" spans="1:36">
      <c r="A71" s="11">
        <v>69</v>
      </c>
      <c r="D71" s="11" t="s">
        <v>92</v>
      </c>
      <c r="E71" s="17" t="s">
        <v>96</v>
      </c>
      <c r="F71" s="10">
        <f t="shared" si="3"/>
        <v>0</v>
      </c>
      <c r="G71" s="10">
        <f t="shared" si="5"/>
        <v>0</v>
      </c>
      <c r="H71" s="29">
        <v>0</v>
      </c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</row>
    <row r="72" s="11" customFormat="1" spans="1:36">
      <c r="A72" s="11">
        <v>70</v>
      </c>
      <c r="D72" s="11" t="s">
        <v>92</v>
      </c>
      <c r="E72" s="17" t="s">
        <v>97</v>
      </c>
      <c r="F72" s="10">
        <f t="shared" si="3"/>
        <v>0</v>
      </c>
      <c r="G72" s="10">
        <f t="shared" si="5"/>
        <v>0</v>
      </c>
      <c r="H72" s="29">
        <v>0</v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</row>
    <row r="73" s="11" customFormat="1" spans="1:36">
      <c r="A73" s="11">
        <v>71</v>
      </c>
      <c r="D73" s="11" t="s">
        <v>92</v>
      </c>
      <c r="E73" s="17" t="s">
        <v>98</v>
      </c>
      <c r="F73" s="10">
        <f t="shared" si="3"/>
        <v>3000</v>
      </c>
      <c r="G73" s="10">
        <f t="shared" si="5"/>
        <v>0</v>
      </c>
      <c r="H73" s="29">
        <v>3000</v>
      </c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</row>
    <row r="74" s="11" customFormat="1" spans="1:36">
      <c r="A74" s="11">
        <v>72</v>
      </c>
      <c r="B74" s="33"/>
      <c r="D74" s="11" t="s">
        <v>92</v>
      </c>
      <c r="E74" s="32" t="s">
        <v>99</v>
      </c>
      <c r="F74" s="10">
        <f t="shared" si="3"/>
        <v>1000</v>
      </c>
      <c r="G74" s="10">
        <f t="shared" si="5"/>
        <v>0</v>
      </c>
      <c r="H74" s="29">
        <v>1000</v>
      </c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</row>
    <row r="75" s="11" customFormat="1" spans="1:36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29">
        <v>0</v>
      </c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</row>
    <row r="76" s="11" customFormat="1" spans="1:36">
      <c r="A76" s="11">
        <v>74</v>
      </c>
      <c r="B76" s="33"/>
      <c r="D76" s="11" t="s">
        <v>92</v>
      </c>
      <c r="E76" s="32" t="s">
        <v>101</v>
      </c>
      <c r="F76" s="10">
        <f t="shared" si="3"/>
        <v>0</v>
      </c>
      <c r="G76" s="10">
        <f t="shared" si="5"/>
        <v>0</v>
      </c>
      <c r="H76" s="29">
        <v>0</v>
      </c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</row>
    <row r="77" s="11" customFormat="1" spans="1:36">
      <c r="A77" s="11">
        <v>75</v>
      </c>
      <c r="D77" s="11" t="s">
        <v>102</v>
      </c>
      <c r="E77" s="17" t="s">
        <v>103</v>
      </c>
      <c r="F77" s="10">
        <f t="shared" si="3"/>
        <v>2300</v>
      </c>
      <c r="G77" s="10">
        <f t="shared" si="5"/>
        <v>0</v>
      </c>
      <c r="H77" s="29">
        <v>2300</v>
      </c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</row>
    <row r="78" s="11" customFormat="1" spans="1:36">
      <c r="A78" s="11">
        <v>76</v>
      </c>
      <c r="D78" s="11" t="s">
        <v>102</v>
      </c>
      <c r="E78" s="17" t="s">
        <v>104</v>
      </c>
      <c r="F78" s="10">
        <f t="shared" si="3"/>
        <v>3000</v>
      </c>
      <c r="G78" s="10">
        <f t="shared" si="5"/>
        <v>0</v>
      </c>
      <c r="H78" s="29">
        <v>3000</v>
      </c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</row>
    <row r="79" s="11" customFormat="1" spans="1:36">
      <c r="A79" s="11">
        <v>77</v>
      </c>
      <c r="D79" s="11" t="s">
        <v>102</v>
      </c>
      <c r="E79" s="17" t="s">
        <v>105</v>
      </c>
      <c r="F79" s="10">
        <f t="shared" si="3"/>
        <v>2000</v>
      </c>
      <c r="G79" s="10">
        <f t="shared" si="5"/>
        <v>0</v>
      </c>
      <c r="H79" s="29">
        <v>2000</v>
      </c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</row>
    <row r="80" s="11" customFormat="1" spans="1:36">
      <c r="A80" s="11">
        <v>78</v>
      </c>
      <c r="B80" s="33"/>
      <c r="E80" s="32" t="s">
        <v>106</v>
      </c>
      <c r="F80" s="10">
        <f t="shared" si="3"/>
        <v>58000</v>
      </c>
      <c r="G80" s="10">
        <f t="shared" si="5"/>
        <v>0</v>
      </c>
      <c r="H80" s="29">
        <v>58000</v>
      </c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20"/>
      <c r="V80" s="35"/>
      <c r="W80" s="38"/>
      <c r="X80" s="35"/>
      <c r="Y80" s="35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</row>
    <row r="81" s="11" customFormat="1" spans="1:36">
      <c r="A81" s="11">
        <v>79</v>
      </c>
      <c r="B81" s="33"/>
      <c r="D81" s="11" t="s">
        <v>107</v>
      </c>
      <c r="E81" s="32" t="s">
        <v>108</v>
      </c>
      <c r="F81" s="10">
        <f t="shared" si="3"/>
        <v>2000</v>
      </c>
      <c r="G81" s="10">
        <f t="shared" si="5"/>
        <v>0</v>
      </c>
      <c r="H81" s="29">
        <v>2000</v>
      </c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</row>
    <row r="82" s="11" customFormat="1" spans="1:36">
      <c r="A82" s="11">
        <v>80</v>
      </c>
      <c r="B82" s="33"/>
      <c r="E82" s="32" t="s">
        <v>109</v>
      </c>
      <c r="F82" s="10">
        <f t="shared" si="3"/>
        <v>0</v>
      </c>
      <c r="G82" s="10">
        <f t="shared" si="5"/>
        <v>0</v>
      </c>
      <c r="H82" s="29">
        <v>0</v>
      </c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</row>
    <row r="83" s="11" customFormat="1" spans="1:36">
      <c r="A83" s="11">
        <v>81</v>
      </c>
      <c r="B83" s="33"/>
      <c r="D83" s="11" t="s">
        <v>110</v>
      </c>
      <c r="E83" s="32" t="s">
        <v>111</v>
      </c>
      <c r="F83" s="10">
        <f t="shared" ref="F83:F96" si="6">G83/1.04+H83</f>
        <v>0</v>
      </c>
      <c r="G83" s="10">
        <f t="shared" si="5"/>
        <v>0</v>
      </c>
      <c r="H83" s="29">
        <v>0</v>
      </c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</row>
    <row r="84" s="11" customFormat="1" spans="1:36">
      <c r="A84" s="11">
        <v>82</v>
      </c>
      <c r="B84" s="33"/>
      <c r="E84" s="32" t="s">
        <v>112</v>
      </c>
      <c r="F84" s="10">
        <f t="shared" si="6"/>
        <v>0</v>
      </c>
      <c r="G84" s="10">
        <f t="shared" si="5"/>
        <v>0</v>
      </c>
      <c r="H84" s="29">
        <v>0</v>
      </c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</row>
    <row r="85" s="11" customFormat="1" spans="1:36">
      <c r="A85" s="11">
        <v>83</v>
      </c>
      <c r="B85" s="33"/>
      <c r="D85" s="11" t="s">
        <v>113</v>
      </c>
      <c r="E85" s="32" t="s">
        <v>114</v>
      </c>
      <c r="F85" s="10">
        <f t="shared" si="6"/>
        <v>0</v>
      </c>
      <c r="G85" s="10">
        <f>SUM(J85:AM85)</f>
        <v>0</v>
      </c>
      <c r="H85" s="29">
        <v>0</v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</row>
    <row r="86" s="11" customFormat="1" spans="1:36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ref="G86:G96" si="7">SUM(I86:AM86)</f>
        <v>0</v>
      </c>
      <c r="H86" s="29">
        <v>5000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</row>
    <row r="87" s="11" customFormat="1" spans="1:36">
      <c r="A87" s="11">
        <v>85</v>
      </c>
      <c r="B87" s="33"/>
      <c r="C87" s="11">
        <v>683879115</v>
      </c>
      <c r="D87" s="11" t="s">
        <v>113</v>
      </c>
      <c r="E87" s="32" t="s">
        <v>116</v>
      </c>
      <c r="F87" s="10">
        <f t="shared" si="6"/>
        <v>2000</v>
      </c>
      <c r="G87" s="10">
        <f t="shared" si="7"/>
        <v>0</v>
      </c>
      <c r="H87" s="29">
        <v>2000</v>
      </c>
      <c r="I87" s="19"/>
      <c r="J87" s="20"/>
      <c r="K87" s="20"/>
      <c r="L87" s="20"/>
      <c r="M87" s="20"/>
      <c r="N87" s="19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19"/>
      <c r="AB87" s="20"/>
      <c r="AC87" s="20"/>
      <c r="AD87" s="20"/>
      <c r="AE87" s="19"/>
      <c r="AF87" s="20"/>
      <c r="AG87" s="20"/>
      <c r="AH87" s="20"/>
      <c r="AI87" s="20"/>
      <c r="AJ87" s="20"/>
    </row>
    <row r="88" s="11" customFormat="1" spans="1:36">
      <c r="A88" s="11">
        <v>86</v>
      </c>
      <c r="B88" s="33"/>
      <c r="D88" s="11" t="s">
        <v>117</v>
      </c>
      <c r="E88" s="32" t="s">
        <v>118</v>
      </c>
      <c r="F88" s="10">
        <f t="shared" si="6"/>
        <v>0</v>
      </c>
      <c r="G88" s="10">
        <f t="shared" si="7"/>
        <v>0</v>
      </c>
      <c r="H88" s="29">
        <v>0</v>
      </c>
      <c r="I88" s="35"/>
      <c r="J88" s="35"/>
      <c r="K88" s="35"/>
      <c r="L88" s="35"/>
      <c r="M88" s="35"/>
      <c r="N88" s="35"/>
      <c r="O88" s="36"/>
      <c r="P88" s="35"/>
      <c r="Q88" s="35"/>
      <c r="R88" s="35"/>
      <c r="S88" s="35"/>
      <c r="T88" s="35"/>
      <c r="U88" s="35"/>
      <c r="V88" s="35"/>
      <c r="W88" s="36"/>
      <c r="X88" s="35"/>
      <c r="Y88" s="35"/>
      <c r="Z88" s="35"/>
      <c r="AA88" s="20"/>
      <c r="AB88" s="20"/>
      <c r="AC88" s="20"/>
      <c r="AD88" s="20"/>
      <c r="AE88" s="20"/>
      <c r="AF88" s="20"/>
      <c r="AG88" s="20"/>
      <c r="AH88" s="20"/>
      <c r="AI88" s="20"/>
      <c r="AJ88" s="20"/>
    </row>
    <row r="89" s="11" customFormat="1" spans="1:36">
      <c r="A89" s="11">
        <v>87</v>
      </c>
      <c r="B89" s="33"/>
      <c r="E89" s="32" t="s">
        <v>119</v>
      </c>
      <c r="F89" s="10">
        <f t="shared" si="6"/>
        <v>0</v>
      </c>
      <c r="G89" s="10">
        <f t="shared" si="7"/>
        <v>0</v>
      </c>
      <c r="H89" s="29">
        <v>0</v>
      </c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</row>
    <row r="90" s="11" customFormat="1" spans="1:36">
      <c r="A90" s="11">
        <v>88</v>
      </c>
      <c r="B90" s="33"/>
      <c r="E90" s="32" t="s">
        <v>120</v>
      </c>
      <c r="F90" s="10">
        <f t="shared" si="6"/>
        <v>0</v>
      </c>
      <c r="G90" s="10">
        <f t="shared" si="7"/>
        <v>0</v>
      </c>
      <c r="H90" s="29">
        <v>0</v>
      </c>
      <c r="I90" s="35"/>
      <c r="J90" s="35"/>
      <c r="K90" s="35"/>
      <c r="L90" s="35"/>
      <c r="M90" s="35"/>
      <c r="N90" s="35"/>
      <c r="O90" s="35"/>
      <c r="P90" s="35"/>
      <c r="Q90" s="35"/>
      <c r="R90" s="38"/>
      <c r="S90" s="35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</row>
    <row r="91" s="11" customFormat="1" spans="1:36">
      <c r="A91" s="11">
        <v>89</v>
      </c>
      <c r="B91" s="33"/>
      <c r="E91" s="32" t="s">
        <v>121</v>
      </c>
      <c r="F91" s="10">
        <f t="shared" si="6"/>
        <v>0</v>
      </c>
      <c r="G91" s="10">
        <f t="shared" si="7"/>
        <v>0</v>
      </c>
      <c r="H91" s="29">
        <v>0</v>
      </c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</row>
    <row r="92" s="11" customFormat="1" spans="1:36">
      <c r="A92" s="11">
        <v>90</v>
      </c>
      <c r="E92" s="17" t="s">
        <v>122</v>
      </c>
      <c r="F92" s="10">
        <f t="shared" si="6"/>
        <v>0</v>
      </c>
      <c r="G92" s="10">
        <f t="shared" si="7"/>
        <v>0</v>
      </c>
      <c r="H92" s="29">
        <v>0</v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</row>
    <row r="93" s="11" customFormat="1" spans="1:36">
      <c r="A93" s="11">
        <v>91</v>
      </c>
      <c r="E93" s="17" t="s">
        <v>123</v>
      </c>
      <c r="F93" s="10">
        <f t="shared" si="6"/>
        <v>0</v>
      </c>
      <c r="G93" s="10">
        <f t="shared" si="7"/>
        <v>0</v>
      </c>
      <c r="H93" s="29">
        <v>0</v>
      </c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</row>
    <row r="94" s="11" customFormat="1" spans="1:36">
      <c r="A94" s="11">
        <v>92</v>
      </c>
      <c r="D94" s="11" t="s">
        <v>124</v>
      </c>
      <c r="E94" s="17" t="s">
        <v>125</v>
      </c>
      <c r="F94" s="10">
        <f t="shared" si="6"/>
        <v>1000</v>
      </c>
      <c r="G94" s="10">
        <f t="shared" si="7"/>
        <v>0</v>
      </c>
      <c r="H94" s="29">
        <v>1000</v>
      </c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</row>
    <row r="95" s="11" customFormat="1" spans="1:36">
      <c r="A95" s="11">
        <v>93</v>
      </c>
      <c r="E95" s="17" t="s">
        <v>126</v>
      </c>
      <c r="F95" s="10">
        <f t="shared" si="6"/>
        <v>0</v>
      </c>
      <c r="G95" s="10">
        <f t="shared" si="7"/>
        <v>0</v>
      </c>
      <c r="H95" s="29">
        <v>0</v>
      </c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</row>
    <row r="96" s="11" customFormat="1" spans="1:36">
      <c r="A96" s="11">
        <v>94</v>
      </c>
      <c r="E96" s="17" t="s">
        <v>127</v>
      </c>
      <c r="F96" s="10">
        <f t="shared" si="6"/>
        <v>0</v>
      </c>
      <c r="G96" s="10">
        <f t="shared" si="7"/>
        <v>0</v>
      </c>
      <c r="H96" s="29">
        <v>0</v>
      </c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</row>
    <row r="97" s="11" customFormat="1" spans="8:36">
      <c r="H97" s="24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</row>
    <row r="98" s="11" customFormat="1" spans="8:36">
      <c r="H98" s="24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</row>
    <row r="99" s="11" customFormat="1" spans="8:36">
      <c r="H99" s="24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</row>
    <row r="100" s="11" customFormat="1" spans="8:36">
      <c r="H100" s="24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</row>
    <row r="101" s="11" customFormat="1" spans="8:8">
      <c r="H101" s="24"/>
    </row>
    <row r="102" s="11" customFormat="1" spans="8:8">
      <c r="H102" s="24"/>
    </row>
    <row r="103" s="11" customFormat="1" spans="8:8">
      <c r="H103" s="24"/>
    </row>
    <row r="104" s="11" customFormat="1" spans="8:8">
      <c r="H104" s="24"/>
    </row>
    <row r="105" s="11" customFormat="1" spans="8:8">
      <c r="H105" s="24"/>
    </row>
    <row r="106" s="11" customFormat="1" spans="8:8">
      <c r="H106" s="24"/>
    </row>
    <row r="107" s="11" customFormat="1" spans="8:8">
      <c r="H107" s="24"/>
    </row>
    <row r="108" s="11" customFormat="1" spans="8:8">
      <c r="H108" s="24"/>
    </row>
    <row r="109" s="11" customFormat="1" spans="8:8">
      <c r="H109" s="24"/>
    </row>
    <row r="110" s="11" customFormat="1" spans="8:8">
      <c r="H110" s="24"/>
    </row>
    <row r="111" s="11" customFormat="1" spans="8:8">
      <c r="H111" s="24"/>
    </row>
    <row r="112" s="11" customFormat="1" spans="8:8">
      <c r="H112" s="24"/>
    </row>
    <row r="113" s="11" customFormat="1" spans="8:8">
      <c r="H113" s="24"/>
    </row>
    <row r="114" s="11" customFormat="1" spans="8:8">
      <c r="H114" s="24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1"/>
  <sheetViews>
    <sheetView topLeftCell="C1" workbookViewId="0">
      <pane xSplit="6" ySplit="2" topLeftCell="I45" activePane="bottomRight" state="frozen"/>
      <selection/>
      <selection pane="topRight"/>
      <selection pane="bottomLeft"/>
      <selection pane="bottomRight" activeCell="Q2" sqref="Q2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0</v>
      </c>
      <c r="G2" s="15" t="s">
        <v>8</v>
      </c>
      <c r="H2" s="16">
        <f t="shared" ref="H2:H65" si="0">SUM(I2:AM2)</f>
        <v>0</v>
      </c>
      <c r="I2" s="10">
        <f t="shared" ref="I2:AB2" si="1">SUM(I3:I121)</f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  <c r="M2" s="10">
        <f t="shared" si="1"/>
        <v>0</v>
      </c>
      <c r="N2" s="10">
        <f t="shared" si="1"/>
        <v>0</v>
      </c>
      <c r="O2" s="10">
        <f t="shared" si="1"/>
        <v>0</v>
      </c>
      <c r="P2" s="10">
        <f t="shared" si="1"/>
        <v>0</v>
      </c>
      <c r="Q2" s="10">
        <f t="shared" si="1"/>
        <v>0</v>
      </c>
      <c r="R2" s="10">
        <f t="shared" si="1"/>
        <v>0</v>
      </c>
      <c r="S2" s="10">
        <f t="shared" si="1"/>
        <v>0</v>
      </c>
      <c r="T2" s="10">
        <f t="shared" si="1"/>
        <v>0</v>
      </c>
      <c r="U2" s="10">
        <f t="shared" si="1"/>
        <v>0</v>
      </c>
      <c r="V2" s="10">
        <f t="shared" si="1"/>
        <v>0</v>
      </c>
      <c r="W2" s="10">
        <f t="shared" si="1"/>
        <v>0</v>
      </c>
      <c r="X2" s="10">
        <f t="shared" si="1"/>
        <v>0</v>
      </c>
      <c r="Y2" s="10">
        <f t="shared" si="1"/>
        <v>0</v>
      </c>
      <c r="Z2" s="10">
        <f t="shared" si="1"/>
        <v>0</v>
      </c>
      <c r="AA2" s="10">
        <f t="shared" si="1"/>
        <v>0</v>
      </c>
      <c r="AB2" s="21">
        <f t="shared" si="1"/>
        <v>0</v>
      </c>
      <c r="AC2" s="10">
        <f t="shared" ref="AC2:AJ2" si="2">SUM(AC3:AC121)</f>
        <v>0</v>
      </c>
      <c r="AD2" s="10">
        <f t="shared" si="2"/>
        <v>0</v>
      </c>
      <c r="AE2" s="10">
        <f t="shared" si="2"/>
        <v>0</v>
      </c>
      <c r="AF2" s="10">
        <f t="shared" si="2"/>
        <v>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  <c r="AK2" s="10">
        <f>SUM(AK3:AK121)</f>
        <v>0</v>
      </c>
      <c r="AL2" s="10">
        <f>SUM(AL3:AL121)</f>
        <v>0</v>
      </c>
      <c r="AM2" s="10">
        <f>SUM(AM3:AM121)</f>
        <v>0</v>
      </c>
    </row>
    <row r="3" s="11" customFormat="1" spans="1:36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 t="shared" si="0"/>
        <v>0</v>
      </c>
      <c r="I3" s="19"/>
      <c r="J3" s="20"/>
      <c r="K3" s="20"/>
      <c r="L3" s="20"/>
      <c r="M3" s="20"/>
      <c r="N3" s="20"/>
      <c r="O3" s="20"/>
      <c r="P3" s="20"/>
      <c r="Q3" s="20"/>
      <c r="R3" s="19"/>
      <c r="S3" s="20"/>
      <c r="T3" s="20"/>
      <c r="U3" s="20"/>
      <c r="V3" s="20"/>
      <c r="W3" s="20"/>
      <c r="X3" s="20"/>
      <c r="Y3" s="19"/>
      <c r="Z3" s="20"/>
      <c r="AA3" s="20"/>
      <c r="AB3" s="22"/>
      <c r="AC3" s="20"/>
      <c r="AD3" s="20"/>
      <c r="AE3" s="20"/>
      <c r="AF3" s="20"/>
      <c r="AG3" s="19"/>
      <c r="AH3" s="20"/>
      <c r="AI3" s="20"/>
      <c r="AJ3" s="20"/>
    </row>
    <row r="4" s="11" customFormat="1" spans="1:36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si="0"/>
        <v>0</v>
      </c>
      <c r="I4" s="19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19"/>
      <c r="X4" s="20"/>
      <c r="Y4" s="20"/>
      <c r="Z4" s="20"/>
      <c r="AA4" s="20"/>
      <c r="AB4" s="22"/>
      <c r="AC4" s="20"/>
      <c r="AD4" s="20"/>
      <c r="AE4" s="19"/>
      <c r="AF4" s="20"/>
      <c r="AG4" s="20"/>
      <c r="AH4" s="20"/>
      <c r="AI4" s="20"/>
      <c r="AJ4" s="20"/>
    </row>
    <row r="5" s="11" customFormat="1" spans="1:36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0"/>
        <v>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2"/>
      <c r="AC5" s="20"/>
      <c r="AD5" s="20"/>
      <c r="AE5" s="20"/>
      <c r="AF5" s="20"/>
      <c r="AG5" s="20"/>
      <c r="AH5" s="20"/>
      <c r="AI5" s="20"/>
      <c r="AJ5" s="20"/>
    </row>
    <row r="6" s="11" customFormat="1" spans="1:36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0"/>
        <v>0</v>
      </c>
      <c r="I6" s="19"/>
      <c r="J6" s="20"/>
      <c r="K6" s="19"/>
      <c r="L6" s="20"/>
      <c r="M6" s="20"/>
      <c r="N6" s="20"/>
      <c r="O6" s="20"/>
      <c r="P6" s="19"/>
      <c r="Q6" s="20"/>
      <c r="R6" s="19"/>
      <c r="S6" s="20"/>
      <c r="T6" s="20"/>
      <c r="U6" s="19"/>
      <c r="V6" s="20"/>
      <c r="W6" s="19"/>
      <c r="X6" s="20"/>
      <c r="Y6" s="20"/>
      <c r="Z6" s="20"/>
      <c r="AA6" s="20"/>
      <c r="AB6" s="23"/>
      <c r="AC6" s="20"/>
      <c r="AD6" s="20"/>
      <c r="AE6" s="20"/>
      <c r="AF6" s="19"/>
      <c r="AG6" s="20"/>
      <c r="AH6" s="20"/>
      <c r="AI6" s="20"/>
      <c r="AJ6" s="20"/>
    </row>
    <row r="7" s="11" customFormat="1" spans="1:36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0"/>
        <v>0</v>
      </c>
      <c r="I7" s="20"/>
      <c r="J7" s="19"/>
      <c r="K7" s="20"/>
      <c r="L7" s="19"/>
      <c r="M7" s="20"/>
      <c r="N7" s="20"/>
      <c r="O7" s="20"/>
      <c r="P7" s="19"/>
      <c r="Q7" s="20"/>
      <c r="R7" s="20"/>
      <c r="S7" s="20"/>
      <c r="T7" s="19"/>
      <c r="U7" s="19"/>
      <c r="V7" s="20"/>
      <c r="W7" s="20"/>
      <c r="X7" s="20"/>
      <c r="Y7" s="19"/>
      <c r="Z7" s="20"/>
      <c r="AA7" s="20"/>
      <c r="AB7" s="22"/>
      <c r="AC7" s="20"/>
      <c r="AD7" s="19"/>
      <c r="AE7" s="20"/>
      <c r="AF7" s="20"/>
      <c r="AG7" s="20"/>
      <c r="AH7" s="20"/>
      <c r="AI7" s="20"/>
      <c r="AJ7" s="20"/>
    </row>
    <row r="8" s="11" customFormat="1" spans="1:36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0"/>
        <v>0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2"/>
      <c r="AC8" s="20"/>
      <c r="AD8" s="20"/>
      <c r="AE8" s="20"/>
      <c r="AF8" s="20"/>
      <c r="AG8" s="20"/>
      <c r="AH8" s="20"/>
      <c r="AI8" s="20"/>
      <c r="AJ8" s="20"/>
    </row>
    <row r="9" s="11" customFormat="1" spans="1:36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0"/>
        <v>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2"/>
      <c r="AC9" s="20"/>
      <c r="AD9" s="20"/>
      <c r="AE9" s="20"/>
      <c r="AF9" s="20"/>
      <c r="AG9" s="20"/>
      <c r="AH9" s="20"/>
      <c r="AI9" s="20"/>
      <c r="AJ9" s="20"/>
    </row>
    <row r="10" s="11" customFormat="1" spans="1:36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0"/>
        <v>0</v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2"/>
      <c r="AC10" s="20"/>
      <c r="AD10" s="20"/>
      <c r="AE10" s="20"/>
      <c r="AF10" s="20"/>
      <c r="AG10" s="20"/>
      <c r="AH10" s="20"/>
      <c r="AI10" s="20"/>
      <c r="AJ10" s="20"/>
    </row>
    <row r="11" s="11" customFormat="1" spans="1:36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0"/>
        <v>0</v>
      </c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19"/>
      <c r="X11" s="20"/>
      <c r="Y11" s="20"/>
      <c r="Z11" s="20"/>
      <c r="AA11" s="20"/>
      <c r="AB11" s="22"/>
      <c r="AC11" s="20"/>
      <c r="AD11" s="20"/>
      <c r="AE11" s="20"/>
      <c r="AF11" s="20"/>
      <c r="AG11" s="19"/>
      <c r="AH11" s="20"/>
      <c r="AI11" s="20"/>
      <c r="AJ11" s="20"/>
    </row>
    <row r="12" s="11" customFormat="1" spans="1:36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0"/>
        <v>0</v>
      </c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2"/>
      <c r="AC12" s="20"/>
      <c r="AD12" s="20"/>
      <c r="AE12" s="20"/>
      <c r="AF12" s="20"/>
      <c r="AG12" s="20"/>
      <c r="AH12" s="20"/>
      <c r="AI12" s="20"/>
      <c r="AJ12" s="20"/>
    </row>
    <row r="13" s="11" customFormat="1" spans="1:36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0"/>
        <v>0</v>
      </c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19"/>
      <c r="AA13" s="20"/>
      <c r="AB13" s="22"/>
      <c r="AC13" s="20"/>
      <c r="AD13" s="19"/>
      <c r="AE13" s="20"/>
      <c r="AF13" s="20"/>
      <c r="AG13" s="20"/>
      <c r="AH13" s="20"/>
      <c r="AI13" s="20"/>
      <c r="AJ13" s="20"/>
    </row>
    <row r="14" s="11" customFormat="1" spans="1:36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7" t="s">
        <v>27</v>
      </c>
      <c r="H14" s="10">
        <f t="shared" si="0"/>
        <v>0</v>
      </c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2"/>
      <c r="AC14" s="20"/>
      <c r="AD14" s="20"/>
      <c r="AE14" s="20"/>
      <c r="AF14" s="20"/>
      <c r="AG14" s="20"/>
      <c r="AH14" s="20"/>
      <c r="AI14" s="20"/>
      <c r="AJ14" s="20"/>
    </row>
    <row r="15" s="11" customFormat="1" spans="1:36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0"/>
        <v>0</v>
      </c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19"/>
      <c r="Z15" s="20"/>
      <c r="AA15" s="20"/>
      <c r="AB15" s="22"/>
      <c r="AC15" s="20"/>
      <c r="AD15" s="20"/>
      <c r="AE15" s="20"/>
      <c r="AF15" s="20"/>
      <c r="AG15" s="20"/>
      <c r="AH15" s="20"/>
      <c r="AI15" s="20"/>
      <c r="AJ15" s="20"/>
    </row>
    <row r="16" s="11" customFormat="1" spans="1:36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7" t="s">
        <v>30</v>
      </c>
      <c r="H16" s="10">
        <f t="shared" si="0"/>
        <v>0</v>
      </c>
      <c r="I16" s="19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19"/>
      <c r="X16" s="20"/>
      <c r="Y16" s="20"/>
      <c r="Z16" s="20"/>
      <c r="AA16" s="20"/>
      <c r="AB16" s="22"/>
      <c r="AC16" s="20"/>
      <c r="AD16" s="20"/>
      <c r="AE16" s="20"/>
      <c r="AF16" s="19"/>
      <c r="AG16" s="20"/>
      <c r="AH16" s="20"/>
      <c r="AI16" s="20"/>
      <c r="AJ16" s="20"/>
    </row>
    <row r="17" s="11" customFormat="1" spans="1:36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0"/>
        <v>0</v>
      </c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2"/>
      <c r="AC17" s="20"/>
      <c r="AD17" s="20"/>
      <c r="AE17" s="20"/>
      <c r="AF17" s="20"/>
      <c r="AG17" s="20"/>
      <c r="AH17" s="20"/>
      <c r="AI17" s="20"/>
      <c r="AJ17" s="20"/>
    </row>
    <row r="18" s="11" customFormat="1" spans="1:36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0"/>
        <v>0</v>
      </c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2"/>
      <c r="AC18" s="20"/>
      <c r="AD18" s="20"/>
      <c r="AE18" s="20"/>
      <c r="AF18" s="20"/>
      <c r="AG18" s="20"/>
      <c r="AH18" s="20"/>
      <c r="AI18" s="20"/>
      <c r="AJ18" s="20"/>
    </row>
    <row r="19" s="11" customFormat="1" spans="1:36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7" t="s">
        <v>35</v>
      </c>
      <c r="H19" s="10">
        <f t="shared" si="0"/>
        <v>0</v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2"/>
      <c r="AC19" s="20"/>
      <c r="AD19" s="20"/>
      <c r="AE19" s="20"/>
      <c r="AF19" s="20"/>
      <c r="AG19" s="20"/>
      <c r="AH19" s="20"/>
      <c r="AI19" s="20"/>
      <c r="AJ19" s="20"/>
    </row>
    <row r="20" s="11" customFormat="1" spans="1:36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7" t="s">
        <v>37</v>
      </c>
      <c r="H20" s="10">
        <f t="shared" si="0"/>
        <v>0</v>
      </c>
      <c r="I20" s="20"/>
      <c r="J20" s="20"/>
      <c r="K20" s="20"/>
      <c r="L20" s="19"/>
      <c r="M20" s="20"/>
      <c r="N20" s="19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2"/>
      <c r="AC20" s="20"/>
      <c r="AD20" s="20"/>
      <c r="AE20" s="20"/>
      <c r="AF20" s="19"/>
      <c r="AG20" s="20"/>
      <c r="AH20" s="20"/>
      <c r="AI20" s="20"/>
      <c r="AJ20" s="20"/>
    </row>
    <row r="21" s="11" customFormat="1" spans="1:36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7" t="s">
        <v>38</v>
      </c>
      <c r="H21" s="10">
        <f t="shared" si="0"/>
        <v>0</v>
      </c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19"/>
      <c r="T21" s="20"/>
      <c r="U21" s="20"/>
      <c r="V21" s="20"/>
      <c r="W21" s="20"/>
      <c r="X21" s="20"/>
      <c r="Y21" s="20"/>
      <c r="Z21" s="20"/>
      <c r="AA21" s="20"/>
      <c r="AB21" s="22"/>
      <c r="AC21" s="20"/>
      <c r="AD21" s="20"/>
      <c r="AE21" s="20"/>
      <c r="AF21" s="20"/>
      <c r="AG21" s="19"/>
      <c r="AH21" s="20"/>
      <c r="AI21" s="20"/>
      <c r="AJ21" s="20"/>
    </row>
    <row r="22" s="11" customFormat="1" spans="1:36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0"/>
        <v>0</v>
      </c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2"/>
      <c r="AC22" s="20"/>
      <c r="AD22" s="20"/>
      <c r="AE22" s="20"/>
      <c r="AF22" s="20"/>
      <c r="AG22" s="20"/>
      <c r="AH22" s="20"/>
      <c r="AI22" s="20"/>
      <c r="AJ22" s="20"/>
    </row>
    <row r="23" s="11" customFormat="1" spans="1:36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7" t="s">
        <v>40</v>
      </c>
      <c r="H23" s="10">
        <f t="shared" si="0"/>
        <v>0</v>
      </c>
      <c r="I23" s="20"/>
      <c r="J23" s="20"/>
      <c r="K23" s="20"/>
      <c r="L23" s="20"/>
      <c r="M23" s="20"/>
      <c r="N23" s="20"/>
      <c r="O23" s="20"/>
      <c r="P23" s="20"/>
      <c r="Q23" s="19"/>
      <c r="R23" s="20"/>
      <c r="S23" s="19"/>
      <c r="T23" s="20"/>
      <c r="U23" s="20"/>
      <c r="V23" s="20"/>
      <c r="W23" s="20"/>
      <c r="X23" s="20"/>
      <c r="Y23" s="20"/>
      <c r="Z23" s="20"/>
      <c r="AA23" s="20"/>
      <c r="AB23" s="22"/>
      <c r="AC23" s="20"/>
      <c r="AD23" s="19"/>
      <c r="AE23" s="20"/>
      <c r="AF23" s="20"/>
      <c r="AG23" s="20"/>
      <c r="AH23" s="20"/>
      <c r="AI23" s="20"/>
      <c r="AJ23" s="20"/>
    </row>
    <row r="24" s="11" customFormat="1" spans="1:36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0"/>
        <v>0</v>
      </c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2"/>
      <c r="AC24" s="20"/>
      <c r="AD24" s="20"/>
      <c r="AE24" s="20"/>
      <c r="AF24" s="20"/>
      <c r="AG24" s="20"/>
      <c r="AH24" s="20"/>
      <c r="AI24" s="20"/>
      <c r="AJ24" s="20"/>
    </row>
    <row r="25" s="11" customFormat="1" spans="1:36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7" t="s">
        <v>42</v>
      </c>
      <c r="H25" s="10">
        <f t="shared" si="0"/>
        <v>0</v>
      </c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2"/>
      <c r="AC25" s="20"/>
      <c r="AD25" s="20"/>
      <c r="AE25" s="20"/>
      <c r="AF25" s="20"/>
      <c r="AG25" s="20"/>
      <c r="AH25" s="20"/>
      <c r="AI25" s="20"/>
      <c r="AJ25" s="20"/>
    </row>
    <row r="26" s="11" customFormat="1" spans="1:36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7" t="s">
        <v>43</v>
      </c>
      <c r="H26" s="10">
        <f t="shared" si="0"/>
        <v>0</v>
      </c>
      <c r="I26" s="19"/>
      <c r="J26" s="20"/>
      <c r="K26" s="20"/>
      <c r="L26" s="19"/>
      <c r="M26" s="20"/>
      <c r="N26" s="20"/>
      <c r="O26" s="20"/>
      <c r="P26" s="19"/>
      <c r="Q26" s="20"/>
      <c r="R26" s="20"/>
      <c r="S26" s="20"/>
      <c r="T26" s="19"/>
      <c r="U26" s="20"/>
      <c r="V26" s="20"/>
      <c r="W26" s="20"/>
      <c r="X26" s="19"/>
      <c r="Y26" s="20"/>
      <c r="Z26" s="20"/>
      <c r="AA26" s="19"/>
      <c r="AB26" s="22"/>
      <c r="AC26" s="20"/>
      <c r="AD26" s="19"/>
      <c r="AE26" s="20"/>
      <c r="AF26" s="20"/>
      <c r="AG26" s="20"/>
      <c r="AH26" s="20"/>
      <c r="AI26" s="20"/>
      <c r="AJ26" s="20"/>
    </row>
    <row r="27" s="11" customFormat="1" spans="1:36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0"/>
        <v>0</v>
      </c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2"/>
      <c r="AC27" s="20"/>
      <c r="AD27" s="19"/>
      <c r="AE27" s="20"/>
      <c r="AF27" s="20"/>
      <c r="AG27" s="20"/>
      <c r="AH27" s="20"/>
      <c r="AI27" s="20"/>
      <c r="AJ27" s="20"/>
    </row>
    <row r="28" s="11" customFormat="1" spans="1:36">
      <c r="A28" s="11">
        <v>26</v>
      </c>
      <c r="C28" s="11">
        <v>26</v>
      </c>
      <c r="E28" s="11">
        <v>9973040600</v>
      </c>
      <c r="F28" s="11" t="s">
        <v>36</v>
      </c>
      <c r="G28" s="17" t="s">
        <v>45</v>
      </c>
      <c r="H28" s="10">
        <f t="shared" si="0"/>
        <v>0</v>
      </c>
      <c r="I28" s="20"/>
      <c r="J28" s="20"/>
      <c r="K28" s="20"/>
      <c r="L28" s="20"/>
      <c r="M28" s="19"/>
      <c r="N28" s="19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19"/>
      <c r="Z28" s="20"/>
      <c r="AA28" s="20"/>
      <c r="AB28" s="22"/>
      <c r="AC28" s="20"/>
      <c r="AD28" s="20"/>
      <c r="AE28" s="20"/>
      <c r="AF28" s="19"/>
      <c r="AG28" s="20"/>
      <c r="AH28" s="20"/>
      <c r="AI28" s="20"/>
      <c r="AJ28" s="20"/>
    </row>
    <row r="29" s="11" customFormat="1" spans="1:36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0"/>
        <v>0</v>
      </c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2"/>
      <c r="AC29" s="20"/>
      <c r="AD29" s="20"/>
      <c r="AE29" s="20"/>
      <c r="AF29" s="20"/>
      <c r="AG29" s="20"/>
      <c r="AH29" s="20"/>
      <c r="AI29" s="20"/>
      <c r="AJ29" s="20"/>
    </row>
    <row r="30" s="11" customFormat="1" spans="1:36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0"/>
        <v>0</v>
      </c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2"/>
      <c r="AC30" s="20"/>
      <c r="AD30" s="20"/>
      <c r="AE30" s="20"/>
      <c r="AF30" s="20"/>
      <c r="AG30" s="20"/>
      <c r="AH30" s="20"/>
      <c r="AI30" s="20"/>
      <c r="AJ30" s="20"/>
    </row>
    <row r="31" s="11" customFormat="1" spans="1:36">
      <c r="A31" s="11">
        <v>29</v>
      </c>
      <c r="B31" s="11" t="s">
        <v>144</v>
      </c>
      <c r="C31" s="11">
        <v>29</v>
      </c>
      <c r="D31" s="11" t="s">
        <v>144</v>
      </c>
      <c r="F31" s="11" t="s">
        <v>36</v>
      </c>
      <c r="G31" s="17" t="s">
        <v>48</v>
      </c>
      <c r="H31" s="10">
        <f t="shared" si="0"/>
        <v>0</v>
      </c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19"/>
      <c r="V31" s="20"/>
      <c r="W31" s="20"/>
      <c r="X31" s="20"/>
      <c r="Y31" s="20"/>
      <c r="Z31" s="20"/>
      <c r="AA31" s="20"/>
      <c r="AB31" s="22"/>
      <c r="AC31" s="20"/>
      <c r="AD31" s="20"/>
      <c r="AE31" s="20"/>
      <c r="AF31" s="20"/>
      <c r="AG31" s="20"/>
      <c r="AH31" s="20"/>
      <c r="AI31" s="20"/>
      <c r="AJ31" s="20"/>
    </row>
    <row r="32" s="11" customFormat="1" spans="1:36">
      <c r="A32" s="11">
        <v>30</v>
      </c>
      <c r="B32" s="11" t="s">
        <v>145</v>
      </c>
      <c r="C32" s="11">
        <v>30</v>
      </c>
      <c r="D32" s="11" t="s">
        <v>145</v>
      </c>
      <c r="F32" s="11" t="s">
        <v>36</v>
      </c>
      <c r="G32" s="17" t="s">
        <v>49</v>
      </c>
      <c r="H32" s="10">
        <f t="shared" si="0"/>
        <v>0</v>
      </c>
      <c r="I32" s="20"/>
      <c r="J32" s="20"/>
      <c r="K32" s="20"/>
      <c r="L32" s="20"/>
      <c r="M32" s="20"/>
      <c r="N32" s="19"/>
      <c r="O32" s="20"/>
      <c r="P32" s="20"/>
      <c r="Q32" s="20"/>
      <c r="R32" s="20"/>
      <c r="S32" s="19"/>
      <c r="T32" s="20"/>
      <c r="U32" s="20"/>
      <c r="V32" s="20"/>
      <c r="W32" s="20"/>
      <c r="X32" s="20"/>
      <c r="Y32" s="19"/>
      <c r="Z32" s="20"/>
      <c r="AA32" s="20"/>
      <c r="AB32" s="22"/>
      <c r="AC32" s="20"/>
      <c r="AD32" s="20"/>
      <c r="AE32" s="20"/>
      <c r="AF32" s="20"/>
      <c r="AG32" s="20"/>
      <c r="AH32" s="20"/>
      <c r="AI32" s="20"/>
      <c r="AJ32" s="20"/>
    </row>
    <row r="33" s="11" customFormat="1" spans="1:36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0"/>
        <v>0</v>
      </c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2"/>
      <c r="AC33" s="20"/>
      <c r="AD33" s="20"/>
      <c r="AE33" s="20"/>
      <c r="AF33" s="20"/>
      <c r="AG33" s="20"/>
      <c r="AH33" s="20"/>
      <c r="AI33" s="20"/>
      <c r="AJ33" s="20"/>
    </row>
    <row r="34" s="11" customFormat="1" spans="1:36">
      <c r="A34" s="11">
        <v>32</v>
      </c>
      <c r="B34" s="11" t="s">
        <v>146</v>
      </c>
      <c r="C34" s="11">
        <v>32</v>
      </c>
      <c r="D34" s="11" t="s">
        <v>146</v>
      </c>
      <c r="F34" s="11" t="s">
        <v>51</v>
      </c>
      <c r="G34" s="17" t="s">
        <v>52</v>
      </c>
      <c r="H34" s="10">
        <f t="shared" si="0"/>
        <v>0</v>
      </c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2"/>
      <c r="AC34" s="20"/>
      <c r="AD34" s="20"/>
      <c r="AE34" s="20"/>
      <c r="AF34" s="20"/>
      <c r="AG34" s="20"/>
      <c r="AH34" s="20"/>
      <c r="AI34" s="20"/>
      <c r="AJ34" s="20"/>
    </row>
    <row r="35" s="11" customFormat="1" spans="1:36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0"/>
        <v>0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2"/>
      <c r="AC35" s="20"/>
      <c r="AD35" s="20"/>
      <c r="AE35" s="20"/>
      <c r="AF35" s="20"/>
      <c r="AG35" s="20"/>
      <c r="AH35" s="20"/>
      <c r="AI35" s="20"/>
      <c r="AJ35" s="20"/>
    </row>
    <row r="36" s="11" customFormat="1" spans="1:36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si="0"/>
        <v>0</v>
      </c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2"/>
      <c r="AC36" s="20"/>
      <c r="AD36" s="20"/>
      <c r="AE36" s="20"/>
      <c r="AF36" s="20"/>
      <c r="AG36" s="20"/>
      <c r="AH36" s="20"/>
      <c r="AI36" s="20"/>
      <c r="AJ36" s="20"/>
    </row>
    <row r="37" s="11" customFormat="1" spans="1:36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0"/>
        <v>0</v>
      </c>
      <c r="I37" s="20"/>
      <c r="J37" s="19"/>
      <c r="K37" s="20"/>
      <c r="L37" s="19"/>
      <c r="M37" s="20"/>
      <c r="N37" s="19"/>
      <c r="O37" s="20"/>
      <c r="P37" s="20"/>
      <c r="Q37" s="20"/>
      <c r="R37" s="19"/>
      <c r="S37" s="20"/>
      <c r="T37" s="20"/>
      <c r="U37" s="19"/>
      <c r="V37" s="20"/>
      <c r="W37" s="20"/>
      <c r="X37" s="20"/>
      <c r="Y37" s="19"/>
      <c r="Z37" s="19"/>
      <c r="AA37" s="20"/>
      <c r="AB37" s="22"/>
      <c r="AC37" s="19"/>
      <c r="AD37" s="19"/>
      <c r="AE37" s="20"/>
      <c r="AF37" s="20"/>
      <c r="AG37" s="20"/>
      <c r="AH37" s="20"/>
      <c r="AI37" s="20"/>
      <c r="AJ37" s="20"/>
    </row>
    <row r="38" s="11" customFormat="1" spans="1:36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0"/>
        <v>0</v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2"/>
      <c r="AC38" s="20"/>
      <c r="AD38" s="20"/>
      <c r="AE38" s="20"/>
      <c r="AF38" s="20"/>
      <c r="AG38" s="20"/>
      <c r="AH38" s="20"/>
      <c r="AI38" s="20"/>
      <c r="AJ38" s="20"/>
    </row>
    <row r="39" s="11" customFormat="1" spans="1:36">
      <c r="A39" s="11">
        <v>37</v>
      </c>
      <c r="B39" s="11" t="s">
        <v>147</v>
      </c>
      <c r="C39" s="11">
        <v>37</v>
      </c>
      <c r="D39" s="11" t="s">
        <v>147</v>
      </c>
      <c r="F39" s="11" t="s">
        <v>51</v>
      </c>
      <c r="G39" s="17" t="s">
        <v>57</v>
      </c>
      <c r="H39" s="10">
        <f t="shared" si="0"/>
        <v>0</v>
      </c>
      <c r="I39" s="20"/>
      <c r="J39" s="20"/>
      <c r="K39" s="19"/>
      <c r="L39" s="20"/>
      <c r="M39" s="20"/>
      <c r="N39" s="20"/>
      <c r="O39" s="20"/>
      <c r="P39" s="20"/>
      <c r="Q39" s="20"/>
      <c r="R39" s="19"/>
      <c r="S39" s="20"/>
      <c r="T39" s="20"/>
      <c r="U39" s="20"/>
      <c r="V39" s="20"/>
      <c r="W39" s="19"/>
      <c r="X39" s="20"/>
      <c r="Y39" s="20"/>
      <c r="Z39" s="20"/>
      <c r="AA39" s="20"/>
      <c r="AB39" s="22"/>
      <c r="AC39" s="20"/>
      <c r="AD39" s="19"/>
      <c r="AE39" s="20"/>
      <c r="AF39" s="20"/>
      <c r="AG39" s="20"/>
      <c r="AH39" s="20"/>
      <c r="AI39" s="19"/>
      <c r="AJ39" s="20"/>
    </row>
    <row r="40" s="11" customFormat="1" spans="1:36">
      <c r="A40" s="11">
        <v>38</v>
      </c>
      <c r="B40" s="11" t="s">
        <v>148</v>
      </c>
      <c r="C40" s="11">
        <v>38</v>
      </c>
      <c r="D40" s="11" t="s">
        <v>148</v>
      </c>
      <c r="E40" s="11" t="s">
        <v>149</v>
      </c>
      <c r="F40" s="11" t="s">
        <v>51</v>
      </c>
      <c r="G40" s="17" t="s">
        <v>58</v>
      </c>
      <c r="H40" s="10">
        <f t="shared" si="0"/>
        <v>0</v>
      </c>
      <c r="I40" s="19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19"/>
      <c r="W40" s="20"/>
      <c r="X40" s="20"/>
      <c r="Y40" s="20"/>
      <c r="Z40" s="20"/>
      <c r="AA40" s="20"/>
      <c r="AB40" s="22"/>
      <c r="AC40" s="20"/>
      <c r="AD40" s="20"/>
      <c r="AE40" s="20"/>
      <c r="AF40" s="20"/>
      <c r="AG40" s="20"/>
      <c r="AH40" s="20"/>
      <c r="AI40" s="20"/>
      <c r="AJ40" s="19"/>
    </row>
    <row r="41" s="11" customFormat="1" spans="1:36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0"/>
        <v>0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2"/>
      <c r="AC41" s="20"/>
      <c r="AD41" s="20"/>
      <c r="AE41" s="20"/>
      <c r="AF41" s="20"/>
      <c r="AG41" s="20"/>
      <c r="AH41" s="20"/>
      <c r="AI41" s="20"/>
      <c r="AJ41" s="20"/>
    </row>
    <row r="42" s="11" customFormat="1" spans="1:36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0"/>
        <v>0</v>
      </c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2"/>
      <c r="AC42" s="20"/>
      <c r="AD42" s="20"/>
      <c r="AE42" s="20"/>
      <c r="AF42" s="20"/>
      <c r="AG42" s="20"/>
      <c r="AH42" s="20"/>
      <c r="AI42" s="20"/>
      <c r="AJ42" s="20"/>
    </row>
    <row r="43" s="11" customFormat="1" spans="1:36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0"/>
        <v>0</v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2"/>
      <c r="AC43" s="20"/>
      <c r="AD43" s="20"/>
      <c r="AE43" s="20"/>
      <c r="AF43" s="20"/>
      <c r="AG43" s="20"/>
      <c r="AH43" s="20"/>
      <c r="AI43" s="20"/>
      <c r="AJ43" s="20"/>
    </row>
    <row r="44" s="11" customFormat="1" spans="1:36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0"/>
        <v>0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2"/>
      <c r="AC44" s="20"/>
      <c r="AD44" s="20"/>
      <c r="AE44" s="20"/>
      <c r="AF44" s="20"/>
      <c r="AG44" s="20"/>
      <c r="AH44" s="20"/>
      <c r="AI44" s="20"/>
      <c r="AJ44" s="20"/>
    </row>
    <row r="45" s="11" customFormat="1" spans="1:36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0"/>
        <v>0</v>
      </c>
      <c r="I45" s="20"/>
      <c r="J45" s="20"/>
      <c r="K45" s="20"/>
      <c r="L45" s="20"/>
      <c r="M45" s="20"/>
      <c r="N45" s="20"/>
      <c r="O45" s="20"/>
      <c r="P45" s="19"/>
      <c r="Q45" s="20"/>
      <c r="R45" s="20"/>
      <c r="S45" s="19"/>
      <c r="T45" s="20"/>
      <c r="U45" s="20"/>
      <c r="V45" s="20"/>
      <c r="W45" s="19"/>
      <c r="X45" s="20"/>
      <c r="Y45" s="20"/>
      <c r="Z45" s="20"/>
      <c r="AA45" s="20"/>
      <c r="AB45" s="23"/>
      <c r="AC45" s="20"/>
      <c r="AD45" s="20"/>
      <c r="AE45" s="20"/>
      <c r="AF45" s="20"/>
      <c r="AG45" s="20"/>
      <c r="AH45" s="20"/>
      <c r="AI45" s="20"/>
      <c r="AJ45" s="20"/>
    </row>
    <row r="46" s="11" customFormat="1" spans="1:36">
      <c r="A46" s="11">
        <v>44</v>
      </c>
      <c r="B46" s="11" t="s">
        <v>150</v>
      </c>
      <c r="C46" s="11">
        <v>44</v>
      </c>
      <c r="D46" s="11" t="s">
        <v>150</v>
      </c>
      <c r="F46" s="11" t="s">
        <v>64</v>
      </c>
      <c r="G46" s="17" t="s">
        <v>65</v>
      </c>
      <c r="H46" s="10">
        <f t="shared" si="0"/>
        <v>0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19"/>
      <c r="AA46" s="20"/>
      <c r="AB46" s="22"/>
      <c r="AC46" s="20"/>
      <c r="AD46" s="20"/>
      <c r="AE46" s="20"/>
      <c r="AF46" s="20"/>
      <c r="AG46" s="20"/>
      <c r="AH46" s="20"/>
      <c r="AI46" s="20"/>
      <c r="AJ46" s="20"/>
    </row>
    <row r="47" s="11" customFormat="1" spans="1:36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0"/>
        <v>0</v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2"/>
      <c r="AC47" s="20"/>
      <c r="AD47" s="20"/>
      <c r="AE47" s="20"/>
      <c r="AF47" s="20"/>
      <c r="AG47" s="20"/>
      <c r="AH47" s="20"/>
      <c r="AI47" s="20"/>
      <c r="AJ47" s="20"/>
    </row>
    <row r="48" s="11" customFormat="1" spans="1:36">
      <c r="A48" s="11">
        <v>46</v>
      </c>
      <c r="B48" s="11" t="s">
        <v>151</v>
      </c>
      <c r="C48" s="11">
        <v>46</v>
      </c>
      <c r="D48" s="11" t="s">
        <v>151</v>
      </c>
      <c r="F48" s="11" t="s">
        <v>64</v>
      </c>
      <c r="G48" s="17" t="s">
        <v>67</v>
      </c>
      <c r="H48" s="10">
        <f t="shared" si="0"/>
        <v>0</v>
      </c>
      <c r="I48" s="20"/>
      <c r="J48" s="20"/>
      <c r="K48" s="20"/>
      <c r="L48" s="20"/>
      <c r="M48" s="20"/>
      <c r="N48" s="19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3"/>
      <c r="AC48" s="20"/>
      <c r="AD48" s="20"/>
      <c r="AE48" s="20"/>
      <c r="AF48" s="20"/>
      <c r="AG48" s="20"/>
      <c r="AH48" s="20"/>
      <c r="AI48" s="20"/>
      <c r="AJ48" s="20"/>
    </row>
    <row r="49" s="11" customFormat="1" spans="1:36">
      <c r="A49" s="11">
        <v>47</v>
      </c>
      <c r="B49" s="11" t="s">
        <v>152</v>
      </c>
      <c r="C49" s="11">
        <v>47</v>
      </c>
      <c r="D49" s="11" t="s">
        <v>152</v>
      </c>
      <c r="E49" s="11">
        <v>8863097933</v>
      </c>
      <c r="F49" s="11" t="s">
        <v>64</v>
      </c>
      <c r="G49" s="17" t="s">
        <v>68</v>
      </c>
      <c r="H49" s="10">
        <f t="shared" si="0"/>
        <v>0</v>
      </c>
      <c r="I49" s="20"/>
      <c r="J49" s="19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19"/>
      <c r="X49" s="20"/>
      <c r="Y49" s="20"/>
      <c r="Z49" s="20"/>
      <c r="AA49" s="20"/>
      <c r="AB49" s="22"/>
      <c r="AC49" s="20"/>
      <c r="AD49" s="20"/>
      <c r="AE49" s="20"/>
      <c r="AF49" s="20"/>
      <c r="AG49" s="20"/>
      <c r="AH49" s="20"/>
      <c r="AI49" s="20"/>
      <c r="AJ49" s="20"/>
    </row>
    <row r="50" s="11" customFormat="1" spans="1:36">
      <c r="A50" s="11">
        <v>48</v>
      </c>
      <c r="B50" s="11" t="s">
        <v>153</v>
      </c>
      <c r="C50" s="11">
        <v>48</v>
      </c>
      <c r="D50" s="11" t="s">
        <v>153</v>
      </c>
      <c r="E50" s="11">
        <v>9835443096</v>
      </c>
      <c r="F50" s="11" t="s">
        <v>64</v>
      </c>
      <c r="G50" s="17" t="s">
        <v>69</v>
      </c>
      <c r="H50" s="10">
        <f t="shared" si="0"/>
        <v>0</v>
      </c>
      <c r="I50" s="20"/>
      <c r="J50" s="20"/>
      <c r="K50" s="19"/>
      <c r="L50" s="19"/>
      <c r="M50" s="20"/>
      <c r="N50" s="20"/>
      <c r="O50" s="20"/>
      <c r="P50" s="20"/>
      <c r="Q50" s="20"/>
      <c r="R50" s="20"/>
      <c r="S50" s="20"/>
      <c r="T50" s="20"/>
      <c r="U50" s="19"/>
      <c r="V50" s="20"/>
      <c r="W50" s="20"/>
      <c r="X50" s="20"/>
      <c r="Y50" s="20"/>
      <c r="Z50" s="20"/>
      <c r="AA50" s="20"/>
      <c r="AB50" s="22"/>
      <c r="AC50" s="20"/>
      <c r="AD50" s="20"/>
      <c r="AE50" s="20"/>
      <c r="AF50" s="20"/>
      <c r="AG50" s="20"/>
      <c r="AH50" s="20"/>
      <c r="AI50" s="20"/>
      <c r="AJ50" s="20"/>
    </row>
    <row r="51" s="11" customFormat="1" spans="1:36">
      <c r="A51" s="11">
        <v>49</v>
      </c>
      <c r="B51" s="11" t="s">
        <v>154</v>
      </c>
      <c r="C51" s="11">
        <v>49</v>
      </c>
      <c r="D51" s="11" t="s">
        <v>154</v>
      </c>
      <c r="F51" s="11" t="s">
        <v>64</v>
      </c>
      <c r="G51" s="17" t="s">
        <v>70</v>
      </c>
      <c r="H51" s="10">
        <f t="shared" si="0"/>
        <v>0</v>
      </c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2"/>
      <c r="AC51" s="20"/>
      <c r="AD51" s="19"/>
      <c r="AE51" s="20"/>
      <c r="AF51" s="20"/>
      <c r="AG51" s="20"/>
      <c r="AH51" s="20"/>
      <c r="AI51" s="20"/>
      <c r="AJ51" s="20"/>
    </row>
    <row r="52" s="11" customFormat="1" spans="1:36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0"/>
        <v>0</v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2"/>
      <c r="AC52" s="20"/>
      <c r="AD52" s="20"/>
      <c r="AE52" s="20"/>
      <c r="AF52" s="20"/>
      <c r="AG52" s="20"/>
      <c r="AH52" s="20"/>
      <c r="AI52" s="20"/>
      <c r="AJ52" s="20"/>
    </row>
    <row r="53" s="11" customFormat="1" spans="1:36">
      <c r="A53" s="11">
        <v>51</v>
      </c>
      <c r="B53" s="11" t="s">
        <v>155</v>
      </c>
      <c r="C53" s="11">
        <v>51</v>
      </c>
      <c r="D53" s="11" t="s">
        <v>155</v>
      </c>
      <c r="F53" s="11" t="s">
        <v>64</v>
      </c>
      <c r="G53" s="17" t="s">
        <v>72</v>
      </c>
      <c r="H53" s="10">
        <f t="shared" si="0"/>
        <v>0</v>
      </c>
      <c r="I53" s="20"/>
      <c r="J53" s="20"/>
      <c r="K53" s="19"/>
      <c r="L53" s="20"/>
      <c r="M53" s="20"/>
      <c r="N53" s="20"/>
      <c r="O53" s="20"/>
      <c r="P53" s="20"/>
      <c r="Q53" s="19"/>
      <c r="R53" s="19"/>
      <c r="S53" s="20"/>
      <c r="T53" s="20"/>
      <c r="U53" s="20"/>
      <c r="V53" s="19"/>
      <c r="W53" s="20"/>
      <c r="X53" s="19"/>
      <c r="Y53" s="19"/>
      <c r="Z53" s="20"/>
      <c r="AA53" s="20"/>
      <c r="AB53" s="23"/>
      <c r="AC53" s="20"/>
      <c r="AD53" s="20"/>
      <c r="AE53" s="20"/>
      <c r="AF53" s="20"/>
      <c r="AG53" s="19"/>
      <c r="AH53" s="20"/>
      <c r="AI53" s="20"/>
      <c r="AJ53" s="19"/>
    </row>
    <row r="54" s="11" customFormat="1" spans="1:36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0"/>
        <v>0</v>
      </c>
      <c r="I54" s="19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19"/>
      <c r="Z54" s="19"/>
      <c r="AA54" s="20"/>
      <c r="AB54" s="22"/>
      <c r="AC54" s="20"/>
      <c r="AD54" s="20"/>
      <c r="AE54" s="20"/>
      <c r="AF54" s="20"/>
      <c r="AG54" s="20"/>
      <c r="AH54" s="20"/>
      <c r="AI54" s="20"/>
      <c r="AJ54" s="20"/>
    </row>
    <row r="55" s="11" customFormat="1" spans="1:36">
      <c r="A55" s="11">
        <v>53</v>
      </c>
      <c r="B55" s="11" t="s">
        <v>156</v>
      </c>
      <c r="C55" s="11">
        <v>53</v>
      </c>
      <c r="D55" s="11" t="s">
        <v>156</v>
      </c>
      <c r="F55" s="11" t="s">
        <v>64</v>
      </c>
      <c r="G55" s="17" t="s">
        <v>74</v>
      </c>
      <c r="H55" s="10">
        <f t="shared" si="0"/>
        <v>0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19"/>
      <c r="V55" s="20"/>
      <c r="W55" s="20"/>
      <c r="X55" s="20"/>
      <c r="Y55" s="20"/>
      <c r="Z55" s="20"/>
      <c r="AA55" s="20"/>
      <c r="AB55" s="22"/>
      <c r="AC55" s="20"/>
      <c r="AD55" s="20"/>
      <c r="AE55" s="20"/>
      <c r="AF55" s="20"/>
      <c r="AG55" s="20"/>
      <c r="AH55" s="20"/>
      <c r="AI55" s="20"/>
      <c r="AJ55" s="20"/>
    </row>
    <row r="56" s="11" customFormat="1" spans="1:36">
      <c r="A56" s="11">
        <v>54</v>
      </c>
      <c r="B56" s="11" t="s">
        <v>157</v>
      </c>
      <c r="C56" s="11">
        <v>54</v>
      </c>
      <c r="D56" s="11" t="s">
        <v>157</v>
      </c>
      <c r="F56" s="11" t="s">
        <v>64</v>
      </c>
      <c r="G56" s="17" t="s">
        <v>75</v>
      </c>
      <c r="H56" s="10">
        <f t="shared" si="0"/>
        <v>0</v>
      </c>
      <c r="I56" s="20"/>
      <c r="J56" s="20"/>
      <c r="K56" s="20"/>
      <c r="L56" s="20"/>
      <c r="M56" s="20"/>
      <c r="N56" s="19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2"/>
      <c r="AC56" s="20"/>
      <c r="AD56" s="20"/>
      <c r="AE56" s="19"/>
      <c r="AF56" s="20"/>
      <c r="AG56" s="20"/>
      <c r="AH56" s="20"/>
      <c r="AI56" s="20"/>
      <c r="AJ56" s="20"/>
    </row>
    <row r="57" s="11" customFormat="1" spans="1:36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0"/>
        <v>0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2"/>
      <c r="AC57" s="20"/>
      <c r="AD57" s="20"/>
      <c r="AE57" s="20"/>
      <c r="AF57" s="20"/>
      <c r="AG57" s="20"/>
      <c r="AH57" s="20"/>
      <c r="AI57" s="20"/>
      <c r="AJ57" s="20"/>
    </row>
    <row r="58" s="11" customFormat="1" spans="1:36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0"/>
        <v>0</v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2"/>
      <c r="AC58" s="20"/>
      <c r="AD58" s="20"/>
      <c r="AE58" s="20"/>
      <c r="AF58" s="20"/>
      <c r="AG58" s="20"/>
      <c r="AH58" s="20"/>
      <c r="AI58" s="20"/>
      <c r="AJ58" s="20"/>
    </row>
    <row r="59" s="11" customFormat="1" spans="1:36">
      <c r="A59" s="11">
        <v>57</v>
      </c>
      <c r="B59" s="11" t="s">
        <v>158</v>
      </c>
      <c r="C59" s="11">
        <v>57</v>
      </c>
      <c r="D59" s="11" t="s">
        <v>158</v>
      </c>
      <c r="F59" s="11" t="s">
        <v>77</v>
      </c>
      <c r="G59" s="17" t="s">
        <v>79</v>
      </c>
      <c r="H59" s="10">
        <f t="shared" si="0"/>
        <v>0</v>
      </c>
      <c r="I59" s="20"/>
      <c r="J59" s="20"/>
      <c r="K59" s="20"/>
      <c r="L59" s="20"/>
      <c r="M59" s="20"/>
      <c r="N59" s="20"/>
      <c r="O59" s="20"/>
      <c r="P59" s="19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2"/>
      <c r="AC59" s="20"/>
      <c r="AD59" s="20"/>
      <c r="AE59" s="20"/>
      <c r="AF59" s="20"/>
      <c r="AG59" s="20"/>
      <c r="AH59" s="20"/>
      <c r="AI59" s="20"/>
      <c r="AJ59" s="20"/>
    </row>
    <row r="60" s="11" customFormat="1" spans="1:36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0"/>
        <v>0</v>
      </c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2"/>
      <c r="AC60" s="20"/>
      <c r="AD60" s="20"/>
      <c r="AE60" s="20"/>
      <c r="AF60" s="20"/>
      <c r="AG60" s="20"/>
      <c r="AH60" s="20"/>
      <c r="AI60" s="20"/>
      <c r="AJ60" s="20"/>
    </row>
    <row r="61" s="11" customFormat="1" spans="1:36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0"/>
        <v>0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2"/>
      <c r="AC61" s="20"/>
      <c r="AD61" s="20"/>
      <c r="AE61" s="20"/>
      <c r="AF61" s="20"/>
      <c r="AG61" s="20"/>
      <c r="AH61" s="20"/>
      <c r="AI61" s="20"/>
      <c r="AJ61" s="20"/>
    </row>
    <row r="62" s="11" customFormat="1" spans="1:36">
      <c r="A62" s="11">
        <v>60</v>
      </c>
      <c r="B62" s="11" t="s">
        <v>159</v>
      </c>
      <c r="C62" s="11">
        <v>60</v>
      </c>
      <c r="D62" s="11" t="s">
        <v>159</v>
      </c>
      <c r="E62" s="11">
        <v>9504958065</v>
      </c>
      <c r="F62" s="11" t="s">
        <v>82</v>
      </c>
      <c r="G62" s="17" t="s">
        <v>83</v>
      </c>
      <c r="H62" s="10">
        <f t="shared" si="0"/>
        <v>0</v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19"/>
      <c r="T62" s="20"/>
      <c r="U62" s="20"/>
      <c r="V62" s="20"/>
      <c r="W62" s="20"/>
      <c r="X62" s="20"/>
      <c r="Y62" s="20"/>
      <c r="Z62" s="20"/>
      <c r="AA62" s="20"/>
      <c r="AB62" s="22"/>
      <c r="AC62" s="20"/>
      <c r="AD62" s="19"/>
      <c r="AE62" s="20"/>
      <c r="AF62" s="20"/>
      <c r="AG62" s="20"/>
      <c r="AH62" s="20"/>
      <c r="AI62" s="20"/>
      <c r="AJ62" s="20"/>
    </row>
    <row r="63" s="11" customFormat="1" spans="1:36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0"/>
        <v>0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19"/>
      <c r="V63" s="20"/>
      <c r="W63" s="20"/>
      <c r="X63" s="20"/>
      <c r="Y63" s="20"/>
      <c r="Z63" s="20"/>
      <c r="AA63" s="20"/>
      <c r="AB63" s="22"/>
      <c r="AC63" s="20"/>
      <c r="AD63" s="20"/>
      <c r="AE63" s="20"/>
      <c r="AF63" s="20"/>
      <c r="AG63" s="20"/>
      <c r="AH63" s="20"/>
      <c r="AI63" s="20"/>
      <c r="AJ63" s="20"/>
    </row>
    <row r="64" s="11" customFormat="1" spans="1:36">
      <c r="A64" s="11">
        <v>62</v>
      </c>
      <c r="B64" s="11" t="s">
        <v>160</v>
      </c>
      <c r="C64" s="11">
        <v>62</v>
      </c>
      <c r="D64" s="11" t="s">
        <v>160</v>
      </c>
      <c r="E64" s="11" t="s">
        <v>161</v>
      </c>
      <c r="F64" s="11" t="s">
        <v>82</v>
      </c>
      <c r="G64" s="17" t="s">
        <v>86</v>
      </c>
      <c r="H64" s="10">
        <f t="shared" si="0"/>
        <v>0</v>
      </c>
      <c r="I64" s="20"/>
      <c r="J64" s="20"/>
      <c r="K64" s="20"/>
      <c r="L64" s="20"/>
      <c r="M64" s="20"/>
      <c r="N64" s="20"/>
      <c r="O64" s="20"/>
      <c r="P64" s="19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2"/>
      <c r="AC64" s="20"/>
      <c r="AD64" s="19"/>
      <c r="AE64" s="20"/>
      <c r="AF64" s="20"/>
      <c r="AG64" s="20"/>
      <c r="AH64" s="20"/>
      <c r="AI64" s="20"/>
      <c r="AJ64" s="20"/>
    </row>
    <row r="65" s="11" customFormat="1" spans="1:36">
      <c r="A65" s="11">
        <v>63</v>
      </c>
      <c r="B65" s="11" t="s">
        <v>162</v>
      </c>
      <c r="C65" s="11">
        <v>63</v>
      </c>
      <c r="D65" s="11" t="s">
        <v>162</v>
      </c>
      <c r="E65" s="11">
        <v>7004399486</v>
      </c>
      <c r="F65" s="11" t="s">
        <v>87</v>
      </c>
      <c r="G65" s="11" t="s">
        <v>88</v>
      </c>
      <c r="H65" s="10">
        <f t="shared" si="0"/>
        <v>0</v>
      </c>
      <c r="I65" s="20"/>
      <c r="J65" s="19"/>
      <c r="K65" s="20"/>
      <c r="L65" s="20"/>
      <c r="M65" s="20"/>
      <c r="N65" s="20"/>
      <c r="O65" s="20"/>
      <c r="P65" s="19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19"/>
      <c r="AB65" s="22"/>
      <c r="AC65" s="20"/>
      <c r="AD65" s="20"/>
      <c r="AE65" s="19"/>
      <c r="AF65" s="20"/>
      <c r="AG65" s="20"/>
      <c r="AH65" s="19"/>
      <c r="AI65" s="20"/>
      <c r="AJ65" s="20"/>
    </row>
    <row r="66" s="11" customFormat="1" spans="1:36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7" t="s">
        <v>89</v>
      </c>
      <c r="H66" s="10">
        <f t="shared" ref="H66:H96" si="3">SUM(I66:AM66)</f>
        <v>0</v>
      </c>
      <c r="I66" s="19"/>
      <c r="J66" s="20"/>
      <c r="K66" s="20"/>
      <c r="L66" s="20"/>
      <c r="M66" s="20"/>
      <c r="N66" s="20"/>
      <c r="O66" s="20"/>
      <c r="P66" s="20"/>
      <c r="Q66" s="20"/>
      <c r="R66" s="20"/>
      <c r="S66" s="19"/>
      <c r="T66" s="20"/>
      <c r="U66" s="20"/>
      <c r="V66" s="20"/>
      <c r="W66" s="20"/>
      <c r="X66" s="20"/>
      <c r="Y66" s="20"/>
      <c r="Z66" s="20"/>
      <c r="AA66" s="20"/>
      <c r="AB66" s="22"/>
      <c r="AC66" s="19"/>
      <c r="AD66" s="20"/>
      <c r="AE66" s="20"/>
      <c r="AF66" s="20"/>
      <c r="AG66" s="20"/>
      <c r="AH66" s="20"/>
      <c r="AI66" s="20"/>
      <c r="AJ66" s="20"/>
    </row>
    <row r="67" s="11" customFormat="1" spans="1:36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2"/>
      <c r="AC67" s="20"/>
      <c r="AD67" s="20"/>
      <c r="AE67" s="20"/>
      <c r="AF67" s="20"/>
      <c r="AG67" s="20"/>
      <c r="AH67" s="20"/>
      <c r="AI67" s="20"/>
      <c r="AJ67" s="20"/>
    </row>
    <row r="68" s="11" customFormat="1" spans="1:36">
      <c r="A68" s="11">
        <v>66</v>
      </c>
      <c r="C68" s="11">
        <v>66</v>
      </c>
      <c r="F68" s="11" t="s">
        <v>92</v>
      </c>
      <c r="G68" s="17" t="s">
        <v>93</v>
      </c>
      <c r="H68" s="10">
        <f t="shared" si="3"/>
        <v>0</v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2"/>
      <c r="AC68" s="20"/>
      <c r="AD68" s="20"/>
      <c r="AE68" s="20"/>
      <c r="AF68" s="20"/>
      <c r="AG68" s="20"/>
      <c r="AH68" s="20"/>
      <c r="AI68" s="20"/>
      <c r="AJ68" s="20"/>
    </row>
    <row r="69" s="11" customFormat="1" spans="1:36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3"/>
        <v>0</v>
      </c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2"/>
      <c r="AC69" s="20"/>
      <c r="AD69" s="20"/>
      <c r="AE69" s="20"/>
      <c r="AF69" s="20"/>
      <c r="AG69" s="20"/>
      <c r="AH69" s="20"/>
      <c r="AI69" s="20"/>
      <c r="AJ69" s="20"/>
    </row>
    <row r="70" s="11" customFormat="1" spans="1:36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3"/>
        <v>0</v>
      </c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2"/>
      <c r="AC70" s="20"/>
      <c r="AD70" s="20"/>
      <c r="AE70" s="20"/>
      <c r="AF70" s="20"/>
      <c r="AG70" s="20"/>
      <c r="AH70" s="20"/>
      <c r="AI70" s="20"/>
      <c r="AJ70" s="20"/>
    </row>
    <row r="71" s="11" customFormat="1" spans="1:36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3"/>
        <v>0</v>
      </c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2"/>
      <c r="AC71" s="20"/>
      <c r="AD71" s="20"/>
      <c r="AE71" s="20"/>
      <c r="AF71" s="20"/>
      <c r="AG71" s="20"/>
      <c r="AH71" s="20"/>
      <c r="AI71" s="20"/>
      <c r="AJ71" s="20"/>
    </row>
    <row r="72" s="11" customFormat="1" spans="1:36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3"/>
        <v>0</v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2"/>
      <c r="AC72" s="20"/>
      <c r="AD72" s="20"/>
      <c r="AE72" s="20"/>
      <c r="AF72" s="20"/>
      <c r="AG72" s="20"/>
      <c r="AH72" s="20"/>
      <c r="AI72" s="20"/>
      <c r="AJ72" s="20"/>
    </row>
    <row r="73" s="11" customFormat="1" spans="1:36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3"/>
        <v>0</v>
      </c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19"/>
      <c r="Z73" s="20"/>
      <c r="AA73" s="20"/>
      <c r="AB73" s="22"/>
      <c r="AC73" s="20"/>
      <c r="AD73" s="20"/>
      <c r="AE73" s="20"/>
      <c r="AF73" s="20"/>
      <c r="AG73" s="20"/>
      <c r="AH73" s="20"/>
      <c r="AI73" s="20"/>
      <c r="AJ73" s="20"/>
    </row>
    <row r="74" s="11" customFormat="1" spans="1:36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7" t="s">
        <v>99</v>
      </c>
      <c r="H74" s="10">
        <f t="shared" si="3"/>
        <v>0</v>
      </c>
      <c r="I74" s="20"/>
      <c r="J74" s="20"/>
      <c r="K74" s="20"/>
      <c r="L74" s="20"/>
      <c r="M74" s="20"/>
      <c r="N74" s="20"/>
      <c r="O74" s="20"/>
      <c r="P74" s="20"/>
      <c r="Q74" s="20"/>
      <c r="R74" s="19"/>
      <c r="S74" s="20"/>
      <c r="T74" s="20"/>
      <c r="U74" s="19"/>
      <c r="V74" s="20"/>
      <c r="W74" s="20"/>
      <c r="X74" s="20"/>
      <c r="Y74" s="20"/>
      <c r="Z74" s="20"/>
      <c r="AA74" s="20"/>
      <c r="AB74" s="22"/>
      <c r="AC74" s="20"/>
      <c r="AD74" s="20"/>
      <c r="AE74" s="20"/>
      <c r="AF74" s="20"/>
      <c r="AG74" s="20"/>
      <c r="AH74" s="20"/>
      <c r="AI74" s="19"/>
      <c r="AJ74" s="20"/>
    </row>
    <row r="75" s="11" customFormat="1" spans="1:36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3"/>
        <v>0</v>
      </c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2"/>
      <c r="AC75" s="20"/>
      <c r="AD75" s="20"/>
      <c r="AE75" s="20"/>
      <c r="AF75" s="20"/>
      <c r="AG75" s="20"/>
      <c r="AH75" s="20"/>
      <c r="AI75" s="20"/>
      <c r="AJ75" s="20"/>
    </row>
    <row r="76" s="11" customFormat="1" spans="1:36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3"/>
        <v>0</v>
      </c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2"/>
      <c r="AC76" s="20"/>
      <c r="AD76" s="20"/>
      <c r="AE76" s="20"/>
      <c r="AF76" s="20"/>
      <c r="AG76" s="20"/>
      <c r="AH76" s="20"/>
      <c r="AI76" s="20"/>
      <c r="AJ76" s="20"/>
    </row>
    <row r="77" s="11" customFormat="1" spans="1:36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7" t="s">
        <v>103</v>
      </c>
      <c r="H77" s="10">
        <f t="shared" si="3"/>
        <v>0</v>
      </c>
      <c r="I77" s="20"/>
      <c r="J77" s="20"/>
      <c r="K77" s="20"/>
      <c r="L77" s="20"/>
      <c r="M77" s="20"/>
      <c r="N77" s="20"/>
      <c r="O77" s="20"/>
      <c r="P77" s="20"/>
      <c r="Q77" s="20"/>
      <c r="R77" s="19"/>
      <c r="S77" s="20"/>
      <c r="T77" s="20"/>
      <c r="U77" s="19"/>
      <c r="V77" s="20"/>
      <c r="W77" s="20"/>
      <c r="X77" s="20"/>
      <c r="Y77" s="20"/>
      <c r="Z77" s="20"/>
      <c r="AA77" s="20"/>
      <c r="AB77" s="22"/>
      <c r="AC77" s="20"/>
      <c r="AD77" s="19"/>
      <c r="AE77" s="20"/>
      <c r="AF77" s="20"/>
      <c r="AG77" s="20"/>
      <c r="AH77" s="20"/>
      <c r="AI77" s="19"/>
      <c r="AJ77" s="20"/>
    </row>
    <row r="78" s="11" customFormat="1" spans="1:36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7" t="s">
        <v>104</v>
      </c>
      <c r="H78" s="10">
        <f t="shared" si="3"/>
        <v>0</v>
      </c>
      <c r="I78" s="20"/>
      <c r="J78" s="20"/>
      <c r="K78" s="20"/>
      <c r="L78" s="19"/>
      <c r="M78" s="20"/>
      <c r="N78" s="19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3"/>
      <c r="AC78" s="20"/>
      <c r="AD78" s="20"/>
      <c r="AE78" s="20"/>
      <c r="AF78" s="20"/>
      <c r="AG78" s="20"/>
      <c r="AH78" s="19"/>
      <c r="AI78" s="20"/>
      <c r="AJ78" s="20"/>
    </row>
    <row r="79" s="11" customFormat="1" spans="1:36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7" t="s">
        <v>105</v>
      </c>
      <c r="H79" s="10">
        <f t="shared" si="3"/>
        <v>0</v>
      </c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2"/>
      <c r="AC79" s="20"/>
      <c r="AD79" s="20"/>
      <c r="AE79" s="20"/>
      <c r="AF79" s="20"/>
      <c r="AG79" s="20"/>
      <c r="AH79" s="20"/>
      <c r="AI79" s="20"/>
      <c r="AJ79" s="20"/>
    </row>
    <row r="80" s="11" customFormat="1" spans="1:36">
      <c r="A80" s="11">
        <v>78</v>
      </c>
      <c r="C80" s="11">
        <v>78</v>
      </c>
      <c r="G80" s="17" t="s">
        <v>106</v>
      </c>
      <c r="H80" s="10">
        <f t="shared" si="3"/>
        <v>0</v>
      </c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2"/>
      <c r="AC80" s="20"/>
      <c r="AD80" s="20"/>
      <c r="AE80" s="20"/>
      <c r="AF80" s="20"/>
      <c r="AG80" s="20"/>
      <c r="AH80" s="20"/>
      <c r="AI80" s="20"/>
      <c r="AJ80" s="20"/>
    </row>
    <row r="81" s="11" customFormat="1" spans="1:36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7" t="s">
        <v>108</v>
      </c>
      <c r="H81" s="10">
        <f t="shared" si="3"/>
        <v>0</v>
      </c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19"/>
      <c r="V81" s="20"/>
      <c r="W81" s="20"/>
      <c r="X81" s="20"/>
      <c r="Y81" s="20"/>
      <c r="Z81" s="20"/>
      <c r="AA81" s="20"/>
      <c r="AB81" s="22"/>
      <c r="AC81" s="19"/>
      <c r="AD81" s="20"/>
      <c r="AE81" s="20"/>
      <c r="AF81" s="20"/>
      <c r="AG81" s="19"/>
      <c r="AH81" s="20"/>
      <c r="AI81" s="20"/>
      <c r="AJ81" s="20"/>
    </row>
    <row r="82" s="11" customFormat="1" spans="1:36">
      <c r="A82" s="11">
        <v>80</v>
      </c>
      <c r="C82" s="11">
        <v>80</v>
      </c>
      <c r="G82" s="17" t="s">
        <v>109</v>
      </c>
      <c r="H82" s="10">
        <f t="shared" si="3"/>
        <v>0</v>
      </c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2"/>
      <c r="AC82" s="20"/>
      <c r="AD82" s="20"/>
      <c r="AE82" s="20"/>
      <c r="AF82" s="20"/>
      <c r="AG82" s="20"/>
      <c r="AH82" s="20"/>
      <c r="AI82" s="20"/>
      <c r="AJ82" s="20"/>
    </row>
    <row r="83" s="11" customFormat="1" spans="1:36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3"/>
        <v>0</v>
      </c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2"/>
      <c r="AC83" s="20"/>
      <c r="AD83" s="20"/>
      <c r="AE83" s="20"/>
      <c r="AF83" s="20"/>
      <c r="AG83" s="20"/>
      <c r="AH83" s="20"/>
      <c r="AI83" s="19"/>
      <c r="AJ83" s="20"/>
    </row>
    <row r="84" s="11" customFormat="1" spans="1:36">
      <c r="A84" s="11">
        <v>82</v>
      </c>
      <c r="C84" s="11">
        <v>82</v>
      </c>
      <c r="G84" s="17" t="s">
        <v>112</v>
      </c>
      <c r="H84" s="10">
        <f t="shared" si="3"/>
        <v>0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2"/>
      <c r="AC84" s="20"/>
      <c r="AD84" s="20"/>
      <c r="AE84" s="20"/>
      <c r="AF84" s="20"/>
      <c r="AG84" s="20"/>
      <c r="AH84" s="20"/>
      <c r="AI84" s="20"/>
      <c r="AJ84" s="20"/>
    </row>
    <row r="85" s="11" customFormat="1" spans="1:36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7" t="s">
        <v>114</v>
      </c>
      <c r="H85" s="10">
        <f t="shared" si="3"/>
        <v>0</v>
      </c>
      <c r="I85" s="20"/>
      <c r="J85" s="20"/>
      <c r="K85" s="19"/>
      <c r="L85" s="20"/>
      <c r="M85" s="20"/>
      <c r="N85" s="20"/>
      <c r="O85" s="20"/>
      <c r="P85" s="20"/>
      <c r="Q85" s="20"/>
      <c r="R85" s="20"/>
      <c r="S85" s="19"/>
      <c r="T85" s="20"/>
      <c r="U85" s="20"/>
      <c r="V85" s="20"/>
      <c r="W85" s="20"/>
      <c r="X85" s="20"/>
      <c r="Y85" s="20"/>
      <c r="Z85" s="20"/>
      <c r="AA85" s="20"/>
      <c r="AB85" s="22"/>
      <c r="AC85" s="20"/>
      <c r="AD85" s="20"/>
      <c r="AE85" s="19"/>
      <c r="AF85" s="20"/>
      <c r="AG85" s="20"/>
      <c r="AH85" s="20"/>
      <c r="AI85" s="20"/>
      <c r="AJ85" s="20"/>
    </row>
    <row r="86" s="11" customFormat="1" spans="1:36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3"/>
        <v>0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2"/>
      <c r="AC86" s="20"/>
      <c r="AD86" s="20"/>
      <c r="AE86" s="20"/>
      <c r="AF86" s="20"/>
      <c r="AG86" s="20"/>
      <c r="AH86" s="20"/>
      <c r="AI86" s="20"/>
      <c r="AJ86" s="20"/>
    </row>
    <row r="87" s="11" customFormat="1" spans="1:36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7" t="s">
        <v>116</v>
      </c>
      <c r="H87" s="10">
        <f t="shared" si="3"/>
        <v>0</v>
      </c>
      <c r="I87" s="19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19"/>
      <c r="AB87" s="22"/>
      <c r="AC87" s="20"/>
      <c r="AD87" s="20"/>
      <c r="AE87" s="19"/>
      <c r="AF87" s="20"/>
      <c r="AG87" s="20"/>
      <c r="AH87" s="20"/>
      <c r="AI87" s="20"/>
      <c r="AJ87" s="20"/>
    </row>
    <row r="88" s="11" customFormat="1" spans="1:36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3"/>
        <v>0</v>
      </c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19"/>
      <c r="T88" s="20"/>
      <c r="U88" s="20"/>
      <c r="V88" s="20"/>
      <c r="W88" s="20"/>
      <c r="X88" s="20"/>
      <c r="Y88" s="20"/>
      <c r="Z88" s="20"/>
      <c r="AA88" s="20"/>
      <c r="AB88" s="22"/>
      <c r="AC88" s="20"/>
      <c r="AD88" s="20"/>
      <c r="AE88" s="20"/>
      <c r="AF88" s="20"/>
      <c r="AG88" s="20"/>
      <c r="AH88" s="20"/>
      <c r="AI88" s="20"/>
      <c r="AJ88" s="20"/>
    </row>
    <row r="89" s="11" customFormat="1" spans="1:36">
      <c r="A89" s="11">
        <v>87</v>
      </c>
      <c r="C89" s="11">
        <v>87</v>
      </c>
      <c r="G89" s="17" t="s">
        <v>119</v>
      </c>
      <c r="H89" s="10">
        <f t="shared" si="3"/>
        <v>0</v>
      </c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2"/>
      <c r="AC89" s="20"/>
      <c r="AD89" s="20"/>
      <c r="AE89" s="20"/>
      <c r="AF89" s="20"/>
      <c r="AG89" s="20"/>
      <c r="AH89" s="20"/>
      <c r="AI89" s="20"/>
      <c r="AJ89" s="20"/>
    </row>
    <row r="90" s="11" customFormat="1" spans="1:36">
      <c r="A90" s="11">
        <v>88</v>
      </c>
      <c r="B90" s="11" t="s">
        <v>172</v>
      </c>
      <c r="C90" s="11">
        <v>88</v>
      </c>
      <c r="D90" s="11" t="s">
        <v>172</v>
      </c>
      <c r="G90" s="17" t="s">
        <v>120</v>
      </c>
      <c r="H90" s="10">
        <f t="shared" si="3"/>
        <v>0</v>
      </c>
      <c r="I90" s="20"/>
      <c r="J90" s="20"/>
      <c r="K90" s="20"/>
      <c r="L90" s="20"/>
      <c r="M90" s="20"/>
      <c r="N90" s="20"/>
      <c r="O90" s="20"/>
      <c r="P90" s="20"/>
      <c r="Q90" s="20"/>
      <c r="R90" s="19"/>
      <c r="S90" s="20"/>
      <c r="T90" s="20"/>
      <c r="U90" s="20"/>
      <c r="V90" s="20"/>
      <c r="W90" s="20"/>
      <c r="X90" s="20"/>
      <c r="Y90" s="20"/>
      <c r="Z90" s="20"/>
      <c r="AA90" s="20"/>
      <c r="AB90" s="22"/>
      <c r="AC90" s="20"/>
      <c r="AD90" s="20"/>
      <c r="AE90" s="20"/>
      <c r="AF90" s="20"/>
      <c r="AG90" s="20"/>
      <c r="AH90" s="20"/>
      <c r="AI90" s="20"/>
      <c r="AJ90" s="20"/>
    </row>
    <row r="91" s="11" customFormat="1" spans="1:36">
      <c r="A91" s="11">
        <v>89</v>
      </c>
      <c r="C91" s="11">
        <v>89</v>
      </c>
      <c r="G91" s="17" t="s">
        <v>121</v>
      </c>
      <c r="H91" s="10">
        <f t="shared" si="3"/>
        <v>0</v>
      </c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2"/>
      <c r="AC91" s="20"/>
      <c r="AD91" s="20"/>
      <c r="AE91" s="20"/>
      <c r="AF91" s="20"/>
      <c r="AG91" s="20"/>
      <c r="AH91" s="20"/>
      <c r="AI91" s="20"/>
      <c r="AJ91" s="20"/>
    </row>
    <row r="92" s="11" customFormat="1" spans="1:36">
      <c r="A92" s="11">
        <v>90</v>
      </c>
      <c r="C92" s="11">
        <v>90</v>
      </c>
      <c r="E92" s="11">
        <v>9015378357</v>
      </c>
      <c r="F92" s="11" t="s">
        <v>173</v>
      </c>
      <c r="G92" s="17" t="s">
        <v>122</v>
      </c>
      <c r="H92" s="10">
        <f t="shared" si="3"/>
        <v>0</v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2"/>
      <c r="AC92" s="20"/>
      <c r="AD92" s="20"/>
      <c r="AE92" s="20"/>
      <c r="AF92" s="20"/>
      <c r="AG92" s="20"/>
      <c r="AH92" s="20"/>
      <c r="AI92" s="20"/>
      <c r="AJ92" s="20"/>
    </row>
    <row r="93" s="11" customFormat="1" spans="1:36">
      <c r="A93" s="11">
        <v>91</v>
      </c>
      <c r="C93" s="11">
        <v>91</v>
      </c>
      <c r="G93" s="17" t="s">
        <v>123</v>
      </c>
      <c r="H93" s="10">
        <f t="shared" si="3"/>
        <v>0</v>
      </c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2"/>
      <c r="AC93" s="20"/>
      <c r="AD93" s="20"/>
      <c r="AE93" s="20"/>
      <c r="AF93" s="20"/>
      <c r="AG93" s="20"/>
      <c r="AH93" s="20"/>
      <c r="AI93" s="20"/>
      <c r="AJ93" s="20"/>
    </row>
    <row r="94" s="11" customFormat="1" spans="1:36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3"/>
        <v>0</v>
      </c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2"/>
      <c r="AC94" s="20"/>
      <c r="AD94" s="20"/>
      <c r="AE94" s="20"/>
      <c r="AF94" s="20"/>
      <c r="AG94" s="20"/>
      <c r="AH94" s="20"/>
      <c r="AI94" s="20"/>
      <c r="AJ94" s="20"/>
    </row>
    <row r="95" s="11" customFormat="1" spans="1:36">
      <c r="A95" s="11">
        <v>93</v>
      </c>
      <c r="C95" s="11">
        <v>93</v>
      </c>
      <c r="G95" s="17" t="s">
        <v>126</v>
      </c>
      <c r="H95" s="10">
        <f t="shared" si="3"/>
        <v>0</v>
      </c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2"/>
      <c r="AC95" s="20"/>
      <c r="AD95" s="20"/>
      <c r="AE95" s="20"/>
      <c r="AF95" s="20"/>
      <c r="AG95" s="20"/>
      <c r="AH95" s="20"/>
      <c r="AI95" s="20"/>
      <c r="AJ95" s="20"/>
    </row>
    <row r="96" s="11" customFormat="1" spans="1:36">
      <c r="A96" s="11">
        <v>94</v>
      </c>
      <c r="C96" s="11">
        <v>94</v>
      </c>
      <c r="G96" s="17" t="s">
        <v>127</v>
      </c>
      <c r="H96" s="10">
        <f t="shared" si="3"/>
        <v>0</v>
      </c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2"/>
      <c r="AC96" s="20"/>
      <c r="AD96" s="20"/>
      <c r="AE96" s="20"/>
      <c r="AF96" s="20"/>
      <c r="AG96" s="20"/>
      <c r="AH96" s="20"/>
      <c r="AI96" s="20"/>
      <c r="AJ96" s="20"/>
    </row>
    <row r="97" spans="9:36"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</row>
    <row r="98" spans="9:36"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</row>
    <row r="99" spans="9:36"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</row>
    <row r="100" spans="9:36"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</row>
    <row r="101" spans="9:36"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</row>
    <row r="102" spans="9:36"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</row>
    <row r="103" spans="9:36"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</row>
    <row r="104" spans="9:36"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</row>
    <row r="105" spans="9:36"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</row>
    <row r="106" spans="9:36"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</row>
    <row r="107" spans="9:36"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</row>
    <row r="108" spans="9:36"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</row>
    <row r="109" spans="9:36"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</row>
    <row r="110" spans="9:36"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</row>
    <row r="111" spans="9:36"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workbookViewId="0">
      <selection activeCell="H13" sqref="H13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174</v>
      </c>
    </row>
    <row r="2" spans="1:4">
      <c r="A2" s="4"/>
      <c r="B2" s="4"/>
      <c r="C2" s="5" t="s">
        <v>8</v>
      </c>
      <c r="D2" s="6">
        <f>Orders!F2-Collection!H2</f>
        <v>178900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2500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12000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5000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1500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5000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3000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2000</v>
      </c>
    </row>
    <row r="31" spans="1:4">
      <c r="A31" s="7" t="s">
        <v>36</v>
      </c>
      <c r="B31" s="7"/>
      <c r="C31" s="8" t="s">
        <v>48</v>
      </c>
      <c r="D31" s="9">
        <f>Orders!F31-Collection!H31</f>
        <v>5000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0</v>
      </c>
    </row>
    <row r="33" spans="1:4">
      <c r="A33" s="7" t="s">
        <v>36</v>
      </c>
      <c r="B33" s="7"/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2000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1000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2000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6000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6000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2000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1000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1000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/>
      <c r="C59" s="8" t="s">
        <v>79</v>
      </c>
      <c r="D59" s="9">
        <f>Orders!F59-Collection!H59</f>
        <v>5000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-1000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7000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2000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-2000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1000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2300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3000</v>
      </c>
    </row>
    <row r="79" spans="1:4">
      <c r="A79" s="7" t="s">
        <v>102</v>
      </c>
      <c r="B79" s="7"/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5000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2021-02-28T16:27:44Z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