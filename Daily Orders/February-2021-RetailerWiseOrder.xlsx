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sharedStrings.xml><?xml version="1.0" encoding="utf-8"?>
<sst xmlns="http://schemas.openxmlformats.org/spreadsheetml/2006/main" count="193" uniqueCount="127">
  <si>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</si>
  <si>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</si>
  <si>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</si>
  <si>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</si>
  <si>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</si>
  <si>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</si>
  <si>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</si>
  <si>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</si>
  <si>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</si>
  <si>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</si>
  <si>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</si>
  <si>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</si>
  <si>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</si>
  <si>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</si>
  <si>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</si>
  <si>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</si>
  <si>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</si>
  <si>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</si>
  <si>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</si>
  <si>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</si>
  <si>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</si>
  <si>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</si>
  <si>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</si>
  <si>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</si>
  <si>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</si>
  <si>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</si>
  <si>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</si>
  <si>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</si>
  <si>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</si>
  <si>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</si>
  <si>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</si>
  <si>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</si>
  <si>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</si>
  <si>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</si>
  <si>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</si>
  <si>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</si>
  <si>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</si>
  <si>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</si>
  <si>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</si>
  <si>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</si>
  <si>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</si>
  <si>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</si>
  <si>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</si>
  <si>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</si>
  <si>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</si>
  <si>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</si>
  <si>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</si>
  <si>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</si>
  <si>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</si>
  <si>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</si>
  <si>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</si>
  <si>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</si>
  <si>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</si>
  <si>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</si>
  <si>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</si>
  <si>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</si>
  <si>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</si>
  <si>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</si>
  <si>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</si>
  <si>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Vikash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</si>
  <si>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</si>
  <si>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</si>
  <si>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</si>
  <si>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</si>
  <si>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</si>
  <si>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</si>
  <si>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</si>
  <si>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</si>
  <si>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</si>
  <si>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</si>
  <si>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</si>
  <si>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</si>
  <si>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</si>
  <si>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</si>
  <si>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</si>
  <si>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</si>
  <si>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</si>
  <si>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</si>
  <si>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</si>
  <si>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</si>
  <si>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</si>
  <si>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</si>
  <si>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</si>
  <si>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</si>
  <si>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</si>
  <si>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</si>
  <si>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</si>
  <si>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</si>
  <si>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</si>
  <si>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</si>
  <si>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</si>
  <si>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</si>
  <si>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</si>
  <si>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</si>
  <si>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</si>
  <si>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</si>
  <si>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</si>
  <si>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</si>
  <si>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</si>
  <si>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</si>
  <si>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</si>
  <si>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</si>
  <si>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</si>
  <si>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</si>
  <si>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</si>
  <si>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</si>
  <si>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</si>
  <si>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</si>
  <si>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</si>
  <si>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</si>
  <si>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</si>
  <si>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</si>
  <si>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</si>
  <si>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</si>
  <si>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</si>
  <si>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Amit Amir Bigha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</si>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</sst>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;@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0" borderId="4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21" borderId="7" applyNumberFormat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9" borderId="1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K20" activePane="bottomRight" state="frozen"/>
      <selection/>
      <selection pane="topRight"/>
      <selection pane="bottomLeft"/>
      <selection pane="bottomRight" activeCell="E20" sqref="E20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0"/>
      <c r="AL1" s="20"/>
      <c r="AM1" s="20"/>
      <c r="AN1" s="20"/>
      <c r="AO1" s="20"/>
      <c r="AP1" s="20"/>
      <c r="AQ1" s="20"/>
      <c r="AR1" s="20"/>
      <c r="AS1" s="20"/>
    </row>
    <row r="2" s="2" customFormat="1" spans="1:36">
      <c r="A2" s="8"/>
      <c r="B2" s="9">
        <f>SUM(F3:F121)</f>
        <v>445700</v>
      </c>
      <c r="C2" s="1"/>
      <c r="D2" s="10">
        <f>SUM(G3:G121)</f>
        <v>288600</v>
      </c>
      <c r="E2" s="11" t="s">
        <v>8</v>
      </c>
      <c r="F2" s="9">
        <f>G2/1.04+H2</f>
        <v>445700</v>
      </c>
      <c r="G2" s="10">
        <f t="shared" ref="G2:G16" si="0">SUM(I2:AM2)</f>
        <v>288600</v>
      </c>
      <c r="H2" s="12">
        <f>SUM(H3:H121)</f>
        <v>168200</v>
      </c>
      <c r="I2" s="2">
        <f>SUM(I3:I121)</f>
        <v>41080</v>
      </c>
      <c r="J2" s="2">
        <f>SUM(J3:J121)</f>
        <v>53040</v>
      </c>
      <c r="K2" s="2">
        <f>SUM(K3:K121)</f>
        <v>45760</v>
      </c>
      <c r="L2" s="2">
        <f t="shared" ref="L2:AM2" si="1">SUM(L3:L121)</f>
        <v>47840</v>
      </c>
      <c r="M2" s="2">
        <f t="shared" si="1"/>
        <v>26000</v>
      </c>
      <c r="N2" s="2">
        <f t="shared" si="1"/>
        <v>45760</v>
      </c>
      <c r="O2" s="2">
        <f t="shared" si="1"/>
        <v>29120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3000</v>
      </c>
      <c r="G3" s="1">
        <f t="shared" si="0"/>
        <v>0</v>
      </c>
      <c r="H3" s="14">
        <v>3000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4000</v>
      </c>
      <c r="G4" s="1">
        <f t="shared" si="0"/>
        <v>2080</v>
      </c>
      <c r="H4" s="14">
        <v>2000</v>
      </c>
      <c r="I4" s="4"/>
      <c r="J4" s="4">
        <v>1040</v>
      </c>
      <c r="K4" s="4"/>
      <c r="L4" s="4"/>
      <c r="M4" s="4"/>
      <c r="N4" s="4"/>
      <c r="O4" s="4">
        <v>1040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7500</v>
      </c>
      <c r="G5" s="1">
        <f t="shared" si="0"/>
        <v>4160</v>
      </c>
      <c r="H5" s="14">
        <v>3500</v>
      </c>
      <c r="I5" s="4">
        <v>1040</v>
      </c>
      <c r="J5" s="4">
        <v>1040</v>
      </c>
      <c r="K5" s="4">
        <v>1040</v>
      </c>
      <c r="L5" s="4"/>
      <c r="M5" s="4"/>
      <c r="N5" s="4">
        <v>1040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10000</v>
      </c>
      <c r="G6" s="1">
        <f t="shared" si="0"/>
        <v>5200</v>
      </c>
      <c r="H6" s="14">
        <v>5000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23000</v>
      </c>
      <c r="G7" s="1">
        <f t="shared" si="0"/>
        <v>12480</v>
      </c>
      <c r="H7" s="14">
        <v>11000</v>
      </c>
      <c r="I7" s="4">
        <v>2080</v>
      </c>
      <c r="J7" s="4">
        <v>4160</v>
      </c>
      <c r="K7" s="4">
        <v>2080</v>
      </c>
      <c r="L7" s="4">
        <v>2080</v>
      </c>
      <c r="M7" s="4"/>
      <c r="N7" s="4">
        <v>2080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2000</v>
      </c>
      <c r="G8" s="1">
        <f t="shared" si="0"/>
        <v>2080</v>
      </c>
      <c r="H8" s="14">
        <v>0</v>
      </c>
      <c r="I8" s="4"/>
      <c r="J8" s="4">
        <v>2080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2000</v>
      </c>
      <c r="G9" s="1">
        <f t="shared" si="0"/>
        <v>0</v>
      </c>
      <c r="H9" s="14">
        <v>2000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10000</v>
      </c>
      <c r="G10" s="1">
        <f t="shared" si="0"/>
        <v>5200</v>
      </c>
      <c r="H10" s="14">
        <v>5000</v>
      </c>
      <c r="I10" s="4"/>
      <c r="J10" s="4"/>
      <c r="K10" s="4"/>
      <c r="L10" s="4">
        <v>5200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4000</v>
      </c>
      <c r="G11" s="1">
        <f t="shared" si="0"/>
        <v>2080</v>
      </c>
      <c r="H11" s="14">
        <v>2000</v>
      </c>
      <c r="I11" s="4"/>
      <c r="J11" s="4">
        <v>2080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3000</v>
      </c>
      <c r="G12" s="1">
        <f t="shared" si="0"/>
        <v>3120</v>
      </c>
      <c r="H12" s="14">
        <v>0</v>
      </c>
      <c r="I12" s="4">
        <v>1040</v>
      </c>
      <c r="J12" s="4">
        <v>1040</v>
      </c>
      <c r="K12" s="4"/>
      <c r="L12" s="4"/>
      <c r="M12" s="4">
        <v>1040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5000</v>
      </c>
      <c r="G13" s="1">
        <f t="shared" si="0"/>
        <v>5200</v>
      </c>
      <c r="H13" s="14">
        <v>0</v>
      </c>
      <c r="I13" s="4"/>
      <c r="J13" s="4"/>
      <c r="K13" s="4">
        <v>5200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20500</v>
      </c>
      <c r="G14" s="1">
        <f t="shared" si="0"/>
        <v>10400</v>
      </c>
      <c r="H14" s="14">
        <v>10500</v>
      </c>
      <c r="I14" s="4"/>
      <c r="J14" s="4"/>
      <c r="K14" s="4">
        <v>5200</v>
      </c>
      <c r="L14" s="4"/>
      <c r="M14" s="4"/>
      <c r="N14" s="4">
        <v>5200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4000</v>
      </c>
      <c r="G15" s="1">
        <f t="shared" si="0"/>
        <v>2080</v>
      </c>
      <c r="H15" s="14">
        <v>2000</v>
      </c>
      <c r="I15" s="4"/>
      <c r="J15" s="4"/>
      <c r="K15" s="4"/>
      <c r="L15" s="4"/>
      <c r="M15" s="4">
        <v>2080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2000</v>
      </c>
      <c r="G17" s="1">
        <f t="shared" ref="G17:G39" si="3">SUM(I17:AM17)</f>
        <v>3120</v>
      </c>
      <c r="H17" s="14">
        <v>-1000</v>
      </c>
      <c r="I17" s="4"/>
      <c r="J17" s="4">
        <v>3120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10000</v>
      </c>
      <c r="G18" s="1">
        <f t="shared" si="3"/>
        <v>5200</v>
      </c>
      <c r="H18" s="14">
        <v>5000</v>
      </c>
      <c r="I18" s="4"/>
      <c r="J18" s="4"/>
      <c r="K18" s="4">
        <v>5200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2000</v>
      </c>
      <c r="G19" s="1">
        <f t="shared" si="3"/>
        <v>2080</v>
      </c>
      <c r="H19" s="14">
        <v>0</v>
      </c>
      <c r="I19" s="4"/>
      <c r="J19" s="4"/>
      <c r="K19" s="4"/>
      <c r="L19" s="4">
        <v>2080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3000</v>
      </c>
      <c r="G20" s="1">
        <f t="shared" si="3"/>
        <v>2080</v>
      </c>
      <c r="H20" s="14">
        <v>1000</v>
      </c>
      <c r="I20" s="4"/>
      <c r="J20" s="4">
        <v>1040</v>
      </c>
      <c r="K20" s="4"/>
      <c r="L20" s="4"/>
      <c r="M20" s="4"/>
      <c r="N20" s="4">
        <v>1040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10000</v>
      </c>
      <c r="G21" s="1">
        <f t="shared" si="3"/>
        <v>10400</v>
      </c>
      <c r="H21" s="14">
        <v>0</v>
      </c>
      <c r="I21" s="4">
        <v>5200</v>
      </c>
      <c r="J21" s="4"/>
      <c r="K21" s="4"/>
      <c r="L21" s="4"/>
      <c r="M21" s="4">
        <v>5200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3000</v>
      </c>
      <c r="G22" s="1">
        <f t="shared" si="3"/>
        <v>2080</v>
      </c>
      <c r="H22" s="14">
        <v>1000</v>
      </c>
      <c r="I22" s="4"/>
      <c r="J22" s="4">
        <v>1040</v>
      </c>
      <c r="K22" s="4"/>
      <c r="L22" s="4"/>
      <c r="M22" s="4"/>
      <c r="N22" s="4"/>
      <c r="O22" s="4">
        <v>1040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6000</v>
      </c>
      <c r="G23" s="1">
        <f t="shared" si="3"/>
        <v>6240</v>
      </c>
      <c r="H23" s="14">
        <v>0</v>
      </c>
      <c r="I23" s="4"/>
      <c r="J23" s="4">
        <v>3120</v>
      </c>
      <c r="K23" s="4"/>
      <c r="L23" s="4">
        <v>3120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10000</v>
      </c>
      <c r="G24" s="1">
        <f t="shared" si="3"/>
        <v>10400</v>
      </c>
      <c r="H24" s="14">
        <v>0</v>
      </c>
      <c r="I24" s="4">
        <v>5200</v>
      </c>
      <c r="J24" s="4"/>
      <c r="K24" s="4"/>
      <c r="L24" s="4">
        <v>5200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3000</v>
      </c>
      <c r="G25" s="1">
        <f t="shared" si="3"/>
        <v>0</v>
      </c>
      <c r="H25" s="14">
        <v>3000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6500</v>
      </c>
      <c r="G26" s="1">
        <f t="shared" si="3"/>
        <v>4160</v>
      </c>
      <c r="H26" s="14">
        <v>2500</v>
      </c>
      <c r="I26" s="4"/>
      <c r="J26" s="4"/>
      <c r="K26" s="4">
        <v>2080</v>
      </c>
      <c r="L26" s="4"/>
      <c r="M26" s="4"/>
      <c r="N26" s="4"/>
      <c r="O26" s="4">
        <v>2080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2000</v>
      </c>
      <c r="G27" s="1">
        <f>SUM(J27:AM27)</f>
        <v>2080</v>
      </c>
      <c r="H27" s="14">
        <v>0</v>
      </c>
      <c r="J27" s="4">
        <v>2080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5500</v>
      </c>
      <c r="G29" s="1">
        <f t="shared" si="3"/>
        <v>5720</v>
      </c>
      <c r="H29" s="14">
        <v>0</v>
      </c>
      <c r="I29" s="19">
        <v>520</v>
      </c>
      <c r="J29" s="4">
        <v>5200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10000</v>
      </c>
      <c r="G30" s="1">
        <f t="shared" si="3"/>
        <v>10400</v>
      </c>
      <c r="H30" s="14">
        <v>0</v>
      </c>
      <c r="I30" s="4">
        <v>5200</v>
      </c>
      <c r="J30" s="4"/>
      <c r="K30" s="4"/>
      <c r="L30" s="4"/>
      <c r="M30" s="4">
        <v>5200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5000</v>
      </c>
      <c r="G31" s="1">
        <f t="shared" si="3"/>
        <v>4160</v>
      </c>
      <c r="H31" s="14">
        <v>1000</v>
      </c>
      <c r="I31" s="4"/>
      <c r="J31" s="4"/>
      <c r="K31" s="4"/>
      <c r="L31" s="4">
        <v>2080</v>
      </c>
      <c r="M31" s="4"/>
      <c r="N31" s="4"/>
      <c r="O31" s="4">
        <v>2080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4000</v>
      </c>
      <c r="G32" s="1">
        <f t="shared" si="3"/>
        <v>3120</v>
      </c>
      <c r="H32" s="14">
        <v>1000</v>
      </c>
      <c r="I32" s="4"/>
      <c r="J32" s="4">
        <v>1040</v>
      </c>
      <c r="K32" s="4"/>
      <c r="L32" s="4">
        <v>1040</v>
      </c>
      <c r="M32" s="4"/>
      <c r="N32" s="4"/>
      <c r="O32" s="4">
        <v>1040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2000</v>
      </c>
      <c r="G33" s="1">
        <f t="shared" si="3"/>
        <v>2080</v>
      </c>
      <c r="H33" s="14">
        <v>0</v>
      </c>
      <c r="I33" s="4">
        <v>1040</v>
      </c>
      <c r="J33" s="4"/>
      <c r="K33" s="4"/>
      <c r="L33" s="4"/>
      <c r="M33" s="4"/>
      <c r="N33" s="4"/>
      <c r="O33" s="4">
        <v>1040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2000</v>
      </c>
      <c r="G34" s="1">
        <f t="shared" si="3"/>
        <v>0</v>
      </c>
      <c r="H34" s="14">
        <v>2000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9000</v>
      </c>
      <c r="G35" s="1">
        <f t="shared" si="3"/>
        <v>9360</v>
      </c>
      <c r="H35" s="14">
        <v>0</v>
      </c>
      <c r="I35" s="4">
        <v>3120</v>
      </c>
      <c r="J35" s="4"/>
      <c r="K35" s="4">
        <v>3120</v>
      </c>
      <c r="L35" s="4"/>
      <c r="M35" s="4">
        <v>3120</v>
      </c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0</v>
      </c>
      <c r="G36" s="1">
        <f t="shared" si="3"/>
        <v>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3000</v>
      </c>
      <c r="G37" s="1">
        <f t="shared" si="3"/>
        <v>3120</v>
      </c>
      <c r="H37" s="14">
        <v>0</v>
      </c>
      <c r="I37" s="4"/>
      <c r="J37" s="4">
        <v>3120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4000</v>
      </c>
      <c r="G39" s="1">
        <f t="shared" si="3"/>
        <v>2080</v>
      </c>
      <c r="H39" s="14">
        <v>2000</v>
      </c>
      <c r="I39" s="4">
        <v>2080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2000</v>
      </c>
      <c r="G40" s="1">
        <f>SUM(J40:AM40)</f>
        <v>2080</v>
      </c>
      <c r="H40" s="14">
        <v>0</v>
      </c>
      <c r="I40" s="4"/>
      <c r="J40" s="4"/>
      <c r="K40" s="4"/>
      <c r="L40" s="4">
        <v>2080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13500</v>
      </c>
      <c r="G41" s="1">
        <f t="shared" ref="G41:G53" si="5">SUM(I41:AM41)</f>
        <v>12480</v>
      </c>
      <c r="H41" s="14">
        <v>1500</v>
      </c>
      <c r="I41" s="4">
        <v>3120</v>
      </c>
      <c r="J41" s="4">
        <v>3120</v>
      </c>
      <c r="K41" s="4"/>
      <c r="L41" s="4">
        <v>3120</v>
      </c>
      <c r="M41" s="4"/>
      <c r="N41" s="4"/>
      <c r="O41" s="4">
        <v>3120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6000</v>
      </c>
      <c r="G44" s="1">
        <f t="shared" si="5"/>
        <v>6240</v>
      </c>
      <c r="H44" s="14">
        <v>0</v>
      </c>
      <c r="I44" s="4"/>
      <c r="J44" s="4">
        <v>3120</v>
      </c>
      <c r="K44" s="4"/>
      <c r="L44" s="4"/>
      <c r="M44" s="4"/>
      <c r="N44" s="4">
        <v>3120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9000</v>
      </c>
      <c r="G45" s="1">
        <f t="shared" si="5"/>
        <v>6240</v>
      </c>
      <c r="H45" s="14">
        <v>3000</v>
      </c>
      <c r="I45" s="4"/>
      <c r="J45" s="4"/>
      <c r="K45" s="4">
        <v>3120</v>
      </c>
      <c r="L45" s="4"/>
      <c r="M45" s="4"/>
      <c r="N45" s="4"/>
      <c r="O45" s="4">
        <v>3120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6000</v>
      </c>
      <c r="G46" s="1">
        <f t="shared" si="5"/>
        <v>6240</v>
      </c>
      <c r="H46" s="14">
        <v>0</v>
      </c>
      <c r="I46" s="4"/>
      <c r="J46" s="4"/>
      <c r="K46" s="4"/>
      <c r="L46" s="4">
        <v>3120</v>
      </c>
      <c r="M46" s="4"/>
      <c r="N46" s="4"/>
      <c r="O46" s="4">
        <v>3120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2000</v>
      </c>
      <c r="G47" s="1">
        <f t="shared" si="5"/>
        <v>2080</v>
      </c>
      <c r="H47" s="14">
        <v>0</v>
      </c>
      <c r="I47" s="4"/>
      <c r="J47" s="4"/>
      <c r="K47" s="4">
        <v>2080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12000</v>
      </c>
      <c r="G48" s="1">
        <f t="shared" si="5"/>
        <v>9360</v>
      </c>
      <c r="H48" s="14">
        <v>3000</v>
      </c>
      <c r="I48" s="4">
        <v>3120</v>
      </c>
      <c r="J48" s="4"/>
      <c r="K48" s="4"/>
      <c r="L48" s="4">
        <v>3120</v>
      </c>
      <c r="M48" s="4"/>
      <c r="N48" s="4">
        <v>3120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6000</v>
      </c>
      <c r="G49" s="1">
        <f t="shared" si="5"/>
        <v>3120</v>
      </c>
      <c r="H49" s="14">
        <v>3000</v>
      </c>
      <c r="I49" s="4"/>
      <c r="J49" s="4"/>
      <c r="K49" s="4">
        <v>3120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2000</v>
      </c>
      <c r="G50" s="1">
        <f t="shared" si="5"/>
        <v>2080</v>
      </c>
      <c r="H50" s="14">
        <v>0</v>
      </c>
      <c r="I50" s="4"/>
      <c r="J50" s="4"/>
      <c r="K50" s="4"/>
      <c r="L50" s="4"/>
      <c r="M50" s="4">
        <v>2080</v>
      </c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4000</v>
      </c>
      <c r="G52" s="1">
        <f t="shared" si="5"/>
        <v>4160</v>
      </c>
      <c r="H52" s="14">
        <v>0</v>
      </c>
      <c r="I52" s="4"/>
      <c r="J52" s="4">
        <v>1040</v>
      </c>
      <c r="K52" s="4"/>
      <c r="L52" s="4">
        <v>1040</v>
      </c>
      <c r="M52" s="4"/>
      <c r="N52" s="4">
        <v>1040</v>
      </c>
      <c r="O52" s="4">
        <v>1040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4000</v>
      </c>
      <c r="G53" s="1">
        <f t="shared" si="5"/>
        <v>2080</v>
      </c>
      <c r="H53" s="14">
        <v>2000</v>
      </c>
      <c r="I53" s="4"/>
      <c r="J53" s="4"/>
      <c r="K53" s="4"/>
      <c r="L53" s="19">
        <v>2080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2000</v>
      </c>
      <c r="G55" s="1">
        <f t="shared" si="6"/>
        <v>2080</v>
      </c>
      <c r="H55" s="14">
        <v>0</v>
      </c>
      <c r="I55" s="4"/>
      <c r="J55" s="4">
        <v>2080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10000</v>
      </c>
      <c r="G56" s="1">
        <f t="shared" si="6"/>
        <v>5200</v>
      </c>
      <c r="H56" s="14">
        <v>5000</v>
      </c>
      <c r="I56" s="4"/>
      <c r="J56" s="4"/>
      <c r="K56" s="4"/>
      <c r="L56" s="4">
        <v>5200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2000</v>
      </c>
      <c r="G57" s="1">
        <f t="shared" si="6"/>
        <v>2080</v>
      </c>
      <c r="H57" s="14">
        <v>0</v>
      </c>
      <c r="I57" s="4">
        <v>2080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10000</v>
      </c>
      <c r="G58" s="1">
        <f t="shared" si="6"/>
        <v>5200</v>
      </c>
      <c r="H58" s="14">
        <v>5000</v>
      </c>
      <c r="I58" s="4"/>
      <c r="J58" s="4"/>
      <c r="K58" s="4"/>
      <c r="L58" s="4"/>
      <c r="M58" s="4"/>
      <c r="N58" s="4">
        <v>5200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5000</v>
      </c>
      <c r="G59" s="1">
        <f t="shared" si="6"/>
        <v>5200</v>
      </c>
      <c r="H59" s="14">
        <v>0</v>
      </c>
      <c r="I59" s="4"/>
      <c r="J59" s="4"/>
      <c r="K59" s="4"/>
      <c r="L59" s="4"/>
      <c r="M59" s="4"/>
      <c r="N59" s="4"/>
      <c r="O59" s="4">
        <v>5200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6000</v>
      </c>
      <c r="G60" s="1">
        <f t="shared" si="6"/>
        <v>4160</v>
      </c>
      <c r="H60" s="14">
        <v>2000</v>
      </c>
      <c r="I60" s="4"/>
      <c r="J60" s="4"/>
      <c r="K60" s="4"/>
      <c r="L60" s="4">
        <v>2080</v>
      </c>
      <c r="M60" s="4"/>
      <c r="N60" s="4">
        <v>2080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4000</v>
      </c>
      <c r="G62" s="1">
        <f t="shared" si="6"/>
        <v>2080</v>
      </c>
      <c r="H62" s="14">
        <v>2000</v>
      </c>
      <c r="I62" s="4"/>
      <c r="J62" s="4"/>
      <c r="K62" s="4"/>
      <c r="L62" s="4">
        <v>2080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0</v>
      </c>
      <c r="G63" s="1">
        <f t="shared" si="6"/>
        <v>2080</v>
      </c>
      <c r="H63" s="14">
        <v>-2000</v>
      </c>
      <c r="I63" s="4"/>
      <c r="J63" s="4"/>
      <c r="K63" s="4"/>
      <c r="L63" s="4"/>
      <c r="M63" s="4"/>
      <c r="N63" s="4">
        <v>2080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2000</v>
      </c>
      <c r="G64" s="1">
        <f t="shared" si="6"/>
        <v>2080</v>
      </c>
      <c r="H64" s="14">
        <v>0</v>
      </c>
      <c r="I64" s="4">
        <v>2080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1000</v>
      </c>
      <c r="G65" s="1">
        <f t="shared" si="6"/>
        <v>1040</v>
      </c>
      <c r="H65" s="14">
        <v>0</v>
      </c>
      <c r="I65" s="4"/>
      <c r="J65" s="4">
        <v>1040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15000</v>
      </c>
      <c r="G66" s="1">
        <f t="shared" si="6"/>
        <v>10400</v>
      </c>
      <c r="H66" s="14">
        <v>5000</v>
      </c>
      <c r="I66" s="4"/>
      <c r="J66" s="4"/>
      <c r="K66" s="4">
        <v>5200</v>
      </c>
      <c r="L66" s="4"/>
      <c r="M66" s="4"/>
      <c r="N66" s="4">
        <v>5200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6000</v>
      </c>
      <c r="G67" s="1">
        <f t="shared" si="6"/>
        <v>6240</v>
      </c>
      <c r="H67" s="14">
        <v>0</v>
      </c>
      <c r="I67" s="4"/>
      <c r="J67" s="4">
        <v>3120</v>
      </c>
      <c r="K67" s="4"/>
      <c r="L67" s="4"/>
      <c r="M67" s="4"/>
      <c r="N67" s="4"/>
      <c r="O67" s="4">
        <v>3120</v>
      </c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2000</v>
      </c>
      <c r="G68" s="1">
        <f t="shared" si="6"/>
        <v>2080</v>
      </c>
      <c r="H68" s="14">
        <v>0</v>
      </c>
      <c r="I68" s="4"/>
      <c r="J68" s="4"/>
      <c r="K68" s="4"/>
      <c r="L68" s="4"/>
      <c r="M68" s="4"/>
      <c r="N68" s="4"/>
      <c r="O68" s="4">
        <v>2080</v>
      </c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5000</v>
      </c>
      <c r="G70" s="1">
        <f t="shared" si="6"/>
        <v>3120</v>
      </c>
      <c r="H70" s="14">
        <v>2000</v>
      </c>
      <c r="I70" s="4">
        <v>1040</v>
      </c>
      <c r="J70" s="4">
        <v>1040</v>
      </c>
      <c r="K70" s="4"/>
      <c r="L70" s="4"/>
      <c r="M70" s="4">
        <v>1040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12000</v>
      </c>
      <c r="G71" s="1">
        <f t="shared" si="6"/>
        <v>6240</v>
      </c>
      <c r="H71" s="14">
        <v>6000</v>
      </c>
      <c r="I71" s="4"/>
      <c r="J71" s="4"/>
      <c r="K71" s="4"/>
      <c r="L71" s="4">
        <v>3120</v>
      </c>
      <c r="M71" s="4"/>
      <c r="N71" s="4">
        <v>3120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7000</v>
      </c>
      <c r="G72" s="1">
        <f t="shared" si="6"/>
        <v>4160</v>
      </c>
      <c r="H72" s="14">
        <v>3000</v>
      </c>
      <c r="I72" s="4"/>
      <c r="J72" s="4"/>
      <c r="K72" s="4">
        <v>2080</v>
      </c>
      <c r="L72" s="4"/>
      <c r="M72" s="4"/>
      <c r="N72" s="4">
        <v>2080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4"/>
      <c r="V73" s="24"/>
      <c r="W73" s="24"/>
      <c r="X73" s="24"/>
      <c r="Y73" s="2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2000</v>
      </c>
      <c r="G74" s="1">
        <f t="shared" si="6"/>
        <v>2080</v>
      </c>
      <c r="H74" s="14">
        <v>0</v>
      </c>
      <c r="I74" s="4">
        <v>1040</v>
      </c>
      <c r="J74" s="4"/>
      <c r="K74" s="4">
        <v>1040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0</v>
      </c>
      <c r="G76" s="1">
        <f t="shared" si="8"/>
        <v>2080</v>
      </c>
      <c r="H76" s="14">
        <v>-2000</v>
      </c>
      <c r="I76" s="4"/>
      <c r="J76" s="4">
        <v>2080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4000</v>
      </c>
      <c r="G78" s="1">
        <f t="shared" si="8"/>
        <v>4160</v>
      </c>
      <c r="H78" s="14">
        <v>0</v>
      </c>
      <c r="I78" s="19">
        <v>2080</v>
      </c>
      <c r="J78" s="4"/>
      <c r="K78" s="4"/>
      <c r="L78" s="4"/>
      <c r="M78" s="4"/>
      <c r="N78" s="19">
        <v>2080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1000</v>
      </c>
      <c r="G81" s="1">
        <f t="shared" si="8"/>
        <v>1040</v>
      </c>
      <c r="H81" s="14">
        <v>0</v>
      </c>
      <c r="I81" s="4"/>
      <c r="J81" s="4"/>
      <c r="K81" s="4"/>
      <c r="L81" s="4"/>
      <c r="M81" s="4"/>
      <c r="N81" s="4">
        <v>1040</v>
      </c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4"/>
      <c r="J82" s="24"/>
      <c r="K82" s="24"/>
      <c r="L82" s="24"/>
      <c r="M82" s="24"/>
      <c r="N82" s="24"/>
      <c r="O82" s="23"/>
      <c r="P82" s="24"/>
      <c r="Q82" s="24"/>
      <c r="R82" s="24"/>
      <c r="S82" s="24"/>
      <c r="T82" s="24"/>
      <c r="U82" s="24"/>
      <c r="V82" s="24"/>
      <c r="W82" s="23"/>
      <c r="X82" s="24"/>
      <c r="Y82" s="24"/>
      <c r="Z82" s="2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10000</v>
      </c>
      <c r="G83" s="1">
        <f>SUM(J83:AM83)</f>
        <v>10400</v>
      </c>
      <c r="H83" s="14">
        <v>0</v>
      </c>
      <c r="J83" s="4">
        <v>5200</v>
      </c>
      <c r="K83" s="4"/>
      <c r="M83" s="4">
        <v>5200</v>
      </c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21" t="s">
        <v>115</v>
      </c>
      <c r="C86" s="3">
        <v>683909556</v>
      </c>
      <c r="E86" s="17" t="s">
        <v>116</v>
      </c>
      <c r="F86" s="1">
        <f t="shared" si="7"/>
        <v>1000</v>
      </c>
      <c r="G86" s="1">
        <f t="shared" si="8"/>
        <v>1040</v>
      </c>
      <c r="H86" s="14">
        <v>0</v>
      </c>
      <c r="I86" s="24"/>
      <c r="J86" s="24"/>
      <c r="K86" s="24"/>
      <c r="L86" s="24"/>
      <c r="M86" s="23">
        <v>1040</v>
      </c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117</v>
      </c>
      <c r="F87" s="1">
        <f t="shared" si="7"/>
        <v>0</v>
      </c>
      <c r="G87" s="1">
        <f t="shared" si="8"/>
        <v>0</v>
      </c>
      <c r="H87" s="14">
        <v>0</v>
      </c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118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119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120</v>
      </c>
      <c r="F90" s="1">
        <f t="shared" si="7"/>
        <v>1000</v>
      </c>
      <c r="G90" s="1">
        <f t="shared" si="8"/>
        <v>1040</v>
      </c>
      <c r="H90" s="14">
        <v>0</v>
      </c>
      <c r="I90" s="4"/>
      <c r="J90" s="4"/>
      <c r="K90" s="4"/>
      <c r="L90" s="4"/>
      <c r="M90" s="4"/>
      <c r="N90" s="4">
        <v>1040</v>
      </c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121</v>
      </c>
      <c r="F91" s="1">
        <f t="shared" si="7"/>
        <v>0</v>
      </c>
      <c r="G91" s="1">
        <f t="shared" si="8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122</v>
      </c>
      <c r="F92" s="1">
        <f t="shared" si="7"/>
        <v>5000</v>
      </c>
      <c r="G92" s="1">
        <f t="shared" si="8"/>
        <v>5200</v>
      </c>
      <c r="H92" s="14">
        <v>0</v>
      </c>
      <c r="I92" s="4"/>
      <c r="J92" s="4"/>
      <c r="K92" s="4">
        <v>5200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123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124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2" t="s">
        <v>125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126</v>
      </c>
      <c r="F96" s="1">
        <f t="shared" si="7"/>
        <v>2000</v>
      </c>
      <c r="G96" s="1">
        <f t="shared" si="8"/>
        <v>0</v>
      </c>
      <c r="H96" s="5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2021-02-07T06:36:56Z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