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'February-2021'!$A$1:$AM$94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sharedStrings.xml><?xml version="1.0" encoding="utf-8"?>
<sst xmlns="http://schemas.openxmlformats.org/spreadsheetml/2006/main" count="192" uniqueCount="126">
  <si>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</si>
  <si>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</si>
  <si>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</si>
  <si>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</si>
  <si>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</si>
  <si>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</si>
  <si>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</si>
  <si>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</si>
  <si>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</si>
  <si>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</si>
  <si>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</si>
  <si>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</si>
  <si>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</si>
  <si>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</si>
  <si>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</si>
  <si>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</si>
  <si>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</si>
  <si>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</si>
  <si>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</si>
  <si>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</si>
  <si>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</si>
  <si>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</si>
  <si>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</si>
  <si>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</si>
  <si>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</si>
  <si>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</si>
  <si>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</si>
  <si>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</si>
  <si>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</si>
  <si>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</si>
  <si>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</si>
  <si>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</si>
  <si>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</si>
  <si>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</si>
  <si>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</si>
  <si>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</si>
  <si>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</si>
  <si>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</si>
  <si>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</si>
  <si>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</si>
  <si>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</si>
  <si>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</si>
  <si>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</si>
  <si>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</si>
  <si>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</si>
  <si>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</si>
  <si>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</si>
  <si>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</si>
  <si>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</si>
  <si>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</si>
  <si>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</si>
  <si>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</si>
  <si>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</si>
  <si>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</si>
  <si>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</si>
  <si>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</si>
  <si>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</si>
  <si>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</si>
  <si>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</si>
  <si>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Amit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</si>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</sst>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\-mmm;@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5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13" borderId="1" applyNumberFormat="0" applyFon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20" borderId="6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6" fillId="24" borderId="7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7" fillId="24" borderId="6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7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7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I34" activePane="bottomRight" state="frozen"/>
      <selection/>
      <selection pane="topRight"/>
      <selection pane="bottomLeft"/>
      <selection pane="bottomRight" activeCell="L51" sqref="L51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0"/>
      <c r="AL1" s="20"/>
      <c r="AM1" s="20"/>
      <c r="AN1" s="20"/>
      <c r="AO1" s="20"/>
      <c r="AP1" s="20"/>
      <c r="AQ1" s="20"/>
      <c r="AR1" s="20"/>
      <c r="AS1" s="20"/>
    </row>
    <row r="2" s="2" customFormat="1" spans="1:36">
      <c r="A2" s="8"/>
      <c r="B2" s="9">
        <f>SUM(F3:F121)</f>
        <v>348700</v>
      </c>
      <c r="C2" s="1"/>
      <c r="D2" s="10">
        <f>SUM(G3:G121)</f>
        <v>187720</v>
      </c>
      <c r="E2" s="11" t="s">
        <v>8</v>
      </c>
      <c r="F2" s="9">
        <f>G2/1.04+H2</f>
        <v>348700</v>
      </c>
      <c r="G2" s="10">
        <f t="shared" ref="G2:G16" si="0">SUM(I2:AM2)</f>
        <v>187720</v>
      </c>
      <c r="H2" s="12">
        <f>SUM(H3:H121)</f>
        <v>168200</v>
      </c>
      <c r="I2" s="2">
        <f>SUM(I3:I121)</f>
        <v>41080</v>
      </c>
      <c r="J2" s="2">
        <f>SUM(J3:J121)</f>
        <v>53040</v>
      </c>
      <c r="K2" s="2">
        <f>SUM(K3:K121)</f>
        <v>45760</v>
      </c>
      <c r="L2" s="2">
        <f t="shared" ref="L2:AM2" si="1">SUM(L3:L121)</f>
        <v>47840</v>
      </c>
      <c r="M2" s="2">
        <f t="shared" si="1"/>
        <v>0</v>
      </c>
      <c r="N2" s="2">
        <f t="shared" si="1"/>
        <v>0</v>
      </c>
      <c r="O2" s="2">
        <f t="shared" si="1"/>
        <v>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41">
      <c r="A3" s="3">
        <v>1</v>
      </c>
      <c r="D3" s="3" t="s">
        <v>9</v>
      </c>
      <c r="E3" s="13" t="s">
        <v>10</v>
      </c>
      <c r="F3" s="1">
        <f t="shared" ref="F3:F34" si="2">G3/1.04+H3</f>
        <v>3000</v>
      </c>
      <c r="G3" s="1">
        <f t="shared" si="0"/>
        <v>0</v>
      </c>
      <c r="H3" s="14">
        <v>3000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D4" s="3" t="s">
        <v>9</v>
      </c>
      <c r="E4" s="13" t="s">
        <v>11</v>
      </c>
      <c r="F4" s="1">
        <f t="shared" si="2"/>
        <v>3000</v>
      </c>
      <c r="G4" s="1">
        <f t="shared" si="0"/>
        <v>1040</v>
      </c>
      <c r="H4" s="14">
        <v>2000</v>
      </c>
      <c r="I4" s="4"/>
      <c r="J4" s="4">
        <v>1040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6500</v>
      </c>
      <c r="G5" s="1">
        <f t="shared" si="0"/>
        <v>3120</v>
      </c>
      <c r="H5" s="14">
        <v>3500</v>
      </c>
      <c r="I5" s="4">
        <v>1040</v>
      </c>
      <c r="J5" s="4">
        <v>1040</v>
      </c>
      <c r="K5" s="4">
        <v>1040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5000</v>
      </c>
      <c r="G6" s="1">
        <f t="shared" si="0"/>
        <v>0</v>
      </c>
      <c r="H6" s="14">
        <v>5000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21000</v>
      </c>
      <c r="G7" s="1">
        <f t="shared" si="0"/>
        <v>10400</v>
      </c>
      <c r="H7" s="14">
        <v>11000</v>
      </c>
      <c r="I7" s="4">
        <v>2080</v>
      </c>
      <c r="J7" s="4">
        <v>4160</v>
      </c>
      <c r="K7" s="4">
        <v>2080</v>
      </c>
      <c r="L7" s="4">
        <v>2080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2000</v>
      </c>
      <c r="G8" s="1">
        <f t="shared" si="0"/>
        <v>2080</v>
      </c>
      <c r="H8" s="14">
        <v>0</v>
      </c>
      <c r="I8" s="4"/>
      <c r="J8" s="4">
        <v>2080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D9" s="3" t="s">
        <v>9</v>
      </c>
      <c r="E9" s="13" t="s">
        <v>20</v>
      </c>
      <c r="F9" s="1">
        <f t="shared" si="2"/>
        <v>2000</v>
      </c>
      <c r="G9" s="1">
        <f t="shared" si="0"/>
        <v>0</v>
      </c>
      <c r="H9" s="14">
        <v>2000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10000</v>
      </c>
      <c r="G10" s="1">
        <f t="shared" si="0"/>
        <v>5200</v>
      </c>
      <c r="H10" s="14">
        <v>5000</v>
      </c>
      <c r="I10" s="4"/>
      <c r="J10" s="4"/>
      <c r="K10" s="4"/>
      <c r="L10" s="4">
        <v>5200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D11" s="3" t="s">
        <v>23</v>
      </c>
      <c r="E11" s="13" t="s">
        <v>24</v>
      </c>
      <c r="F11" s="1">
        <f t="shared" si="2"/>
        <v>4000</v>
      </c>
      <c r="G11" s="1">
        <f t="shared" si="0"/>
        <v>2080</v>
      </c>
      <c r="H11" s="14">
        <v>2000</v>
      </c>
      <c r="I11" s="4"/>
      <c r="J11" s="4">
        <v>2080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D12" s="3" t="s">
        <v>23</v>
      </c>
      <c r="E12" s="13" t="s">
        <v>25</v>
      </c>
      <c r="F12" s="1">
        <f t="shared" si="2"/>
        <v>2000</v>
      </c>
      <c r="G12" s="1">
        <f t="shared" si="0"/>
        <v>2080</v>
      </c>
      <c r="H12" s="14">
        <v>0</v>
      </c>
      <c r="I12" s="4">
        <v>1040</v>
      </c>
      <c r="J12" s="4">
        <v>1040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D13" s="3" t="s">
        <v>23</v>
      </c>
      <c r="E13" s="13" t="s">
        <v>26</v>
      </c>
      <c r="F13" s="1">
        <f t="shared" si="2"/>
        <v>5000</v>
      </c>
      <c r="G13" s="1">
        <f t="shared" si="0"/>
        <v>5200</v>
      </c>
      <c r="H13" s="14">
        <v>0</v>
      </c>
      <c r="I13" s="4"/>
      <c r="J13" s="4"/>
      <c r="K13" s="4">
        <v>5200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D14" s="3" t="s">
        <v>23</v>
      </c>
      <c r="E14" s="13" t="s">
        <v>27</v>
      </c>
      <c r="F14" s="1">
        <f t="shared" si="2"/>
        <v>15500</v>
      </c>
      <c r="G14" s="1">
        <f t="shared" si="0"/>
        <v>5200</v>
      </c>
      <c r="H14" s="14">
        <v>10500</v>
      </c>
      <c r="I14" s="4"/>
      <c r="J14" s="4"/>
      <c r="K14" s="4">
        <v>5200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2000</v>
      </c>
      <c r="G15" s="1">
        <f t="shared" si="0"/>
        <v>0</v>
      </c>
      <c r="H15" s="14">
        <v>2000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D16" s="3" t="s">
        <v>23</v>
      </c>
      <c r="E16" s="13" t="s">
        <v>30</v>
      </c>
      <c r="F16" s="1">
        <f t="shared" si="2"/>
        <v>2200</v>
      </c>
      <c r="G16" s="1">
        <f t="shared" si="0"/>
        <v>0</v>
      </c>
      <c r="H16" s="14">
        <v>2200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D17" s="3" t="s">
        <v>23</v>
      </c>
      <c r="E17" s="13" t="s">
        <v>31</v>
      </c>
      <c r="F17" s="1">
        <f t="shared" si="2"/>
        <v>2000</v>
      </c>
      <c r="G17" s="1">
        <f t="shared" ref="G17:G39" si="3">SUM(I17:AM17)</f>
        <v>3120</v>
      </c>
      <c r="H17" s="14">
        <v>-1000</v>
      </c>
      <c r="I17" s="4"/>
      <c r="J17" s="4">
        <v>3120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D18" s="3" t="s">
        <v>32</v>
      </c>
      <c r="E18" s="13" t="s">
        <v>33</v>
      </c>
      <c r="F18" s="1">
        <f t="shared" si="2"/>
        <v>10000</v>
      </c>
      <c r="G18" s="1">
        <f t="shared" si="3"/>
        <v>5200</v>
      </c>
      <c r="H18" s="14">
        <v>5000</v>
      </c>
      <c r="I18" s="4"/>
      <c r="J18" s="4"/>
      <c r="K18" s="4">
        <v>5200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D19" s="3" t="s">
        <v>32</v>
      </c>
      <c r="E19" s="13" t="s">
        <v>34</v>
      </c>
      <c r="F19" s="1">
        <f t="shared" si="2"/>
        <v>2000</v>
      </c>
      <c r="G19" s="1">
        <f t="shared" si="3"/>
        <v>2080</v>
      </c>
      <c r="H19" s="14">
        <v>0</v>
      </c>
      <c r="I19" s="4"/>
      <c r="J19" s="4"/>
      <c r="K19" s="4"/>
      <c r="L19" s="4">
        <v>2080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D20" s="3" t="s">
        <v>32</v>
      </c>
      <c r="E20" s="13" t="s">
        <v>35</v>
      </c>
      <c r="F20" s="1">
        <f t="shared" si="2"/>
        <v>2000</v>
      </c>
      <c r="G20" s="1">
        <f t="shared" si="3"/>
        <v>1040</v>
      </c>
      <c r="H20" s="14">
        <v>1000</v>
      </c>
      <c r="I20" s="4"/>
      <c r="J20" s="4">
        <v>1040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D21" s="3" t="s">
        <v>32</v>
      </c>
      <c r="E21" s="13" t="s">
        <v>36</v>
      </c>
      <c r="F21" s="1">
        <f t="shared" si="2"/>
        <v>5000</v>
      </c>
      <c r="G21" s="1">
        <f t="shared" si="3"/>
        <v>5200</v>
      </c>
      <c r="H21" s="14">
        <v>0</v>
      </c>
      <c r="I21" s="4">
        <v>5200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D22" s="3" t="s">
        <v>32</v>
      </c>
      <c r="E22" s="13" t="s">
        <v>37</v>
      </c>
      <c r="F22" s="1">
        <f t="shared" si="2"/>
        <v>2000</v>
      </c>
      <c r="G22" s="1">
        <f t="shared" si="3"/>
        <v>1040</v>
      </c>
      <c r="H22" s="14">
        <v>1000</v>
      </c>
      <c r="I22" s="4"/>
      <c r="J22" s="4">
        <v>1040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D23" s="3" t="s">
        <v>32</v>
      </c>
      <c r="E23" s="13" t="s">
        <v>38</v>
      </c>
      <c r="F23" s="1">
        <f t="shared" si="2"/>
        <v>6000</v>
      </c>
      <c r="G23" s="1">
        <f t="shared" si="3"/>
        <v>6240</v>
      </c>
      <c r="H23" s="14">
        <v>0</v>
      </c>
      <c r="I23" s="4"/>
      <c r="J23" s="4">
        <v>3120</v>
      </c>
      <c r="K23" s="4"/>
      <c r="L23" s="4">
        <v>3120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D24" s="3" t="s">
        <v>32</v>
      </c>
      <c r="E24" s="13" t="s">
        <v>39</v>
      </c>
      <c r="F24" s="1">
        <f t="shared" si="2"/>
        <v>10000</v>
      </c>
      <c r="G24" s="1">
        <f t="shared" si="3"/>
        <v>10400</v>
      </c>
      <c r="H24" s="14">
        <v>0</v>
      </c>
      <c r="I24" s="4">
        <v>5200</v>
      </c>
      <c r="J24" s="4"/>
      <c r="K24" s="4"/>
      <c r="L24" s="4">
        <v>5200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D25" s="3" t="s">
        <v>32</v>
      </c>
      <c r="E25" s="13" t="s">
        <v>40</v>
      </c>
      <c r="F25" s="1">
        <f t="shared" si="2"/>
        <v>3000</v>
      </c>
      <c r="G25" s="1">
        <f t="shared" si="3"/>
        <v>0</v>
      </c>
      <c r="H25" s="14">
        <v>3000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D26" s="3" t="s">
        <v>32</v>
      </c>
      <c r="E26" s="13" t="s">
        <v>41</v>
      </c>
      <c r="F26" s="1">
        <f t="shared" si="2"/>
        <v>4500</v>
      </c>
      <c r="G26" s="1">
        <f t="shared" si="3"/>
        <v>2080</v>
      </c>
      <c r="H26" s="14">
        <v>2500</v>
      </c>
      <c r="I26" s="4"/>
      <c r="J26" s="4"/>
      <c r="K26" s="4">
        <v>2080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D27" s="3" t="s">
        <v>32</v>
      </c>
      <c r="E27" s="13" t="s">
        <v>42</v>
      </c>
      <c r="F27" s="1">
        <f t="shared" si="2"/>
        <v>2000</v>
      </c>
      <c r="G27" s="1">
        <f>SUM(J27:AM27)</f>
        <v>2080</v>
      </c>
      <c r="H27" s="14">
        <v>0</v>
      </c>
      <c r="J27" s="4">
        <v>2080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D28" s="3" t="s">
        <v>32</v>
      </c>
      <c r="E28" s="13" t="s">
        <v>43</v>
      </c>
      <c r="F28" s="1">
        <f t="shared" si="2"/>
        <v>2000</v>
      </c>
      <c r="G28" s="1">
        <f t="shared" si="3"/>
        <v>0</v>
      </c>
      <c r="H28" s="14">
        <v>2000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D29" s="3" t="s">
        <v>32</v>
      </c>
      <c r="E29" s="13" t="s">
        <v>44</v>
      </c>
      <c r="F29" s="1">
        <f t="shared" si="2"/>
        <v>5500</v>
      </c>
      <c r="G29" s="1">
        <f t="shared" si="3"/>
        <v>5720</v>
      </c>
      <c r="H29" s="14">
        <v>0</v>
      </c>
      <c r="I29" s="19">
        <v>520</v>
      </c>
      <c r="J29" s="4">
        <v>5200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D30" s="3" t="s">
        <v>32</v>
      </c>
      <c r="E30" s="13" t="s">
        <v>45</v>
      </c>
      <c r="F30" s="1">
        <f t="shared" si="2"/>
        <v>5000</v>
      </c>
      <c r="G30" s="1">
        <f t="shared" si="3"/>
        <v>5200</v>
      </c>
      <c r="H30" s="14">
        <v>0</v>
      </c>
      <c r="I30" s="4">
        <v>5200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32</v>
      </c>
      <c r="E31" s="13" t="s">
        <v>46</v>
      </c>
      <c r="F31" s="1">
        <f t="shared" si="2"/>
        <v>3000</v>
      </c>
      <c r="G31" s="1">
        <f t="shared" si="3"/>
        <v>2080</v>
      </c>
      <c r="H31" s="14">
        <v>1000</v>
      </c>
      <c r="I31" s="4"/>
      <c r="J31" s="4"/>
      <c r="K31" s="4"/>
      <c r="L31" s="4">
        <v>2080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D32" s="3" t="s">
        <v>47</v>
      </c>
      <c r="E32" s="13" t="s">
        <v>48</v>
      </c>
      <c r="F32" s="1">
        <f t="shared" si="2"/>
        <v>3000</v>
      </c>
      <c r="G32" s="1">
        <f t="shared" si="3"/>
        <v>2080</v>
      </c>
      <c r="H32" s="14">
        <v>1000</v>
      </c>
      <c r="I32" s="4"/>
      <c r="J32" s="4">
        <v>1040</v>
      </c>
      <c r="K32" s="4"/>
      <c r="L32" s="4">
        <v>1040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47</v>
      </c>
      <c r="E33" s="13" t="s">
        <v>49</v>
      </c>
      <c r="F33" s="1">
        <f t="shared" si="2"/>
        <v>1000</v>
      </c>
      <c r="G33" s="1">
        <f t="shared" si="3"/>
        <v>1040</v>
      </c>
      <c r="H33" s="14">
        <v>0</v>
      </c>
      <c r="I33" s="4">
        <v>1040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D34" s="3" t="s">
        <v>47</v>
      </c>
      <c r="E34" s="13" t="s">
        <v>50</v>
      </c>
      <c r="F34" s="1">
        <f t="shared" si="2"/>
        <v>2000</v>
      </c>
      <c r="G34" s="1">
        <f t="shared" si="3"/>
        <v>0</v>
      </c>
      <c r="H34" s="14">
        <v>2000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47</v>
      </c>
      <c r="E35" s="13" t="s">
        <v>51</v>
      </c>
      <c r="F35" s="1">
        <f t="shared" ref="F35:F67" si="4">G35/1.04+H35</f>
        <v>6000</v>
      </c>
      <c r="G35" s="1">
        <f t="shared" si="3"/>
        <v>6240</v>
      </c>
      <c r="H35" s="14">
        <v>0</v>
      </c>
      <c r="I35" s="4">
        <v>3120</v>
      </c>
      <c r="J35" s="4"/>
      <c r="K35" s="4">
        <v>3120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47</v>
      </c>
      <c r="E36" s="13" t="s">
        <v>52</v>
      </c>
      <c r="F36" s="1">
        <f t="shared" si="4"/>
        <v>0</v>
      </c>
      <c r="G36" s="1">
        <f t="shared" si="3"/>
        <v>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D37" s="3" t="s">
        <v>47</v>
      </c>
      <c r="E37" s="13" t="s">
        <v>53</v>
      </c>
      <c r="F37" s="1">
        <f t="shared" si="4"/>
        <v>3000</v>
      </c>
      <c r="G37" s="1">
        <f t="shared" si="3"/>
        <v>3120</v>
      </c>
      <c r="H37" s="14">
        <v>0</v>
      </c>
      <c r="I37" s="4"/>
      <c r="J37" s="4">
        <v>3120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3"/>
        <v>0</v>
      </c>
      <c r="H38" s="14">
        <v>2000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47</v>
      </c>
      <c r="E39" s="13" t="s">
        <v>55</v>
      </c>
      <c r="F39" s="1">
        <f t="shared" si="4"/>
        <v>4000</v>
      </c>
      <c r="G39" s="1">
        <f t="shared" si="3"/>
        <v>2080</v>
      </c>
      <c r="H39" s="14">
        <v>2000</v>
      </c>
      <c r="I39" s="4">
        <v>2080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47</v>
      </c>
      <c r="E40" s="13" t="s">
        <v>56</v>
      </c>
      <c r="F40" s="1">
        <f t="shared" si="4"/>
        <v>2000</v>
      </c>
      <c r="G40" s="1">
        <f>SUM(J40:AM40)</f>
        <v>2080</v>
      </c>
      <c r="H40" s="14">
        <v>0</v>
      </c>
      <c r="I40" s="4"/>
      <c r="J40" s="4"/>
      <c r="K40" s="4"/>
      <c r="L40" s="4">
        <v>2080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D41" s="3" t="s">
        <v>47</v>
      </c>
      <c r="E41" s="13" t="s">
        <v>57</v>
      </c>
      <c r="F41" s="1">
        <f t="shared" si="4"/>
        <v>10500</v>
      </c>
      <c r="G41" s="1">
        <f t="shared" ref="G41:G53" si="5">SUM(I41:AM41)</f>
        <v>9360</v>
      </c>
      <c r="H41" s="14">
        <v>1500</v>
      </c>
      <c r="I41" s="4">
        <v>3120</v>
      </c>
      <c r="J41" s="4">
        <v>3120</v>
      </c>
      <c r="K41" s="4"/>
      <c r="L41" s="4">
        <v>3120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47</v>
      </c>
      <c r="E42" s="13" t="s">
        <v>58</v>
      </c>
      <c r="F42" s="1">
        <f t="shared" si="4"/>
        <v>0</v>
      </c>
      <c r="G42" s="1">
        <f t="shared" si="5"/>
        <v>0</v>
      </c>
      <c r="H42" s="14">
        <v>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0</v>
      </c>
      <c r="H43" s="14">
        <v>1000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47</v>
      </c>
      <c r="E44" s="13" t="s">
        <v>61</v>
      </c>
      <c r="F44" s="1">
        <f t="shared" si="4"/>
        <v>3000</v>
      </c>
      <c r="G44" s="1">
        <f t="shared" si="5"/>
        <v>3120</v>
      </c>
      <c r="H44" s="14">
        <v>0</v>
      </c>
      <c r="I44" s="4"/>
      <c r="J44" s="4">
        <v>3120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D45" s="3" t="s">
        <v>62</v>
      </c>
      <c r="E45" s="13" t="s">
        <v>63</v>
      </c>
      <c r="F45" s="1">
        <f t="shared" si="4"/>
        <v>6000</v>
      </c>
      <c r="G45" s="1">
        <f t="shared" si="5"/>
        <v>3120</v>
      </c>
      <c r="H45" s="14">
        <v>3000</v>
      </c>
      <c r="I45" s="4"/>
      <c r="J45" s="4"/>
      <c r="K45" s="4">
        <v>3120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62</v>
      </c>
      <c r="E46" s="13" t="s">
        <v>64</v>
      </c>
      <c r="F46" s="1">
        <f t="shared" si="4"/>
        <v>3000</v>
      </c>
      <c r="G46" s="1">
        <f t="shared" si="5"/>
        <v>3120</v>
      </c>
      <c r="H46" s="14">
        <v>0</v>
      </c>
      <c r="I46" s="4"/>
      <c r="J46" s="4"/>
      <c r="K46" s="4"/>
      <c r="L46" s="4">
        <v>3120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D47" s="3" t="s">
        <v>62</v>
      </c>
      <c r="E47" s="13" t="s">
        <v>65</v>
      </c>
      <c r="F47" s="1">
        <f t="shared" si="4"/>
        <v>2000</v>
      </c>
      <c r="G47" s="1">
        <f t="shared" si="5"/>
        <v>2080</v>
      </c>
      <c r="H47" s="14">
        <v>0</v>
      </c>
      <c r="I47" s="4"/>
      <c r="J47" s="4"/>
      <c r="K47" s="4">
        <v>2080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D48" s="3" t="s">
        <v>62</v>
      </c>
      <c r="E48" s="13" t="s">
        <v>66</v>
      </c>
      <c r="F48" s="1">
        <f t="shared" si="4"/>
        <v>9000</v>
      </c>
      <c r="G48" s="1">
        <f t="shared" si="5"/>
        <v>6240</v>
      </c>
      <c r="H48" s="14">
        <v>3000</v>
      </c>
      <c r="I48" s="4">
        <v>3120</v>
      </c>
      <c r="J48" s="4"/>
      <c r="K48" s="4"/>
      <c r="L48" s="4">
        <v>3120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D49" s="3" t="s">
        <v>62</v>
      </c>
      <c r="E49" s="13" t="s">
        <v>67</v>
      </c>
      <c r="F49" s="1">
        <f t="shared" si="4"/>
        <v>6000</v>
      </c>
      <c r="G49" s="1">
        <f t="shared" si="5"/>
        <v>3120</v>
      </c>
      <c r="H49" s="14">
        <v>3000</v>
      </c>
      <c r="I49" s="4"/>
      <c r="J49" s="4"/>
      <c r="K49" s="4">
        <v>3120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D50" s="3" t="s">
        <v>62</v>
      </c>
      <c r="E50" s="13" t="s">
        <v>68</v>
      </c>
      <c r="F50" s="1">
        <f t="shared" si="4"/>
        <v>0</v>
      </c>
      <c r="G50" s="1">
        <f t="shared" si="5"/>
        <v>0</v>
      </c>
      <c r="H50" s="14">
        <v>0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62</v>
      </c>
      <c r="E51" s="13" t="s">
        <v>69</v>
      </c>
      <c r="F51" s="1">
        <f t="shared" si="4"/>
        <v>0</v>
      </c>
      <c r="G51" s="1">
        <f t="shared" si="5"/>
        <v>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D52" s="3" t="s">
        <v>62</v>
      </c>
      <c r="E52" s="13" t="s">
        <v>70</v>
      </c>
      <c r="F52" s="1">
        <f t="shared" si="4"/>
        <v>2000</v>
      </c>
      <c r="G52" s="1">
        <f t="shared" si="5"/>
        <v>2080</v>
      </c>
      <c r="H52" s="14">
        <v>0</v>
      </c>
      <c r="I52" s="4"/>
      <c r="J52" s="4">
        <v>1040</v>
      </c>
      <c r="K52" s="4"/>
      <c r="L52" s="4">
        <v>1040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62</v>
      </c>
      <c r="E53" s="13" t="s">
        <v>71</v>
      </c>
      <c r="F53" s="1">
        <f t="shared" si="4"/>
        <v>4000</v>
      </c>
      <c r="G53" s="1">
        <f t="shared" si="5"/>
        <v>2080</v>
      </c>
      <c r="H53" s="14">
        <v>2000</v>
      </c>
      <c r="I53" s="4"/>
      <c r="J53" s="4"/>
      <c r="K53" s="4"/>
      <c r="L53" s="19">
        <v>2080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B54" s="16"/>
      <c r="D54" s="3" t="s">
        <v>62</v>
      </c>
      <c r="E54" s="17" t="s">
        <v>72</v>
      </c>
      <c r="F54" s="1">
        <f t="shared" si="4"/>
        <v>0</v>
      </c>
      <c r="G54" s="1">
        <f t="shared" ref="G54:G74" si="6">SUM(I54:AM54)</f>
        <v>0</v>
      </c>
      <c r="H54" s="14">
        <v>0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D55" s="3" t="s">
        <v>73</v>
      </c>
      <c r="E55" s="13" t="s">
        <v>74</v>
      </c>
      <c r="F55" s="1">
        <f t="shared" si="4"/>
        <v>2000</v>
      </c>
      <c r="G55" s="1">
        <f t="shared" si="6"/>
        <v>2080</v>
      </c>
      <c r="H55" s="14">
        <v>0</v>
      </c>
      <c r="I55" s="4"/>
      <c r="J55" s="4">
        <v>2080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D56" s="3" t="s">
        <v>73</v>
      </c>
      <c r="E56" s="13" t="s">
        <v>75</v>
      </c>
      <c r="F56" s="1">
        <f t="shared" si="4"/>
        <v>10000</v>
      </c>
      <c r="G56" s="1">
        <f t="shared" si="6"/>
        <v>5200</v>
      </c>
      <c r="H56" s="14">
        <v>5000</v>
      </c>
      <c r="I56" s="4"/>
      <c r="J56" s="4"/>
      <c r="K56" s="4"/>
      <c r="L56" s="4">
        <v>5200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73</v>
      </c>
      <c r="E57" s="13" t="s">
        <v>76</v>
      </c>
      <c r="F57" s="1">
        <f t="shared" si="4"/>
        <v>2000</v>
      </c>
      <c r="G57" s="1">
        <f t="shared" si="6"/>
        <v>2080</v>
      </c>
      <c r="H57" s="14">
        <v>0</v>
      </c>
      <c r="I57" s="4">
        <v>2080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16"/>
      <c r="D58" s="3" t="s">
        <v>77</v>
      </c>
      <c r="E58" s="17" t="s">
        <v>78</v>
      </c>
      <c r="F58" s="1">
        <f t="shared" si="4"/>
        <v>5000</v>
      </c>
      <c r="G58" s="1">
        <f t="shared" si="6"/>
        <v>0</v>
      </c>
      <c r="H58" s="14">
        <v>5000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0</v>
      </c>
      <c r="G59" s="1">
        <f t="shared" si="6"/>
        <v>0</v>
      </c>
      <c r="H59" s="14">
        <v>0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16"/>
      <c r="D60" s="3" t="s">
        <v>81</v>
      </c>
      <c r="E60" s="17" t="s">
        <v>82</v>
      </c>
      <c r="F60" s="1">
        <f t="shared" si="4"/>
        <v>4000</v>
      </c>
      <c r="G60" s="1">
        <f t="shared" si="6"/>
        <v>2080</v>
      </c>
      <c r="H60" s="14">
        <v>2000</v>
      </c>
      <c r="I60" s="4"/>
      <c r="J60" s="4"/>
      <c r="K60" s="4"/>
      <c r="L60" s="4">
        <v>2080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B61" s="16"/>
      <c r="D61" s="3" t="s">
        <v>83</v>
      </c>
      <c r="E61" s="17" t="s">
        <v>84</v>
      </c>
      <c r="F61" s="1">
        <f t="shared" si="4"/>
        <v>2000</v>
      </c>
      <c r="G61" s="1">
        <f t="shared" si="6"/>
        <v>0</v>
      </c>
      <c r="H61" s="14">
        <v>2000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85</v>
      </c>
      <c r="E62" s="13" t="s">
        <v>86</v>
      </c>
      <c r="F62" s="1">
        <f t="shared" si="4"/>
        <v>4000</v>
      </c>
      <c r="G62" s="1">
        <f t="shared" si="6"/>
        <v>2080</v>
      </c>
      <c r="H62" s="14">
        <v>2000</v>
      </c>
      <c r="I62" s="4"/>
      <c r="J62" s="4"/>
      <c r="K62" s="4"/>
      <c r="L62" s="4">
        <v>2080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85</v>
      </c>
      <c r="E63" s="13" t="s">
        <v>87</v>
      </c>
      <c r="F63" s="1">
        <f t="shared" si="4"/>
        <v>-2000</v>
      </c>
      <c r="G63" s="1">
        <f t="shared" si="6"/>
        <v>0</v>
      </c>
      <c r="H63" s="14">
        <v>-2000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85</v>
      </c>
      <c r="E64" s="13" t="s">
        <v>88</v>
      </c>
      <c r="F64" s="1">
        <f t="shared" si="4"/>
        <v>2000</v>
      </c>
      <c r="G64" s="1">
        <f t="shared" si="6"/>
        <v>2080</v>
      </c>
      <c r="H64" s="14">
        <v>0</v>
      </c>
      <c r="I64" s="4">
        <v>2080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85</v>
      </c>
      <c r="E65" s="13" t="s">
        <v>89</v>
      </c>
      <c r="F65" s="1">
        <f t="shared" si="4"/>
        <v>1000</v>
      </c>
      <c r="G65" s="1">
        <f t="shared" si="6"/>
        <v>1040</v>
      </c>
      <c r="H65" s="14">
        <v>0</v>
      </c>
      <c r="I65" s="4"/>
      <c r="J65" s="4">
        <v>1040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85</v>
      </c>
      <c r="E66" s="13" t="s">
        <v>90</v>
      </c>
      <c r="F66" s="1">
        <f t="shared" si="4"/>
        <v>10000</v>
      </c>
      <c r="G66" s="1">
        <f t="shared" si="6"/>
        <v>5200</v>
      </c>
      <c r="H66" s="14">
        <v>5000</v>
      </c>
      <c r="I66" s="4"/>
      <c r="J66" s="4"/>
      <c r="K66" s="4">
        <v>5200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85</v>
      </c>
      <c r="E67" s="13" t="s">
        <v>91</v>
      </c>
      <c r="F67" s="1">
        <f t="shared" si="4"/>
        <v>3000</v>
      </c>
      <c r="G67" s="1">
        <f t="shared" si="6"/>
        <v>3120</v>
      </c>
      <c r="H67" s="14">
        <v>0</v>
      </c>
      <c r="I67" s="4"/>
      <c r="J67" s="4">
        <v>3120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0</v>
      </c>
      <c r="G68" s="1">
        <f t="shared" si="6"/>
        <v>0</v>
      </c>
      <c r="H68" s="14">
        <v>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B69" s="16"/>
      <c r="D69" s="3" t="s">
        <v>85</v>
      </c>
      <c r="E69" s="17" t="s">
        <v>93</v>
      </c>
      <c r="F69" s="1">
        <f t="shared" si="7"/>
        <v>2000</v>
      </c>
      <c r="G69" s="1">
        <f t="shared" si="6"/>
        <v>0</v>
      </c>
      <c r="H69" s="14">
        <v>2000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D70" s="3" t="s">
        <v>94</v>
      </c>
      <c r="E70" s="13" t="s">
        <v>95</v>
      </c>
      <c r="F70" s="1">
        <f t="shared" si="7"/>
        <v>4000</v>
      </c>
      <c r="G70" s="1">
        <f t="shared" si="6"/>
        <v>2080</v>
      </c>
      <c r="H70" s="14">
        <v>2000</v>
      </c>
      <c r="I70" s="4">
        <v>1040</v>
      </c>
      <c r="J70" s="4">
        <v>1040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D71" s="3" t="s">
        <v>94</v>
      </c>
      <c r="E71" s="13" t="s">
        <v>96</v>
      </c>
      <c r="F71" s="1">
        <f t="shared" si="7"/>
        <v>9000</v>
      </c>
      <c r="G71" s="1">
        <f t="shared" si="6"/>
        <v>3120</v>
      </c>
      <c r="H71" s="14">
        <v>6000</v>
      </c>
      <c r="I71" s="4"/>
      <c r="J71" s="4"/>
      <c r="K71" s="4"/>
      <c r="L71" s="4">
        <v>3120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D72" s="3" t="s">
        <v>94</v>
      </c>
      <c r="E72" s="13" t="s">
        <v>97</v>
      </c>
      <c r="F72" s="1">
        <f t="shared" si="7"/>
        <v>5000</v>
      </c>
      <c r="G72" s="1">
        <f t="shared" si="6"/>
        <v>2080</v>
      </c>
      <c r="H72" s="14">
        <v>3000</v>
      </c>
      <c r="I72" s="4"/>
      <c r="J72" s="4"/>
      <c r="K72" s="4">
        <v>2080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0</v>
      </c>
      <c r="H73" s="14">
        <v>49000</v>
      </c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4"/>
      <c r="V73" s="23"/>
      <c r="W73" s="23"/>
      <c r="X73" s="23"/>
      <c r="Y73" s="23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16"/>
      <c r="D74" s="3" t="s">
        <v>99</v>
      </c>
      <c r="E74" s="17" t="s">
        <v>100</v>
      </c>
      <c r="F74" s="1">
        <f t="shared" si="7"/>
        <v>2000</v>
      </c>
      <c r="G74" s="1">
        <f t="shared" si="6"/>
        <v>2080</v>
      </c>
      <c r="H74" s="14">
        <v>0</v>
      </c>
      <c r="I74" s="4">
        <v>1040</v>
      </c>
      <c r="J74" s="4"/>
      <c r="K74" s="4">
        <v>1040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B76" s="16"/>
      <c r="D76" s="3" t="s">
        <v>102</v>
      </c>
      <c r="E76" s="17" t="s">
        <v>103</v>
      </c>
      <c r="F76" s="1">
        <f t="shared" si="7"/>
        <v>0</v>
      </c>
      <c r="G76" s="1">
        <f t="shared" si="8"/>
        <v>2080</v>
      </c>
      <c r="H76" s="14">
        <v>-2000</v>
      </c>
      <c r="I76" s="4"/>
      <c r="J76" s="4">
        <v>2080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2000</v>
      </c>
      <c r="G78" s="1">
        <f t="shared" si="8"/>
        <v>2080</v>
      </c>
      <c r="H78" s="14">
        <v>0</v>
      </c>
      <c r="I78" s="19">
        <v>2080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B79" s="16"/>
      <c r="D79" s="3" t="s">
        <v>62</v>
      </c>
      <c r="E79" s="17" t="s">
        <v>107</v>
      </c>
      <c r="F79" s="1">
        <f t="shared" si="7"/>
        <v>0</v>
      </c>
      <c r="G79" s="1">
        <f t="shared" si="8"/>
        <v>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B80" s="16"/>
      <c r="D80" s="3" t="s">
        <v>77</v>
      </c>
      <c r="E80" s="17" t="s">
        <v>108</v>
      </c>
      <c r="F80" s="1">
        <f t="shared" si="7"/>
        <v>3000</v>
      </c>
      <c r="G80" s="1">
        <f t="shared" si="8"/>
        <v>0</v>
      </c>
      <c r="H80" s="14">
        <v>3000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16"/>
      <c r="D81" s="3" t="s">
        <v>62</v>
      </c>
      <c r="E81" s="17" t="s">
        <v>109</v>
      </c>
      <c r="F81" s="1">
        <f t="shared" si="7"/>
        <v>0</v>
      </c>
      <c r="G81" s="1">
        <f t="shared" si="8"/>
        <v>0</v>
      </c>
      <c r="H81" s="14">
        <v>0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B82" s="16"/>
      <c r="D82" s="3" t="s">
        <v>110</v>
      </c>
      <c r="E82" s="17" t="s">
        <v>111</v>
      </c>
      <c r="F82" s="1">
        <f t="shared" si="7"/>
        <v>0</v>
      </c>
      <c r="G82" s="1">
        <f t="shared" si="8"/>
        <v>0</v>
      </c>
      <c r="H82" s="14">
        <v>0</v>
      </c>
      <c r="I82" s="23"/>
      <c r="J82" s="23"/>
      <c r="K82" s="23"/>
      <c r="L82" s="23"/>
      <c r="M82" s="23"/>
      <c r="N82" s="23"/>
      <c r="O82" s="22"/>
      <c r="P82" s="23"/>
      <c r="Q82" s="23"/>
      <c r="R82" s="23"/>
      <c r="S82" s="23"/>
      <c r="T82" s="23"/>
      <c r="U82" s="23"/>
      <c r="V82" s="23"/>
      <c r="W82" s="22"/>
      <c r="X82" s="23"/>
      <c r="Y82" s="23"/>
      <c r="Z82" s="23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16"/>
      <c r="D83" s="3" t="s">
        <v>105</v>
      </c>
      <c r="E83" s="17" t="s">
        <v>112</v>
      </c>
      <c r="F83" s="1">
        <f t="shared" si="7"/>
        <v>5000</v>
      </c>
      <c r="G83" s="1">
        <f>SUM(J83:AM83)</f>
        <v>5200</v>
      </c>
      <c r="H83" s="14">
        <v>0</v>
      </c>
      <c r="J83" s="4">
        <v>5200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B86" s="16"/>
      <c r="C86" s="3">
        <v>683909556</v>
      </c>
      <c r="E86" s="17" t="s">
        <v>115</v>
      </c>
      <c r="F86" s="1">
        <f t="shared" si="7"/>
        <v>0</v>
      </c>
      <c r="G86" s="1">
        <f t="shared" si="8"/>
        <v>0</v>
      </c>
      <c r="H86" s="14">
        <v>0</v>
      </c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B87" s="16"/>
      <c r="E87" s="17" t="s">
        <v>116</v>
      </c>
      <c r="F87" s="1">
        <f t="shared" si="7"/>
        <v>0</v>
      </c>
      <c r="G87" s="1">
        <f t="shared" si="8"/>
        <v>0</v>
      </c>
      <c r="H87" s="14">
        <v>0</v>
      </c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E88" s="13" t="s">
        <v>117</v>
      </c>
      <c r="F88" s="1">
        <f t="shared" si="7"/>
        <v>1000</v>
      </c>
      <c r="G88" s="1">
        <f t="shared" si="8"/>
        <v>0</v>
      </c>
      <c r="H88" s="14">
        <v>1000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3" t="s">
        <v>118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3" t="s">
        <v>119</v>
      </c>
      <c r="F90" s="1">
        <f t="shared" si="7"/>
        <v>0</v>
      </c>
      <c r="G90" s="1">
        <f t="shared" si="8"/>
        <v>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D91" s="3" t="s">
        <v>105</v>
      </c>
      <c r="E91" s="13" t="s">
        <v>120</v>
      </c>
      <c r="F91" s="1">
        <f t="shared" si="7"/>
        <v>0</v>
      </c>
      <c r="G91" s="1">
        <f t="shared" si="8"/>
        <v>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73</v>
      </c>
      <c r="E92" s="13" t="s">
        <v>121</v>
      </c>
      <c r="F92" s="1">
        <f t="shared" si="7"/>
        <v>5000</v>
      </c>
      <c r="G92" s="1">
        <f t="shared" si="8"/>
        <v>5200</v>
      </c>
      <c r="H92" s="14">
        <v>0</v>
      </c>
      <c r="I92" s="4"/>
      <c r="J92" s="4"/>
      <c r="K92" s="4">
        <v>5200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683909558</v>
      </c>
      <c r="E93" s="13" t="s">
        <v>122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3" t="s">
        <v>123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21" t="s">
        <v>124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C96" s="3">
        <v>685671039</v>
      </c>
      <c r="D96" s="3" t="s">
        <v>81</v>
      </c>
      <c r="E96" s="3" t="s">
        <v>125</v>
      </c>
      <c r="F96" s="1">
        <f t="shared" si="7"/>
        <v>2000</v>
      </c>
      <c r="G96" s="1">
        <f t="shared" si="8"/>
        <v>0</v>
      </c>
      <c r="H96" s="5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9:41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9:41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9:41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9:41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9:41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9:41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9:41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9:41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9:41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9:41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9:41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9:41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9:41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9:41"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9:41"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9:41"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9:41"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9:41"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2021-02-04T21:32:02Z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