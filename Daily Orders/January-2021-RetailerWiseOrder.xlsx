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<sst xmlns="http://schemas.openxmlformats.org/spreadsheetml/2006/main" count="180" uniqueCount="121">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</sst>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[$-409]d\-mmm;@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2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6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L19" activePane="bottomRight" state="frozen"/>
      <selection/>
      <selection pane="topRight"/>
      <selection pane="bottomLeft"/>
      <selection pane="bottomRight" activeCell="D19" sqref="D19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531000</v>
      </c>
      <c r="C2" s="11">
        <f>SUM(F3:F120)</f>
        <v>428480</v>
      </c>
      <c r="D2" s="12" t="s">
        <v>7</v>
      </c>
      <c r="E2" s="10">
        <f>F2/1.04+G2</f>
        <v>531000</v>
      </c>
      <c r="F2" s="11">
        <f t="shared" ref="F2:F16" si="0">SUM(H2:AL2)</f>
        <v>428480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69680</v>
      </c>
      <c r="N2" s="2">
        <f t="shared" si="1"/>
        <v>43680</v>
      </c>
      <c r="O2" s="2">
        <f t="shared" si="1"/>
        <v>57200</v>
      </c>
      <c r="P2" s="2">
        <f t="shared" si="1"/>
        <v>18720</v>
      </c>
      <c r="Q2" s="2">
        <f t="shared" si="1"/>
        <v>15600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6000</v>
      </c>
      <c r="F3" s="14">
        <f t="shared" si="0"/>
        <v>3120</v>
      </c>
      <c r="G3" s="15">
        <v>3000</v>
      </c>
      <c r="H3" s="4"/>
      <c r="I3" s="4"/>
      <c r="J3" s="4"/>
      <c r="K3" s="4"/>
      <c r="L3" s="4"/>
      <c r="M3" s="4">
        <v>3120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0</v>
      </c>
      <c r="F4" s="14">
        <f t="shared" si="0"/>
        <v>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4000</v>
      </c>
      <c r="F5" s="14">
        <f t="shared" si="0"/>
        <v>4160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>
        <v>1040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8000</v>
      </c>
      <c r="F6" s="14">
        <f t="shared" si="0"/>
        <v>5200</v>
      </c>
      <c r="G6" s="15">
        <v>3000</v>
      </c>
      <c r="H6" s="4"/>
      <c r="I6" s="4"/>
      <c r="J6" s="4"/>
      <c r="K6" s="4"/>
      <c r="L6" s="4"/>
      <c r="M6" s="4">
        <v>5200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28000</v>
      </c>
      <c r="F7" s="14">
        <f t="shared" si="0"/>
        <v>18720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>
        <v>2080</v>
      </c>
      <c r="O7" s="4">
        <v>4160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2000</v>
      </c>
      <c r="F8" s="14">
        <f t="shared" si="0"/>
        <v>2080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2000</v>
      </c>
      <c r="F9" s="14">
        <f t="shared" si="0"/>
        <v>2080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10000</v>
      </c>
      <c r="F10" s="14">
        <f t="shared" si="0"/>
        <v>10400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>
        <v>5200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4000</v>
      </c>
      <c r="F11" s="14">
        <f t="shared" si="0"/>
        <v>2080</v>
      </c>
      <c r="G11" s="15">
        <v>2000</v>
      </c>
      <c r="H11" s="4"/>
      <c r="I11" s="4"/>
      <c r="J11" s="4"/>
      <c r="K11" s="4"/>
      <c r="L11" s="4"/>
      <c r="M11" s="4">
        <v>2080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3000</v>
      </c>
      <c r="F12" s="14">
        <f t="shared" si="0"/>
        <v>3120</v>
      </c>
      <c r="G12" s="15">
        <v>0</v>
      </c>
      <c r="H12" s="4"/>
      <c r="I12" s="4">
        <v>1040</v>
      </c>
      <c r="J12" s="4"/>
      <c r="K12" s="4"/>
      <c r="L12" s="4">
        <v>1040</v>
      </c>
      <c r="N12" s="4">
        <v>1040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10000</v>
      </c>
      <c r="F13" s="14">
        <f t="shared" si="0"/>
        <v>10400</v>
      </c>
      <c r="G13" s="15">
        <v>0</v>
      </c>
      <c r="H13" s="4"/>
      <c r="I13" s="4">
        <v>5200</v>
      </c>
      <c r="J13" s="4"/>
      <c r="K13" s="4"/>
      <c r="L13" s="4"/>
      <c r="M13" s="4"/>
      <c r="N13" s="4">
        <v>5200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20000</v>
      </c>
      <c r="F14" s="14">
        <f t="shared" si="0"/>
        <v>15600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>
        <v>5200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2000</v>
      </c>
      <c r="F15" s="14">
        <f t="shared" si="0"/>
        <v>2080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4" t="s">
        <v>22</v>
      </c>
      <c r="D16" s="1" t="s">
        <v>29</v>
      </c>
      <c r="E16" s="14">
        <f t="shared" si="2"/>
        <v>1500</v>
      </c>
      <c r="F16" s="14">
        <f t="shared" si="0"/>
        <v>1040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9000</v>
      </c>
      <c r="F17" s="14">
        <f t="shared" ref="F17:F35" si="3">SUM(H17:AL17)</f>
        <v>9360</v>
      </c>
      <c r="G17" s="15">
        <v>0</v>
      </c>
      <c r="H17" s="4">
        <v>3120</v>
      </c>
      <c r="I17" s="4"/>
      <c r="J17" s="4"/>
      <c r="K17" s="4"/>
      <c r="L17" s="4"/>
      <c r="M17" s="4"/>
      <c r="N17" s="4">
        <v>3120</v>
      </c>
      <c r="O17" s="4"/>
      <c r="P17" s="4"/>
      <c r="Q17" s="4">
        <v>3120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10000</v>
      </c>
      <c r="F18" s="14">
        <f t="shared" si="3"/>
        <v>5200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4000</v>
      </c>
      <c r="F19" s="14">
        <f t="shared" si="3"/>
        <v>4160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>
        <v>2080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3000</v>
      </c>
      <c r="F20" s="14">
        <f t="shared" si="3"/>
        <v>3120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10000</v>
      </c>
      <c r="F21" s="14">
        <f t="shared" si="3"/>
        <v>5200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3000</v>
      </c>
      <c r="F22" s="14">
        <f t="shared" si="3"/>
        <v>3120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>
        <v>1040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3000</v>
      </c>
      <c r="F23" s="14">
        <f t="shared" si="3"/>
        <v>3120</v>
      </c>
      <c r="G23" s="15">
        <v>0</v>
      </c>
      <c r="H23" s="4"/>
      <c r="I23" s="4"/>
      <c r="J23" s="4"/>
      <c r="K23" s="4"/>
      <c r="L23" s="4"/>
      <c r="M23" s="4"/>
      <c r="N23" s="4"/>
      <c r="O23" s="4">
        <v>3120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15000</v>
      </c>
      <c r="F24" s="14">
        <f t="shared" si="3"/>
        <v>10400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>
        <v>5200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12000</v>
      </c>
      <c r="F25" s="14">
        <f t="shared" si="3"/>
        <v>9360</v>
      </c>
      <c r="G25" s="15">
        <v>3000</v>
      </c>
      <c r="H25" s="4"/>
      <c r="I25" s="4"/>
      <c r="J25" s="4">
        <v>3120</v>
      </c>
      <c r="K25" s="4"/>
      <c r="L25" s="4"/>
      <c r="M25" s="4"/>
      <c r="N25" s="4">
        <v>3120</v>
      </c>
      <c r="O25" s="4"/>
      <c r="P25" s="4">
        <v>3120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4500</v>
      </c>
      <c r="F26" s="14">
        <f t="shared" si="3"/>
        <v>4160</v>
      </c>
      <c r="G26" s="15">
        <v>500</v>
      </c>
      <c r="H26" s="4">
        <v>2080</v>
      </c>
      <c r="I26" s="4"/>
      <c r="J26" s="4"/>
      <c r="K26" s="4"/>
      <c r="L26" s="4"/>
      <c r="M26" s="4"/>
      <c r="N26" s="4">
        <v>2080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2000</v>
      </c>
      <c r="F27" s="14">
        <f t="shared" si="3"/>
        <v>2080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4000</v>
      </c>
      <c r="F28" s="14">
        <f t="shared" si="3"/>
        <v>4160</v>
      </c>
      <c r="G28" s="15">
        <v>0</v>
      </c>
      <c r="H28" s="4"/>
      <c r="I28" s="4">
        <v>2080</v>
      </c>
      <c r="J28" s="4"/>
      <c r="K28" s="4"/>
      <c r="L28" s="4"/>
      <c r="M28" s="4"/>
      <c r="N28" s="4">
        <v>2080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5000</v>
      </c>
      <c r="F29" s="14">
        <f t="shared" si="3"/>
        <v>5200</v>
      </c>
      <c r="G29" s="15">
        <v>0</v>
      </c>
      <c r="H29" s="4"/>
      <c r="I29" s="4"/>
      <c r="J29" s="4"/>
      <c r="K29" s="4"/>
      <c r="L29" s="4"/>
      <c r="M29" s="4">
        <v>5200</v>
      </c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25000</v>
      </c>
      <c r="F30" s="14">
        <f t="shared" si="3"/>
        <v>20800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>
        <v>5200</v>
      </c>
      <c r="N30" s="4"/>
      <c r="O30" s="4"/>
      <c r="P30" s="4">
        <v>5200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2000</v>
      </c>
      <c r="F31" s="14">
        <f t="shared" si="3"/>
        <v>2080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4000</v>
      </c>
      <c r="F32" s="14">
        <f t="shared" si="3"/>
        <v>3120</v>
      </c>
      <c r="G32" s="15">
        <v>1000</v>
      </c>
      <c r="H32" s="4"/>
      <c r="I32" s="4"/>
      <c r="J32" s="4"/>
      <c r="K32" s="4"/>
      <c r="L32" s="4"/>
      <c r="N32" s="4">
        <v>3120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2000</v>
      </c>
      <c r="F33" s="14">
        <f t="shared" si="3"/>
        <v>2080</v>
      </c>
      <c r="G33" s="15">
        <v>0</v>
      </c>
      <c r="H33" s="4"/>
      <c r="I33" s="4"/>
      <c r="J33" s="4">
        <v>1040</v>
      </c>
      <c r="K33" s="4"/>
      <c r="L33" s="4"/>
      <c r="M33" s="4">
        <v>1040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3000</v>
      </c>
      <c r="F34" s="14">
        <f t="shared" si="3"/>
        <v>2080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9000</v>
      </c>
      <c r="F35" s="14">
        <f t="shared" si="3"/>
        <v>9360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>
        <v>3120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1000</v>
      </c>
      <c r="F36" s="14">
        <f t="shared" ref="F36:F73" si="5">SUM(H36:AL36)</f>
        <v>1040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>
        <v>1040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9000</v>
      </c>
      <c r="F37" s="14">
        <f t="shared" si="5"/>
        <v>6240</v>
      </c>
      <c r="G37" s="15">
        <v>3000</v>
      </c>
      <c r="H37" s="4"/>
      <c r="I37" s="4"/>
      <c r="J37" s="4"/>
      <c r="K37" s="4"/>
      <c r="L37" s="18">
        <v>3120</v>
      </c>
      <c r="M37" s="4"/>
      <c r="N37" s="4">
        <v>3120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0</v>
      </c>
      <c r="F38" s="14">
        <f t="shared" si="5"/>
        <v>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6000</v>
      </c>
      <c r="F39" s="14">
        <f t="shared" si="5"/>
        <v>6240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>
        <v>2080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2000</v>
      </c>
      <c r="F40" s="14">
        <f>SUM(I40:AL40)</f>
        <v>2080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15000</v>
      </c>
      <c r="F41" s="14">
        <f t="shared" si="5"/>
        <v>12480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>
        <v>3120</v>
      </c>
      <c r="N41" s="4"/>
      <c r="O41" s="4">
        <v>3120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12000</v>
      </c>
      <c r="F44" s="14">
        <f t="shared" si="5"/>
        <v>9360</v>
      </c>
      <c r="G44" s="15">
        <v>3000</v>
      </c>
      <c r="H44" s="4"/>
      <c r="I44" s="4"/>
      <c r="J44" s="4">
        <v>3120</v>
      </c>
      <c r="K44" s="4"/>
      <c r="L44" s="4"/>
      <c r="M44" s="4">
        <v>3120</v>
      </c>
      <c r="N44" s="4"/>
      <c r="O44" s="4"/>
      <c r="P44" s="4"/>
      <c r="Q44" s="4">
        <v>3120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12000</v>
      </c>
      <c r="F45" s="14">
        <f t="shared" si="5"/>
        <v>9360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>
        <v>3120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6000</v>
      </c>
      <c r="F46" s="14">
        <f t="shared" si="5"/>
        <v>6240</v>
      </c>
      <c r="G46" s="15">
        <v>0</v>
      </c>
      <c r="H46" s="4"/>
      <c r="I46" s="4">
        <v>3120</v>
      </c>
      <c r="J46" s="4"/>
      <c r="K46" s="4"/>
      <c r="L46" s="4"/>
      <c r="M46" s="4">
        <v>3120</v>
      </c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2000</v>
      </c>
      <c r="F47" s="14">
        <f t="shared" si="5"/>
        <v>2080</v>
      </c>
      <c r="G47" s="15">
        <v>0</v>
      </c>
      <c r="H47" s="4"/>
      <c r="I47" s="4"/>
      <c r="J47" s="4"/>
      <c r="K47" s="4"/>
      <c r="L47" s="4"/>
      <c r="M47" s="4">
        <v>2080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9000</v>
      </c>
      <c r="F48" s="14">
        <f t="shared" si="5"/>
        <v>6240</v>
      </c>
      <c r="G48" s="15">
        <v>3000</v>
      </c>
      <c r="H48" s="4">
        <v>3120</v>
      </c>
      <c r="I48" s="4"/>
      <c r="J48" s="4"/>
      <c r="K48" s="4"/>
      <c r="L48" s="4"/>
      <c r="M48" s="4">
        <v>3120</v>
      </c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9000</v>
      </c>
      <c r="F49" s="14">
        <f t="shared" si="5"/>
        <v>6240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>
        <v>3120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4000</v>
      </c>
      <c r="F50" s="14">
        <f t="shared" si="5"/>
        <v>2080</v>
      </c>
      <c r="G50" s="15">
        <v>2000</v>
      </c>
      <c r="H50" s="4"/>
      <c r="I50" s="4"/>
      <c r="J50" s="4"/>
      <c r="K50" s="4"/>
      <c r="L50" s="4"/>
      <c r="M50" s="4"/>
      <c r="N50" s="4"/>
      <c r="O50" s="4">
        <v>2080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2000</v>
      </c>
      <c r="F51" s="14">
        <f t="shared" si="5"/>
        <v>2080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>
        <v>2080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10000</v>
      </c>
      <c r="F52" s="14">
        <f t="shared" si="5"/>
        <v>7280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>
        <v>1040</v>
      </c>
      <c r="N52" s="4"/>
      <c r="O52" s="4">
        <v>1040</v>
      </c>
      <c r="P52" s="4"/>
      <c r="Q52" s="4">
        <v>1040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16" t="s">
        <v>60</v>
      </c>
      <c r="D53" s="17" t="s">
        <v>69</v>
      </c>
      <c r="E53" s="14">
        <f t="shared" si="4"/>
        <v>5000</v>
      </c>
      <c r="F53" s="14">
        <f t="shared" si="5"/>
        <v>4160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>
        <v>1040</v>
      </c>
      <c r="O53" s="4"/>
      <c r="P53" s="4"/>
      <c r="Q53" s="4">
        <v>1040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4000</v>
      </c>
      <c r="F54" s="14">
        <f t="shared" si="5"/>
        <v>2080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15000</v>
      </c>
      <c r="F55" s="14">
        <f t="shared" si="5"/>
        <v>15600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>
        <v>5200</v>
      </c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2000</v>
      </c>
      <c r="F56" s="14">
        <f t="shared" si="5"/>
        <v>2080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4" t="s">
        <v>74</v>
      </c>
      <c r="D57" s="17" t="s">
        <v>75</v>
      </c>
      <c r="E57" s="14">
        <f t="shared" si="4"/>
        <v>15000</v>
      </c>
      <c r="F57" s="14">
        <f t="shared" si="5"/>
        <v>10400</v>
      </c>
      <c r="G57" s="15">
        <v>5000</v>
      </c>
      <c r="H57" s="4"/>
      <c r="I57" s="4">
        <v>5200</v>
      </c>
      <c r="J57" s="4"/>
      <c r="K57" s="4"/>
      <c r="L57" s="4"/>
      <c r="M57" s="4">
        <v>5200</v>
      </c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9000</v>
      </c>
      <c r="F59" s="14">
        <f t="shared" si="5"/>
        <v>8320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>
        <v>2080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4000</v>
      </c>
      <c r="F60" s="14">
        <f t="shared" si="5"/>
        <v>2080</v>
      </c>
      <c r="G60" s="15">
        <v>2000</v>
      </c>
      <c r="H60" s="4"/>
      <c r="I60" s="4"/>
      <c r="J60" s="4"/>
      <c r="K60" s="4"/>
      <c r="L60" s="4"/>
      <c r="M60" s="4"/>
      <c r="N60" s="4">
        <v>2080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4000</v>
      </c>
      <c r="F61" s="14">
        <f t="shared" si="5"/>
        <v>4160</v>
      </c>
      <c r="G61" s="15">
        <v>0</v>
      </c>
      <c r="H61" s="4"/>
      <c r="I61" s="4"/>
      <c r="J61" s="4">
        <v>2080</v>
      </c>
      <c r="K61" s="4"/>
      <c r="L61" s="4"/>
      <c r="M61" s="4"/>
      <c r="N61" s="4">
        <v>2080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4000</v>
      </c>
      <c r="F62" s="14">
        <f t="shared" si="5"/>
        <v>4160</v>
      </c>
      <c r="G62" s="15">
        <v>0</v>
      </c>
      <c r="H62" s="4"/>
      <c r="I62" s="4">
        <v>2080</v>
      </c>
      <c r="J62" s="4"/>
      <c r="K62" s="4"/>
      <c r="L62" s="4"/>
      <c r="M62" s="4">
        <v>2080</v>
      </c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2000</v>
      </c>
      <c r="F63" s="14">
        <f t="shared" si="5"/>
        <v>2080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1000</v>
      </c>
      <c r="F64" s="14">
        <f t="shared" si="5"/>
        <v>1040</v>
      </c>
      <c r="G64" s="15">
        <v>0</v>
      </c>
      <c r="H64" s="4"/>
      <c r="I64" s="4"/>
      <c r="J64" s="4"/>
      <c r="K64" s="4"/>
      <c r="L64" s="4"/>
      <c r="M64" s="4"/>
      <c r="N64" s="4">
        <v>1040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20000</v>
      </c>
      <c r="F65" s="14">
        <f t="shared" si="5"/>
        <v>20800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>
        <v>5200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9000</v>
      </c>
      <c r="F66" s="14">
        <f t="shared" si="5"/>
        <v>6240</v>
      </c>
      <c r="G66" s="15">
        <v>3000</v>
      </c>
      <c r="H66" s="4"/>
      <c r="I66" s="4">
        <v>3120</v>
      </c>
      <c r="J66" s="4"/>
      <c r="K66" s="4"/>
      <c r="L66" s="4"/>
      <c r="N66" s="4">
        <v>3120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4" t="s">
        <v>81</v>
      </c>
      <c r="D67" s="17" t="s">
        <v>88</v>
      </c>
      <c r="E67" s="14">
        <f t="shared" ref="E67:E95" si="6">F67/1.04+G67</f>
        <v>6000</v>
      </c>
      <c r="F67" s="14">
        <f t="shared" si="5"/>
        <v>4160</v>
      </c>
      <c r="G67" s="15">
        <v>2000</v>
      </c>
      <c r="H67" s="4">
        <v>2080</v>
      </c>
      <c r="I67" s="4"/>
      <c r="J67" s="4"/>
      <c r="K67" s="4"/>
      <c r="L67" s="4"/>
      <c r="M67" s="4">
        <v>2080</v>
      </c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16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7500</v>
      </c>
      <c r="F69" s="14">
        <f t="shared" si="5"/>
        <v>6240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9000</v>
      </c>
      <c r="F70" s="14">
        <f t="shared" si="5"/>
        <v>9360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>
        <v>3120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8000</v>
      </c>
      <c r="F71" s="14">
        <f t="shared" si="5"/>
        <v>6240</v>
      </c>
      <c r="G71" s="15">
        <v>2000</v>
      </c>
      <c r="H71" s="4"/>
      <c r="I71" s="4">
        <v>2080</v>
      </c>
      <c r="J71" s="4"/>
      <c r="K71" s="4"/>
      <c r="L71" s="4"/>
      <c r="M71" s="4">
        <v>2080</v>
      </c>
      <c r="N71" s="4"/>
      <c r="O71" s="4">
        <v>2080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C72" s="16"/>
      <c r="D72" s="17" t="s">
        <v>94</v>
      </c>
      <c r="E72" s="14">
        <f t="shared" si="6"/>
        <v>37000</v>
      </c>
      <c r="F72" s="14">
        <f t="shared" si="5"/>
        <v>10400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>
        <v>2080</v>
      </c>
      <c r="N72" s="20"/>
      <c r="O72" s="20"/>
      <c r="P72" s="20">
        <v>2080</v>
      </c>
      <c r="Q72" s="20"/>
      <c r="R72" s="20"/>
      <c r="S72" s="20"/>
      <c r="T72" s="21"/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4" t="s">
        <v>95</v>
      </c>
      <c r="D73" s="17" t="s">
        <v>96</v>
      </c>
      <c r="E73" s="14">
        <f t="shared" si="6"/>
        <v>3000</v>
      </c>
      <c r="F73" s="14">
        <f t="shared" si="5"/>
        <v>3120</v>
      </c>
      <c r="G73" s="15">
        <v>0</v>
      </c>
      <c r="H73" s="4"/>
      <c r="I73" s="4"/>
      <c r="J73" s="4"/>
      <c r="K73" s="4"/>
      <c r="L73" s="4"/>
      <c r="M73" s="4"/>
      <c r="N73" s="18">
        <v>3120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C74" s="4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4" t="s">
        <v>98</v>
      </c>
      <c r="D75" s="17" t="s">
        <v>99</v>
      </c>
      <c r="E75" s="14">
        <f t="shared" si="6"/>
        <v>4000</v>
      </c>
      <c r="F75" s="14">
        <f t="shared" si="7"/>
        <v>4160</v>
      </c>
      <c r="G75" s="15">
        <v>0</v>
      </c>
      <c r="H75" s="4"/>
      <c r="I75" s="4"/>
      <c r="J75" s="4"/>
      <c r="K75" s="4"/>
      <c r="L75" s="18">
        <v>1040</v>
      </c>
      <c r="M75" s="4">
        <v>1040</v>
      </c>
      <c r="N75" s="4"/>
      <c r="O75" s="4">
        <v>2080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C76" s="4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C77" s="4"/>
      <c r="D77" s="17" t="s">
        <v>101</v>
      </c>
      <c r="E77" s="14">
        <f t="shared" si="6"/>
        <v>2000</v>
      </c>
      <c r="F77" s="14">
        <f t="shared" si="7"/>
        <v>2080</v>
      </c>
      <c r="G77" s="15">
        <v>0</v>
      </c>
      <c r="H77" s="4"/>
      <c r="I77" s="4"/>
      <c r="J77" s="4"/>
      <c r="K77" s="4"/>
      <c r="L77" s="4"/>
      <c r="M77" s="4">
        <v>2080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4"/>
      <c r="D78" s="17" t="s">
        <v>102</v>
      </c>
      <c r="E78" s="14">
        <f t="shared" si="6"/>
        <v>2000</v>
      </c>
      <c r="F78" s="14">
        <f t="shared" si="7"/>
        <v>2080</v>
      </c>
      <c r="G78" s="15">
        <v>0</v>
      </c>
      <c r="H78" s="4"/>
      <c r="I78" s="4"/>
      <c r="J78" s="4"/>
      <c r="K78" s="4"/>
      <c r="L78" s="4"/>
      <c r="M78" s="4"/>
      <c r="N78" s="4"/>
      <c r="O78" s="18">
        <v>2080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C79" s="4"/>
      <c r="D79" s="17" t="s">
        <v>103</v>
      </c>
      <c r="E79" s="14">
        <f t="shared" si="6"/>
        <v>0</v>
      </c>
      <c r="F79" s="14">
        <f t="shared" si="7"/>
        <v>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4"/>
      <c r="D80" s="17" t="s">
        <v>104</v>
      </c>
      <c r="E80" s="14">
        <f t="shared" si="6"/>
        <v>0</v>
      </c>
      <c r="F80" s="14">
        <f t="shared" si="7"/>
        <v>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4"/>
      <c r="D81" s="17" t="s">
        <v>105</v>
      </c>
      <c r="E81" s="14">
        <f t="shared" si="6"/>
        <v>2000</v>
      </c>
      <c r="F81" s="14">
        <f t="shared" si="7"/>
        <v>2080</v>
      </c>
      <c r="G81" s="15">
        <v>0</v>
      </c>
      <c r="H81" s="21"/>
      <c r="I81" s="21"/>
      <c r="J81" s="21"/>
      <c r="K81" s="21"/>
      <c r="L81" s="21"/>
      <c r="M81" s="21"/>
      <c r="N81" s="20">
        <v>2080</v>
      </c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4" t="s">
        <v>106</v>
      </c>
      <c r="D82" s="17" t="s">
        <v>107</v>
      </c>
      <c r="E82" s="14">
        <f t="shared" si="6"/>
        <v>15000</v>
      </c>
      <c r="F82" s="14">
        <f t="shared" si="7"/>
        <v>15600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>
        <v>5200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C83" s="4"/>
      <c r="D83" s="17" t="s">
        <v>108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C84" s="4"/>
      <c r="D84" s="17" t="s">
        <v>109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4" t="s">
        <v>106</v>
      </c>
      <c r="D85" s="17" t="s">
        <v>110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C86" s="4"/>
      <c r="D86" s="17" t="s">
        <v>111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C87" s="4"/>
      <c r="D87" s="1" t="s">
        <v>112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C88" s="4"/>
      <c r="D88" s="1" t="s">
        <v>113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C89" s="4"/>
      <c r="D89" s="1" t="s">
        <v>114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C90" s="4"/>
      <c r="D90" s="1" t="s">
        <v>115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C91" s="4"/>
      <c r="D91" s="1" t="s">
        <v>116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C92" s="4"/>
      <c r="D92" s="1" t="s">
        <v>117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C93" s="4"/>
      <c r="D93" s="1" t="s">
        <v>118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C94" s="4"/>
      <c r="D94" s="22" t="s">
        <v>119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D95" s="3" t="s">
        <v>120</v>
      </c>
      <c r="E95" s="14">
        <f t="shared" si="6"/>
        <v>4000</v>
      </c>
      <c r="F95" s="14">
        <f t="shared" si="7"/>
        <v>4160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18">
        <v>2080</v>
      </c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2021-01-10T03:40:52Z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