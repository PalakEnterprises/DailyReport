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J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C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J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<sst xmlns="http://schemas.openxmlformats.org/spreadsheetml/2006/main" count="188" uniqueCount="124">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</sst>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3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2" borderId="2" applyNumberFormat="0" applyAlignment="0" applyProtection="0">
      <alignment vertical="center"/>
    </xf>
    <xf numFmtId="0" fontId="11" fillId="0" borderId="1" applyNumberFormat="0" applyFill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20" borderId="5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7" fillId="25" borderId="8" applyNumberFormat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19" fillId="25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8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AB7" activePane="bottomRight" state="frozen"/>
      <selection/>
      <selection pane="topRight"/>
      <selection pane="bottomLeft"/>
      <selection pane="bottomRight" activeCell="E7" sqref="E7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8">
        <v>43831</v>
      </c>
      <c r="J1" s="18">
        <v>43832</v>
      </c>
      <c r="K1" s="18">
        <v>43833</v>
      </c>
      <c r="L1" s="18">
        <v>43834</v>
      </c>
      <c r="M1" s="18">
        <v>43835</v>
      </c>
      <c r="N1" s="18">
        <v>43836</v>
      </c>
      <c r="O1" s="18">
        <v>43837</v>
      </c>
      <c r="P1" s="18">
        <v>43838</v>
      </c>
      <c r="Q1" s="18">
        <v>43839</v>
      </c>
      <c r="R1" s="18">
        <v>43840</v>
      </c>
      <c r="S1" s="18">
        <v>43841</v>
      </c>
      <c r="T1" s="18">
        <v>43842</v>
      </c>
      <c r="U1" s="18">
        <v>43843</v>
      </c>
      <c r="V1" s="18">
        <v>43844</v>
      </c>
      <c r="W1" s="18">
        <v>43845</v>
      </c>
      <c r="X1" s="18">
        <v>43846</v>
      </c>
      <c r="Y1" s="18">
        <v>43847</v>
      </c>
      <c r="Z1" s="18">
        <v>43848</v>
      </c>
      <c r="AA1" s="18">
        <v>43849</v>
      </c>
      <c r="AB1" s="18">
        <v>43850</v>
      </c>
      <c r="AC1" s="18">
        <v>43851</v>
      </c>
      <c r="AD1" s="18">
        <v>43852</v>
      </c>
      <c r="AE1" s="18">
        <v>43853</v>
      </c>
      <c r="AF1" s="18">
        <v>43854</v>
      </c>
      <c r="AG1" s="18">
        <v>43855</v>
      </c>
      <c r="AH1" s="18">
        <v>43856</v>
      </c>
      <c r="AI1" s="18">
        <v>43857</v>
      </c>
      <c r="AJ1" s="18">
        <v>43858</v>
      </c>
      <c r="AK1" s="18">
        <v>43859</v>
      </c>
      <c r="AL1" s="18">
        <v>43860</v>
      </c>
      <c r="AM1" s="18">
        <v>43861</v>
      </c>
      <c r="AN1" s="20"/>
      <c r="AO1" s="20"/>
      <c r="AP1" s="20"/>
      <c r="AQ1" s="20"/>
      <c r="AR1" s="20"/>
      <c r="AS1" s="20"/>
    </row>
    <row r="2" s="2" customFormat="1" spans="1:39">
      <c r="A2" s="8"/>
      <c r="B2" s="9">
        <f>SUM(F3:F120)</f>
        <v>1274500</v>
      </c>
      <c r="C2" s="9"/>
      <c r="D2" s="10">
        <f>SUM(G3:G120)</f>
        <v>1201720</v>
      </c>
      <c r="E2" s="11" t="s">
        <v>8</v>
      </c>
      <c r="F2" s="9">
        <f>G2/1.04+H2</f>
        <v>1274500</v>
      </c>
      <c r="G2" s="10">
        <f t="shared" ref="G2:G16" si="0">SUM(I2:AM2)</f>
        <v>1201720</v>
      </c>
      <c r="H2" s="12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46800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3" t="s">
        <v>10</v>
      </c>
      <c r="F3" s="1">
        <f t="shared" ref="F3:F34" si="2">G3/1.04+H3</f>
        <v>12000</v>
      </c>
      <c r="G3" s="1">
        <f t="shared" si="0"/>
        <v>9360</v>
      </c>
      <c r="H3" s="14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19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3" t="s">
        <v>11</v>
      </c>
      <c r="F4" s="1">
        <f t="shared" si="2"/>
        <v>4500</v>
      </c>
      <c r="G4" s="1">
        <f t="shared" si="0"/>
        <v>4680</v>
      </c>
      <c r="H4" s="14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19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3" t="s">
        <v>13</v>
      </c>
      <c r="F5" s="1">
        <f t="shared" si="2"/>
        <v>11000</v>
      </c>
      <c r="G5" s="1">
        <f t="shared" si="0"/>
        <v>11440</v>
      </c>
      <c r="H5" s="14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/>
      <c r="AI5" s="4"/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3" t="s">
        <v>15</v>
      </c>
      <c r="F6" s="1">
        <f t="shared" si="2"/>
        <v>23000</v>
      </c>
      <c r="G6" s="1">
        <f t="shared" si="0"/>
        <v>20800</v>
      </c>
      <c r="H6" s="14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3" t="s">
        <v>17</v>
      </c>
      <c r="F7" s="1">
        <f t="shared" si="2"/>
        <v>63000</v>
      </c>
      <c r="G7" s="1">
        <f t="shared" si="0"/>
        <v>55120</v>
      </c>
      <c r="H7" s="14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>
        <v>2080</v>
      </c>
      <c r="AH7" s="4"/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3" t="s">
        <v>19</v>
      </c>
      <c r="F8" s="1">
        <f t="shared" si="2"/>
        <v>6000</v>
      </c>
      <c r="G8" s="1">
        <f t="shared" si="0"/>
        <v>6240</v>
      </c>
      <c r="H8" s="14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3" t="s">
        <v>20</v>
      </c>
      <c r="F9" s="1">
        <f t="shared" si="2"/>
        <v>6000</v>
      </c>
      <c r="G9" s="1">
        <f t="shared" si="0"/>
        <v>6240</v>
      </c>
      <c r="H9" s="14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3" t="s">
        <v>22</v>
      </c>
      <c r="F10" s="1">
        <f t="shared" si="2"/>
        <v>30000</v>
      </c>
      <c r="G10" s="1">
        <f t="shared" si="0"/>
        <v>31200</v>
      </c>
      <c r="H10" s="14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3" t="s">
        <v>24</v>
      </c>
      <c r="F11" s="1">
        <f t="shared" si="2"/>
        <v>14000</v>
      </c>
      <c r="G11" s="1">
        <f t="shared" si="0"/>
        <v>12480</v>
      </c>
      <c r="H11" s="14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/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3" t="s">
        <v>25</v>
      </c>
      <c r="F12" s="1">
        <f t="shared" si="2"/>
        <v>7000</v>
      </c>
      <c r="G12" s="1">
        <f t="shared" si="0"/>
        <v>7280</v>
      </c>
      <c r="H12" s="14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3" t="s">
        <v>26</v>
      </c>
      <c r="F13" s="1">
        <f t="shared" si="2"/>
        <v>30000</v>
      </c>
      <c r="G13" s="1">
        <f t="shared" si="0"/>
        <v>31200</v>
      </c>
      <c r="H13" s="14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>
        <v>5200</v>
      </c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3" t="s">
        <v>27</v>
      </c>
      <c r="F14" s="1">
        <f t="shared" si="2"/>
        <v>55000</v>
      </c>
      <c r="G14" s="1">
        <f t="shared" si="0"/>
        <v>52000</v>
      </c>
      <c r="H14" s="14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>
        <v>5200</v>
      </c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3" t="s">
        <v>29</v>
      </c>
      <c r="F15" s="1">
        <f t="shared" si="2"/>
        <v>10000</v>
      </c>
      <c r="G15" s="1">
        <f t="shared" si="0"/>
        <v>10400</v>
      </c>
      <c r="H15" s="14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>
        <v>2080</v>
      </c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3" t="s">
        <v>30</v>
      </c>
      <c r="F16" s="1">
        <f t="shared" si="2"/>
        <v>3500</v>
      </c>
      <c r="G16" s="1">
        <f t="shared" si="0"/>
        <v>3120</v>
      </c>
      <c r="H16" s="14">
        <v>500</v>
      </c>
      <c r="I16" s="4"/>
      <c r="J16" s="4"/>
      <c r="K16" s="19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3" t="s">
        <v>31</v>
      </c>
      <c r="F17" s="1">
        <f t="shared" si="2"/>
        <v>18000</v>
      </c>
      <c r="G17" s="1">
        <f t="shared" ref="G17:G35" si="3">SUM(I17:AM17)</f>
        <v>18720</v>
      </c>
      <c r="H17" s="14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/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3" t="s">
        <v>33</v>
      </c>
      <c r="F18" s="1">
        <f t="shared" si="2"/>
        <v>25000</v>
      </c>
      <c r="G18" s="1">
        <f t="shared" si="3"/>
        <v>20800</v>
      </c>
      <c r="H18" s="14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3" t="s">
        <v>34</v>
      </c>
      <c r="F19" s="1">
        <f t="shared" si="2"/>
        <v>10000</v>
      </c>
      <c r="G19" s="1">
        <f t="shared" si="3"/>
        <v>10400</v>
      </c>
      <c r="H19" s="14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19">
        <v>2080</v>
      </c>
      <c r="AB19" s="19">
        <v>2080</v>
      </c>
      <c r="AC19" s="4"/>
      <c r="AD19" s="4">
        <v>2080</v>
      </c>
      <c r="AE19" s="4"/>
      <c r="AF19" s="4"/>
      <c r="AG19" s="4"/>
      <c r="AH19" s="4"/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3" t="s">
        <v>35</v>
      </c>
      <c r="F20" s="1">
        <f t="shared" si="2"/>
        <v>6000</v>
      </c>
      <c r="G20" s="1">
        <f t="shared" si="3"/>
        <v>6240</v>
      </c>
      <c r="H20" s="14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/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3" t="s">
        <v>36</v>
      </c>
      <c r="F21" s="1">
        <f t="shared" si="2"/>
        <v>25000</v>
      </c>
      <c r="G21" s="1">
        <f t="shared" si="3"/>
        <v>20800</v>
      </c>
      <c r="H21" s="14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3" t="s">
        <v>37</v>
      </c>
      <c r="F22" s="1">
        <f t="shared" si="2"/>
        <v>8000</v>
      </c>
      <c r="G22" s="1">
        <f t="shared" si="3"/>
        <v>8320</v>
      </c>
      <c r="H22" s="14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3" t="s">
        <v>38</v>
      </c>
      <c r="F23" s="1">
        <f t="shared" si="2"/>
        <v>15000</v>
      </c>
      <c r="G23" s="1">
        <f t="shared" si="3"/>
        <v>15600</v>
      </c>
      <c r="H23" s="14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3" t="s">
        <v>39</v>
      </c>
      <c r="F24" s="1">
        <f t="shared" si="2"/>
        <v>30000</v>
      </c>
      <c r="G24" s="1">
        <f t="shared" si="3"/>
        <v>26000</v>
      </c>
      <c r="H24" s="14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/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3" t="s">
        <v>40</v>
      </c>
      <c r="F25" s="1">
        <f t="shared" si="2"/>
        <v>24000</v>
      </c>
      <c r="G25" s="1">
        <f t="shared" si="3"/>
        <v>21840</v>
      </c>
      <c r="H25" s="14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/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3" t="s">
        <v>41</v>
      </c>
      <c r="F26" s="1">
        <f t="shared" si="2"/>
        <v>10500</v>
      </c>
      <c r="G26" s="1">
        <f t="shared" si="3"/>
        <v>10400</v>
      </c>
      <c r="H26" s="14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3" t="s">
        <v>42</v>
      </c>
      <c r="F27" s="1">
        <f t="shared" si="2"/>
        <v>6000</v>
      </c>
      <c r="G27" s="1">
        <f t="shared" si="3"/>
        <v>6240</v>
      </c>
      <c r="H27" s="14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3" t="s">
        <v>43</v>
      </c>
      <c r="F28" s="1">
        <f t="shared" si="2"/>
        <v>6000</v>
      </c>
      <c r="G28" s="1">
        <f t="shared" si="3"/>
        <v>6240</v>
      </c>
      <c r="H28" s="14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3" t="s">
        <v>44</v>
      </c>
      <c r="F29" s="1">
        <f t="shared" si="2"/>
        <v>15000</v>
      </c>
      <c r="G29" s="1">
        <f t="shared" si="3"/>
        <v>15600</v>
      </c>
      <c r="H29" s="14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3" t="s">
        <v>45</v>
      </c>
      <c r="F30" s="1">
        <f t="shared" si="2"/>
        <v>50000</v>
      </c>
      <c r="G30" s="1">
        <f t="shared" si="3"/>
        <v>46800</v>
      </c>
      <c r="H30" s="14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>
        <v>5200</v>
      </c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3" t="s">
        <v>46</v>
      </c>
      <c r="F31" s="1">
        <f t="shared" si="2"/>
        <v>8000</v>
      </c>
      <c r="G31" s="1">
        <f t="shared" si="3"/>
        <v>8320</v>
      </c>
      <c r="H31" s="14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3" t="s">
        <v>48</v>
      </c>
      <c r="F32" s="1">
        <f t="shared" si="2"/>
        <v>7000</v>
      </c>
      <c r="G32" s="1">
        <f t="shared" si="3"/>
        <v>6240</v>
      </c>
      <c r="H32" s="14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3" t="s">
        <v>49</v>
      </c>
      <c r="F33" s="1">
        <f t="shared" si="2"/>
        <v>5000</v>
      </c>
      <c r="G33" s="1">
        <f t="shared" si="3"/>
        <v>5200</v>
      </c>
      <c r="H33" s="14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>
        <v>1040</v>
      </c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3" t="s">
        <v>50</v>
      </c>
      <c r="F34" s="1">
        <f t="shared" si="2"/>
        <v>9000</v>
      </c>
      <c r="G34" s="1">
        <f t="shared" si="3"/>
        <v>8320</v>
      </c>
      <c r="H34" s="14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3" t="s">
        <v>51</v>
      </c>
      <c r="F35" s="1">
        <f t="shared" ref="F35:F66" si="4">G35/1.04+H35</f>
        <v>27000</v>
      </c>
      <c r="G35" s="1">
        <f t="shared" si="3"/>
        <v>28080</v>
      </c>
      <c r="H35" s="14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3" t="s">
        <v>52</v>
      </c>
      <c r="F36" s="1">
        <f t="shared" si="4"/>
        <v>3000</v>
      </c>
      <c r="G36" s="1">
        <f t="shared" ref="G36:G73" si="5">SUM(I36:AM36)</f>
        <v>3120</v>
      </c>
      <c r="H36" s="14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3" t="s">
        <v>53</v>
      </c>
      <c r="F37" s="1">
        <f t="shared" si="4"/>
        <v>21000</v>
      </c>
      <c r="G37" s="1">
        <f t="shared" si="5"/>
        <v>18720</v>
      </c>
      <c r="H37" s="14">
        <v>3000</v>
      </c>
      <c r="I37" s="4"/>
      <c r="J37" s="4"/>
      <c r="K37" s="4"/>
      <c r="L37" s="4"/>
      <c r="M37" s="19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>
        <v>3120</v>
      </c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3" t="s">
        <v>54</v>
      </c>
      <c r="F38" s="1">
        <f t="shared" si="4"/>
        <v>4000</v>
      </c>
      <c r="G38" s="1">
        <f t="shared" si="5"/>
        <v>4160</v>
      </c>
      <c r="H38" s="14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19">
        <v>2080</v>
      </c>
      <c r="W38" s="4"/>
      <c r="X38" s="4"/>
      <c r="Y38" s="4"/>
      <c r="Z38" s="4"/>
      <c r="AA38" s="4"/>
      <c r="AB38" s="4"/>
      <c r="AC38" s="4"/>
      <c r="AD38" s="4"/>
      <c r="AE38" s="19">
        <v>2080</v>
      </c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3" t="s">
        <v>55</v>
      </c>
      <c r="F39" s="1">
        <f t="shared" si="4"/>
        <v>14000</v>
      </c>
      <c r="G39" s="1">
        <f t="shared" si="5"/>
        <v>14560</v>
      </c>
      <c r="H39" s="14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3" t="s">
        <v>56</v>
      </c>
      <c r="F40" s="1">
        <f t="shared" si="4"/>
        <v>8000</v>
      </c>
      <c r="G40" s="1">
        <f>SUM(J40:AM40)</f>
        <v>8320</v>
      </c>
      <c r="H40" s="14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3" t="s">
        <v>57</v>
      </c>
      <c r="F41" s="1">
        <f t="shared" si="4"/>
        <v>33000</v>
      </c>
      <c r="G41" s="1">
        <f t="shared" si="5"/>
        <v>31200</v>
      </c>
      <c r="H41" s="14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>
        <v>3120</v>
      </c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3" t="s">
        <v>58</v>
      </c>
      <c r="F42" s="1">
        <f t="shared" si="4"/>
        <v>4000</v>
      </c>
      <c r="G42" s="1">
        <f t="shared" si="5"/>
        <v>4160</v>
      </c>
      <c r="H42" s="14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3" t="s">
        <v>59</v>
      </c>
      <c r="F43" s="1">
        <f t="shared" si="4"/>
        <v>0</v>
      </c>
      <c r="G43" s="1">
        <f t="shared" si="5"/>
        <v>0</v>
      </c>
      <c r="H43" s="14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3" t="s">
        <v>60</v>
      </c>
      <c r="F44" s="1">
        <f t="shared" si="4"/>
        <v>24000</v>
      </c>
      <c r="G44" s="1">
        <f t="shared" si="5"/>
        <v>21840</v>
      </c>
      <c r="H44" s="14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3" t="s">
        <v>62</v>
      </c>
      <c r="F45" s="1">
        <f t="shared" si="4"/>
        <v>21000</v>
      </c>
      <c r="G45" s="1">
        <f t="shared" si="5"/>
        <v>18720</v>
      </c>
      <c r="H45" s="14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/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3" t="s">
        <v>63</v>
      </c>
      <c r="F46" s="1">
        <f t="shared" si="4"/>
        <v>15000</v>
      </c>
      <c r="G46" s="1">
        <f t="shared" si="5"/>
        <v>15600</v>
      </c>
      <c r="H46" s="14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3" t="s">
        <v>64</v>
      </c>
      <c r="F47" s="1">
        <f t="shared" si="4"/>
        <v>4000</v>
      </c>
      <c r="G47" s="1">
        <f t="shared" si="5"/>
        <v>4160</v>
      </c>
      <c r="H47" s="14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3" t="s">
        <v>65</v>
      </c>
      <c r="F48" s="1">
        <f t="shared" si="4"/>
        <v>24000</v>
      </c>
      <c r="G48" s="1">
        <f t="shared" si="5"/>
        <v>21840</v>
      </c>
      <c r="H48" s="14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>
        <v>3120</v>
      </c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3" t="s">
        <v>66</v>
      </c>
      <c r="F49" s="1">
        <f t="shared" si="4"/>
        <v>24000</v>
      </c>
      <c r="G49" s="1">
        <f t="shared" si="5"/>
        <v>21840</v>
      </c>
      <c r="H49" s="14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/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3" t="s">
        <v>67</v>
      </c>
      <c r="F50" s="1">
        <f t="shared" si="4"/>
        <v>8000</v>
      </c>
      <c r="G50" s="1">
        <f t="shared" si="5"/>
        <v>6240</v>
      </c>
      <c r="H50" s="14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3" t="s">
        <v>68</v>
      </c>
      <c r="F51" s="1">
        <f t="shared" si="4"/>
        <v>2000</v>
      </c>
      <c r="G51" s="1">
        <f t="shared" si="5"/>
        <v>2080</v>
      </c>
      <c r="H51" s="14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3" t="s">
        <v>69</v>
      </c>
      <c r="F52" s="1">
        <f t="shared" si="4"/>
        <v>19000</v>
      </c>
      <c r="G52" s="1">
        <f t="shared" si="5"/>
        <v>16640</v>
      </c>
      <c r="H52" s="14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/>
      <c r="AJ52" s="4"/>
      <c r="AK52" s="4"/>
      <c r="AL52" s="4"/>
      <c r="AM52" s="4"/>
    </row>
    <row r="53" s="3" customFormat="1" spans="1:39">
      <c r="A53" s="3">
        <v>51</v>
      </c>
      <c r="B53" s="15"/>
      <c r="D53" s="3" t="s">
        <v>61</v>
      </c>
      <c r="E53" s="16" t="s">
        <v>70</v>
      </c>
      <c r="F53" s="1">
        <f t="shared" si="4"/>
        <v>17000</v>
      </c>
      <c r="G53" s="1">
        <f t="shared" si="5"/>
        <v>16640</v>
      </c>
      <c r="H53" s="14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2080</v>
      </c>
      <c r="AD53" s="4">
        <v>1040</v>
      </c>
      <c r="AE53" s="4">
        <v>1040</v>
      </c>
      <c r="AF53" s="4">
        <v>2080</v>
      </c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3" t="s">
        <v>72</v>
      </c>
      <c r="F54" s="1">
        <f t="shared" si="4"/>
        <v>10000</v>
      </c>
      <c r="G54" s="1">
        <f t="shared" si="5"/>
        <v>8320</v>
      </c>
      <c r="H54" s="14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>
        <v>2080</v>
      </c>
      <c r="AG54" s="4"/>
      <c r="AH54" s="4"/>
      <c r="AI54" s="4"/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3" t="s">
        <v>73</v>
      </c>
      <c r="F55" s="1">
        <f t="shared" si="4"/>
        <v>35000</v>
      </c>
      <c r="G55" s="1">
        <f t="shared" si="5"/>
        <v>36400</v>
      </c>
      <c r="H55" s="14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>
        <v>5200</v>
      </c>
      <c r="AD55" s="4"/>
      <c r="AE55" s="4"/>
      <c r="AF55" s="4"/>
      <c r="AG55" s="4">
        <v>5200</v>
      </c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3" t="s">
        <v>74</v>
      </c>
      <c r="F56" s="1">
        <f t="shared" si="4"/>
        <v>8000</v>
      </c>
      <c r="G56" s="1">
        <f t="shared" si="5"/>
        <v>8320</v>
      </c>
      <c r="H56" s="14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>
        <v>2080</v>
      </c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5"/>
      <c r="D57" s="3" t="s">
        <v>75</v>
      </c>
      <c r="E57" s="16" t="s">
        <v>76</v>
      </c>
      <c r="F57" s="1">
        <f t="shared" si="4"/>
        <v>35000</v>
      </c>
      <c r="G57" s="1">
        <f t="shared" si="5"/>
        <v>31200</v>
      </c>
      <c r="H57" s="14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7" t="s">
        <v>77</v>
      </c>
      <c r="D58" s="3" t="s">
        <v>75</v>
      </c>
      <c r="E58" s="13" t="s">
        <v>78</v>
      </c>
      <c r="F58" s="1">
        <f t="shared" si="4"/>
        <v>10000</v>
      </c>
      <c r="G58" s="1">
        <f t="shared" si="5"/>
        <v>10400</v>
      </c>
      <c r="H58" s="14">
        <v>0</v>
      </c>
      <c r="I58" s="4"/>
      <c r="J58" s="4"/>
      <c r="K58" s="4"/>
      <c r="L58" s="19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5"/>
      <c r="D59" s="3" t="s">
        <v>79</v>
      </c>
      <c r="E59" s="16" t="s">
        <v>80</v>
      </c>
      <c r="F59" s="1">
        <f t="shared" si="4"/>
        <v>21000</v>
      </c>
      <c r="G59" s="1">
        <f t="shared" si="5"/>
        <v>20800</v>
      </c>
      <c r="H59" s="14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>
        <v>2080</v>
      </c>
      <c r="AE59" s="4"/>
      <c r="AF59" s="4"/>
      <c r="AG59" s="4">
        <v>2080</v>
      </c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5"/>
      <c r="D60" s="3" t="s">
        <v>81</v>
      </c>
      <c r="E60" s="16" t="s">
        <v>82</v>
      </c>
      <c r="F60" s="1">
        <f t="shared" si="4"/>
        <v>8000</v>
      </c>
      <c r="G60" s="1">
        <f t="shared" si="5"/>
        <v>6240</v>
      </c>
      <c r="H60" s="14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>
        <v>2080</v>
      </c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3" t="s">
        <v>84</v>
      </c>
      <c r="F61" s="1">
        <f t="shared" si="4"/>
        <v>14000</v>
      </c>
      <c r="G61" s="1">
        <f t="shared" si="5"/>
        <v>14560</v>
      </c>
      <c r="H61" s="14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19">
        <v>2080</v>
      </c>
      <c r="AF61" s="4"/>
      <c r="AG61" s="4">
        <v>2080</v>
      </c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3" t="s">
        <v>85</v>
      </c>
      <c r="F62" s="1">
        <f t="shared" si="4"/>
        <v>10000</v>
      </c>
      <c r="G62" s="1">
        <f t="shared" si="5"/>
        <v>10400</v>
      </c>
      <c r="H62" s="14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3" t="s">
        <v>86</v>
      </c>
      <c r="F63" s="1">
        <f t="shared" si="4"/>
        <v>6000</v>
      </c>
      <c r="G63" s="1">
        <f t="shared" si="5"/>
        <v>6240</v>
      </c>
      <c r="H63" s="14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>
        <v>2080</v>
      </c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3" t="s">
        <v>87</v>
      </c>
      <c r="F64" s="1">
        <f t="shared" si="4"/>
        <v>3000</v>
      </c>
      <c r="G64" s="1">
        <f t="shared" si="5"/>
        <v>3120</v>
      </c>
      <c r="H64" s="14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>
        <v>1040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3" t="s">
        <v>88</v>
      </c>
      <c r="F65" s="1">
        <f t="shared" si="4"/>
        <v>45000</v>
      </c>
      <c r="G65" s="1">
        <f t="shared" si="5"/>
        <v>46800</v>
      </c>
      <c r="H65" s="14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>
        <v>5200</v>
      </c>
      <c r="AD65" s="4"/>
      <c r="AE65" s="4">
        <v>5200</v>
      </c>
      <c r="AF65" s="4"/>
      <c r="AG65" s="4"/>
      <c r="AH65" s="4"/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3" t="s">
        <v>89</v>
      </c>
      <c r="F66" s="1">
        <f t="shared" si="4"/>
        <v>24000</v>
      </c>
      <c r="G66" s="1">
        <f t="shared" si="5"/>
        <v>21840</v>
      </c>
      <c r="H66" s="14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>
        <v>3120</v>
      </c>
      <c r="AF66" s="4"/>
      <c r="AG66" s="4"/>
      <c r="AH66" s="4"/>
      <c r="AI66" s="4"/>
      <c r="AJ66" s="4"/>
      <c r="AK66" s="4"/>
      <c r="AL66" s="4"/>
      <c r="AM66" s="4"/>
    </row>
    <row r="67" s="3" customFormat="1" spans="1:39">
      <c r="A67" s="3">
        <v>65</v>
      </c>
      <c r="B67" s="15"/>
      <c r="D67" s="3" t="s">
        <v>83</v>
      </c>
      <c r="E67" s="16" t="s">
        <v>90</v>
      </c>
      <c r="F67" s="1">
        <f t="shared" ref="F67:F95" si="6">G67/1.04+H67</f>
        <v>14000</v>
      </c>
      <c r="G67" s="1">
        <f t="shared" si="5"/>
        <v>12480</v>
      </c>
      <c r="H67" s="14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/>
      <c r="AI67" s="4"/>
      <c r="AJ67" s="4"/>
      <c r="AK67" s="4"/>
      <c r="AL67" s="4"/>
      <c r="AM67" s="4"/>
    </row>
    <row r="68" s="3" customFormat="1" spans="1:39">
      <c r="A68" s="3">
        <v>66</v>
      </c>
      <c r="B68" s="15"/>
      <c r="D68" s="3" t="s">
        <v>83</v>
      </c>
      <c r="E68" s="16" t="s">
        <v>91</v>
      </c>
      <c r="F68" s="1">
        <f t="shared" si="6"/>
        <v>2500</v>
      </c>
      <c r="G68" s="1">
        <f t="shared" si="5"/>
        <v>2080</v>
      </c>
      <c r="H68" s="14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3" t="s">
        <v>93</v>
      </c>
      <c r="F69" s="1">
        <f t="shared" si="6"/>
        <v>15500</v>
      </c>
      <c r="G69" s="1">
        <f t="shared" si="5"/>
        <v>14560</v>
      </c>
      <c r="H69" s="14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>
        <v>1040</v>
      </c>
      <c r="AE69" s="4">
        <v>1040</v>
      </c>
      <c r="AF69" s="4">
        <v>1040</v>
      </c>
      <c r="AG69" s="4"/>
      <c r="AH69" s="4"/>
      <c r="AI69" s="4"/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3" t="s">
        <v>94</v>
      </c>
      <c r="F70" s="1">
        <f t="shared" si="6"/>
        <v>27000</v>
      </c>
      <c r="G70" s="1">
        <f t="shared" si="5"/>
        <v>28080</v>
      </c>
      <c r="H70" s="14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>
        <v>3120</v>
      </c>
      <c r="AE70" s="4"/>
      <c r="AF70" s="4"/>
      <c r="AG70" s="4">
        <v>3120</v>
      </c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3" t="s">
        <v>95</v>
      </c>
      <c r="F71" s="1">
        <f t="shared" si="6"/>
        <v>22000</v>
      </c>
      <c r="G71" s="1">
        <f t="shared" si="5"/>
        <v>20800</v>
      </c>
      <c r="H71" s="14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>
        <v>2080</v>
      </c>
      <c r="AG71" s="4"/>
      <c r="AH71" s="4"/>
      <c r="AI71" s="4"/>
      <c r="AJ71" s="4"/>
      <c r="AK71" s="4"/>
      <c r="AL71" s="4"/>
      <c r="AM71" s="4"/>
    </row>
    <row r="72" s="3" customFormat="1" spans="1:39">
      <c r="A72" s="3">
        <v>70</v>
      </c>
      <c r="B72" s="15"/>
      <c r="E72" s="16" t="s">
        <v>96</v>
      </c>
      <c r="F72" s="1">
        <f t="shared" si="6"/>
        <v>47000</v>
      </c>
      <c r="G72" s="1">
        <f t="shared" si="5"/>
        <v>20800</v>
      </c>
      <c r="H72" s="14">
        <v>27000</v>
      </c>
      <c r="I72" s="22"/>
      <c r="J72" s="22"/>
      <c r="K72" s="22"/>
      <c r="L72" s="22">
        <v>2080</v>
      </c>
      <c r="M72" s="23">
        <v>4160</v>
      </c>
      <c r="N72" s="22">
        <v>2080</v>
      </c>
      <c r="O72" s="22"/>
      <c r="P72" s="22"/>
      <c r="Q72" s="22">
        <v>2080</v>
      </c>
      <c r="R72" s="22"/>
      <c r="S72" s="22">
        <v>2080</v>
      </c>
      <c r="T72" s="22">
        <v>2080</v>
      </c>
      <c r="U72" s="4">
        <v>2080</v>
      </c>
      <c r="V72" s="24"/>
      <c r="W72" s="24"/>
      <c r="X72" s="24"/>
      <c r="Y72" s="24"/>
      <c r="Z72" s="4"/>
      <c r="AA72" s="4"/>
      <c r="AB72" s="4">
        <v>2080</v>
      </c>
      <c r="AC72" s="4"/>
      <c r="AD72" s="4">
        <v>2080</v>
      </c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5"/>
      <c r="D73" s="3" t="s">
        <v>97</v>
      </c>
      <c r="E73" s="16" t="s">
        <v>98</v>
      </c>
      <c r="F73" s="1">
        <f t="shared" si="6"/>
        <v>6000</v>
      </c>
      <c r="G73" s="1">
        <f t="shared" si="5"/>
        <v>6240</v>
      </c>
      <c r="H73" s="14">
        <v>0</v>
      </c>
      <c r="I73" s="4"/>
      <c r="J73" s="4"/>
      <c r="K73" s="4"/>
      <c r="L73" s="4"/>
      <c r="M73" s="4"/>
      <c r="N73" s="4"/>
      <c r="O73" s="19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>
        <v>2080</v>
      </c>
      <c r="AG73" s="4">
        <v>1040</v>
      </c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5"/>
      <c r="E74" s="16" t="s">
        <v>99</v>
      </c>
      <c r="F74" s="1">
        <f t="shared" si="6"/>
        <v>0</v>
      </c>
      <c r="G74" s="1">
        <f t="shared" ref="G69:G95" si="7">SUM(I74:AM74)</f>
        <v>0</v>
      </c>
      <c r="H74" s="14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5"/>
      <c r="D75" s="3" t="s">
        <v>100</v>
      </c>
      <c r="E75" s="16" t="s">
        <v>101</v>
      </c>
      <c r="F75" s="1">
        <f t="shared" si="6"/>
        <v>6000</v>
      </c>
      <c r="G75" s="1">
        <f t="shared" si="7"/>
        <v>6240</v>
      </c>
      <c r="H75" s="14">
        <v>0</v>
      </c>
      <c r="I75" s="4"/>
      <c r="J75" s="4"/>
      <c r="K75" s="4"/>
      <c r="L75" s="4"/>
      <c r="M75" s="19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>
        <v>2080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5"/>
      <c r="E76" s="16" t="s">
        <v>102</v>
      </c>
      <c r="F76" s="1">
        <f t="shared" si="6"/>
        <v>0</v>
      </c>
      <c r="G76" s="1">
        <f t="shared" si="7"/>
        <v>0</v>
      </c>
      <c r="H76" s="14">
        <v>0</v>
      </c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5"/>
      <c r="C77" s="3">
        <v>683879115</v>
      </c>
      <c r="D77" s="3" t="s">
        <v>103</v>
      </c>
      <c r="E77" s="16" t="s">
        <v>104</v>
      </c>
      <c r="F77" s="1">
        <f t="shared" si="6"/>
        <v>6000</v>
      </c>
      <c r="G77" s="1">
        <f t="shared" si="7"/>
        <v>6240</v>
      </c>
      <c r="H77" s="14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19">
        <v>2080</v>
      </c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5"/>
      <c r="D78" s="3" t="s">
        <v>61</v>
      </c>
      <c r="E78" s="16" t="s">
        <v>105</v>
      </c>
      <c r="F78" s="1">
        <f t="shared" si="6"/>
        <v>4000</v>
      </c>
      <c r="G78" s="1">
        <f t="shared" si="7"/>
        <v>4160</v>
      </c>
      <c r="H78" s="14">
        <v>0</v>
      </c>
      <c r="I78" s="4"/>
      <c r="J78" s="4"/>
      <c r="K78" s="4"/>
      <c r="L78" s="4"/>
      <c r="M78" s="4"/>
      <c r="N78" s="4"/>
      <c r="O78" s="4"/>
      <c r="P78" s="19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19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5"/>
      <c r="E79" s="16" t="s">
        <v>106</v>
      </c>
      <c r="F79" s="1">
        <f t="shared" si="6"/>
        <v>4000</v>
      </c>
      <c r="G79" s="1">
        <f t="shared" si="7"/>
        <v>4160</v>
      </c>
      <c r="H79" s="14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5"/>
      <c r="D80" s="3" t="s">
        <v>61</v>
      </c>
      <c r="E80" s="16" t="s">
        <v>107</v>
      </c>
      <c r="F80" s="1">
        <f t="shared" si="6"/>
        <v>7000</v>
      </c>
      <c r="G80" s="1">
        <f t="shared" si="7"/>
        <v>7280</v>
      </c>
      <c r="H80" s="14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19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>
        <v>1040</v>
      </c>
      <c r="AE80" s="4"/>
      <c r="AF80" s="4"/>
      <c r="AG80" s="4">
        <v>1040</v>
      </c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5"/>
      <c r="D81" s="3" t="s">
        <v>108</v>
      </c>
      <c r="E81" s="16" t="s">
        <v>109</v>
      </c>
      <c r="F81" s="1">
        <f t="shared" si="6"/>
        <v>6000</v>
      </c>
      <c r="G81" s="1">
        <f t="shared" si="7"/>
        <v>6240</v>
      </c>
      <c r="H81" s="14">
        <v>0</v>
      </c>
      <c r="I81" s="24"/>
      <c r="J81" s="24"/>
      <c r="K81" s="24"/>
      <c r="L81" s="24"/>
      <c r="M81" s="24"/>
      <c r="N81" s="24"/>
      <c r="O81" s="22">
        <v>2080</v>
      </c>
      <c r="P81" s="24"/>
      <c r="Q81" s="24"/>
      <c r="R81" s="24"/>
      <c r="S81" s="24"/>
      <c r="T81" s="24"/>
      <c r="U81" s="24"/>
      <c r="V81" s="24"/>
      <c r="W81" s="22">
        <v>2080</v>
      </c>
      <c r="X81" s="24"/>
      <c r="Y81" s="24"/>
      <c r="Z81" s="24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5"/>
      <c r="D82" s="3" t="s">
        <v>103</v>
      </c>
      <c r="E82" s="16" t="s">
        <v>110</v>
      </c>
      <c r="F82" s="1">
        <f t="shared" si="6"/>
        <v>30000</v>
      </c>
      <c r="G82" s="1">
        <f t="shared" si="7"/>
        <v>31200</v>
      </c>
      <c r="H82" s="14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>
        <v>5200</v>
      </c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5"/>
      <c r="E83" s="16" t="s">
        <v>111</v>
      </c>
      <c r="F83" s="1">
        <f t="shared" si="6"/>
        <v>0</v>
      </c>
      <c r="G83" s="1">
        <f t="shared" si="7"/>
        <v>0</v>
      </c>
      <c r="H83" s="14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5"/>
      <c r="E84" s="16" t="s">
        <v>112</v>
      </c>
      <c r="F84" s="1">
        <f t="shared" si="6"/>
        <v>0</v>
      </c>
      <c r="G84" s="1">
        <f t="shared" si="7"/>
        <v>0</v>
      </c>
      <c r="H84" s="14">
        <v>0</v>
      </c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5"/>
      <c r="C85" s="3">
        <v>683909556</v>
      </c>
      <c r="E85" s="16" t="s">
        <v>113</v>
      </c>
      <c r="F85" s="1">
        <f t="shared" si="6"/>
        <v>0</v>
      </c>
      <c r="G85" s="1">
        <f t="shared" si="7"/>
        <v>0</v>
      </c>
      <c r="H85" s="14">
        <v>0</v>
      </c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5"/>
      <c r="E86" s="16" t="s">
        <v>114</v>
      </c>
      <c r="F86" s="1">
        <f t="shared" si="6"/>
        <v>0</v>
      </c>
      <c r="G86" s="1">
        <f t="shared" si="7"/>
        <v>0</v>
      </c>
      <c r="H86" s="14">
        <v>0</v>
      </c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3" t="s">
        <v>115</v>
      </c>
      <c r="F87" s="1">
        <f t="shared" si="6"/>
        <v>1000</v>
      </c>
      <c r="G87" s="1">
        <f t="shared" si="7"/>
        <v>1040</v>
      </c>
      <c r="H87" s="14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3" t="s">
        <v>116</v>
      </c>
      <c r="F88" s="1">
        <f t="shared" si="6"/>
        <v>0</v>
      </c>
      <c r="G88" s="1">
        <f t="shared" si="7"/>
        <v>0</v>
      </c>
      <c r="H88" s="14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3" t="s">
        <v>117</v>
      </c>
      <c r="F89" s="1">
        <f t="shared" si="6"/>
        <v>0</v>
      </c>
      <c r="G89" s="1">
        <f t="shared" si="7"/>
        <v>0</v>
      </c>
      <c r="H89" s="14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D90" s="3" t="s">
        <v>103</v>
      </c>
      <c r="E90" s="13" t="s">
        <v>118</v>
      </c>
      <c r="F90" s="1">
        <f t="shared" si="6"/>
        <v>6000</v>
      </c>
      <c r="G90" s="1">
        <f t="shared" si="7"/>
        <v>6240</v>
      </c>
      <c r="H90" s="14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>
        <v>5200</v>
      </c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71</v>
      </c>
      <c r="E91" s="13" t="s">
        <v>119</v>
      </c>
      <c r="F91" s="1">
        <f t="shared" si="6"/>
        <v>10000</v>
      </c>
      <c r="G91" s="1">
        <f t="shared" si="7"/>
        <v>10400</v>
      </c>
      <c r="H91" s="14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>
        <v>5200</v>
      </c>
      <c r="AE91" s="4">
        <v>5200</v>
      </c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3" t="s">
        <v>120</v>
      </c>
      <c r="F92" s="1">
        <f t="shared" si="6"/>
        <v>0</v>
      </c>
      <c r="G92" s="1">
        <f t="shared" si="7"/>
        <v>0</v>
      </c>
      <c r="H92" s="14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3" t="s">
        <v>121</v>
      </c>
      <c r="F93" s="1">
        <f t="shared" si="6"/>
        <v>0</v>
      </c>
      <c r="G93" s="1">
        <f t="shared" si="7"/>
        <v>0</v>
      </c>
      <c r="H93" s="14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1" t="s">
        <v>122</v>
      </c>
      <c r="F94" s="1">
        <f t="shared" si="6"/>
        <v>0</v>
      </c>
      <c r="G94" s="1">
        <f t="shared" si="7"/>
        <v>0</v>
      </c>
      <c r="H94" s="14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7000</v>
      </c>
      <c r="G95" s="1">
        <f t="shared" si="7"/>
        <v>7280</v>
      </c>
      <c r="H95" s="5">
        <v>0</v>
      </c>
      <c r="I95" s="4"/>
      <c r="J95" s="4"/>
      <c r="K95" s="4"/>
      <c r="L95" s="4"/>
      <c r="M95" s="19">
        <v>2080</v>
      </c>
      <c r="N95" s="4"/>
      <c r="O95" s="4"/>
      <c r="P95" s="4"/>
      <c r="Q95" s="19">
        <v>2080</v>
      </c>
      <c r="R95" s="4"/>
      <c r="S95" s="4"/>
      <c r="T95" s="4"/>
      <c r="U95" s="4"/>
      <c r="V95" s="4"/>
      <c r="W95" s="4"/>
      <c r="X95" s="4"/>
      <c r="Y95" s="19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2021-01-25T16:11:11Z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