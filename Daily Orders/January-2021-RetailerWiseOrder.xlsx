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<sst xmlns="http://schemas.openxmlformats.org/spreadsheetml/2006/main" count="188" uniqueCount="124">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</sst>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5" fillId="24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6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F47" activePane="bottomRight" state="frozen"/>
      <selection/>
      <selection pane="topRight"/>
      <selection pane="bottomLeft"/>
      <selection pane="bottomRight" activeCell="AG50" sqref="AG50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1326500</v>
      </c>
      <c r="C2" s="1"/>
      <c r="D2" s="10">
        <f>SUM(G3:G120)</f>
        <v>1255800</v>
      </c>
      <c r="E2" s="11" t="s">
        <v>8</v>
      </c>
      <c r="F2" s="9">
        <f>G2/1.04+H2</f>
        <v>1326500</v>
      </c>
      <c r="G2" s="10">
        <f t="shared" ref="G2:G16" si="0">SUM(I2:AM2)</f>
        <v>1255800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20800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4500</v>
      </c>
      <c r="G4" s="1">
        <f t="shared" si="0"/>
        <v>4680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13000</v>
      </c>
      <c r="G5" s="1">
        <f t="shared" si="0"/>
        <v>13520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>
        <v>1040</v>
      </c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65000</v>
      </c>
      <c r="G7" s="1">
        <f t="shared" si="0"/>
        <v>57200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30000</v>
      </c>
      <c r="G10" s="1">
        <f t="shared" si="0"/>
        <v>31200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16000</v>
      </c>
      <c r="G11" s="1">
        <f t="shared" si="0"/>
        <v>14560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7000</v>
      </c>
      <c r="G12" s="1">
        <f t="shared" si="0"/>
        <v>7280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30000</v>
      </c>
      <c r="G13" s="1">
        <f t="shared" si="0"/>
        <v>31200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55000</v>
      </c>
      <c r="G14" s="1">
        <f t="shared" si="0"/>
        <v>52000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10000</v>
      </c>
      <c r="G15" s="1">
        <f t="shared" si="0"/>
        <v>10400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3500</v>
      </c>
      <c r="G16" s="1">
        <f t="shared" si="0"/>
        <v>3120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21000</v>
      </c>
      <c r="G17" s="1">
        <f t="shared" ref="G17:G35" si="3">SUM(I17:AM17)</f>
        <v>21840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12000</v>
      </c>
      <c r="G19" s="1">
        <f t="shared" si="3"/>
        <v>12480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>
        <v>2080</v>
      </c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7000</v>
      </c>
      <c r="G20" s="1">
        <f t="shared" si="3"/>
        <v>7280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25000</v>
      </c>
      <c r="G21" s="1">
        <f t="shared" si="3"/>
        <v>20800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8000</v>
      </c>
      <c r="G22" s="1">
        <f t="shared" si="3"/>
        <v>8320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15000</v>
      </c>
      <c r="G23" s="1">
        <f t="shared" si="3"/>
        <v>15600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35000</v>
      </c>
      <c r="G24" s="1">
        <f t="shared" si="3"/>
        <v>31200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>
        <v>5200</v>
      </c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27000</v>
      </c>
      <c r="G25" s="1">
        <f t="shared" si="3"/>
        <v>24960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12500</v>
      </c>
      <c r="G26" s="1">
        <f t="shared" si="3"/>
        <v>12480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>
        <v>2080</v>
      </c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21000</v>
      </c>
      <c r="G29" s="1">
        <f t="shared" si="3"/>
        <v>21840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19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50000</v>
      </c>
      <c r="G30" s="1">
        <f t="shared" si="3"/>
        <v>46800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8000</v>
      </c>
      <c r="G31" s="1">
        <f t="shared" si="3"/>
        <v>8320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5000</v>
      </c>
      <c r="G33" s="1">
        <f t="shared" si="3"/>
        <v>5200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9000</v>
      </c>
      <c r="G34" s="1">
        <f t="shared" si="3"/>
        <v>8320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27000</v>
      </c>
      <c r="G35" s="1">
        <f t="shared" si="3"/>
        <v>28080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3000</v>
      </c>
      <c r="G36" s="1">
        <f t="shared" ref="G36:G73" si="5">SUM(I36:AM36)</f>
        <v>3120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21000</v>
      </c>
      <c r="G37" s="1">
        <f t="shared" si="5"/>
        <v>18720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16000</v>
      </c>
      <c r="G39" s="1">
        <f t="shared" si="5"/>
        <v>16640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>
        <v>2080</v>
      </c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8000</v>
      </c>
      <c r="G40" s="1">
        <f>SUM(J40:AM40)</f>
        <v>8320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33000</v>
      </c>
      <c r="G41" s="1">
        <f t="shared" si="5"/>
        <v>31200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24000</v>
      </c>
      <c r="G44" s="1">
        <f t="shared" si="5"/>
        <v>21840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24000</v>
      </c>
      <c r="G45" s="1">
        <f t="shared" si="5"/>
        <v>21840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>
        <v>3120</v>
      </c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15000</v>
      </c>
      <c r="G46" s="1">
        <f t="shared" si="5"/>
        <v>15600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24000</v>
      </c>
      <c r="G48" s="1">
        <f t="shared" si="5"/>
        <v>21840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27000</v>
      </c>
      <c r="G49" s="1">
        <f t="shared" si="5"/>
        <v>24960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>
        <v>3120</v>
      </c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20000</v>
      </c>
      <c r="G52" s="1">
        <f t="shared" si="5"/>
        <v>17680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>
        <v>1040</v>
      </c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17000</v>
      </c>
      <c r="G53" s="1">
        <f t="shared" si="5"/>
        <v>16640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12000</v>
      </c>
      <c r="G54" s="1">
        <f t="shared" si="5"/>
        <v>10400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>
        <v>2080</v>
      </c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35000</v>
      </c>
      <c r="G55" s="1">
        <f t="shared" si="5"/>
        <v>36400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>
        <v>5200</v>
      </c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8000</v>
      </c>
      <c r="G56" s="1">
        <f t="shared" si="5"/>
        <v>8320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>
        <v>2080</v>
      </c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35000</v>
      </c>
      <c r="G57" s="1">
        <f t="shared" si="5"/>
        <v>31200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21000</v>
      </c>
      <c r="G59" s="1">
        <f t="shared" si="5"/>
        <v>20800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>
        <v>2080</v>
      </c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14000</v>
      </c>
      <c r="G61" s="1">
        <f t="shared" si="5"/>
        <v>14560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>
        <v>2080</v>
      </c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10000</v>
      </c>
      <c r="G62" s="1">
        <f t="shared" si="5"/>
        <v>10400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50000</v>
      </c>
      <c r="G65" s="1">
        <f t="shared" si="5"/>
        <v>52000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>
        <v>5200</v>
      </c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27000</v>
      </c>
      <c r="G66" s="1">
        <f t="shared" si="5"/>
        <v>24960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>
        <v>3120</v>
      </c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16000</v>
      </c>
      <c r="G67" s="1">
        <f t="shared" si="5"/>
        <v>14560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>
        <v>2080</v>
      </c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16500</v>
      </c>
      <c r="G69" s="1">
        <f t="shared" si="5"/>
        <v>15600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>
        <v>1040</v>
      </c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27000</v>
      </c>
      <c r="G70" s="1">
        <f t="shared" si="5"/>
        <v>28080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>
        <v>3120</v>
      </c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24000</v>
      </c>
      <c r="G71" s="1">
        <f t="shared" si="5"/>
        <v>22880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>
        <v>2080</v>
      </c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47000</v>
      </c>
      <c r="G72" s="1">
        <f t="shared" si="5"/>
        <v>20800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6000</v>
      </c>
      <c r="G73" s="1">
        <f t="shared" si="5"/>
        <v>6240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>
        <v>1040</v>
      </c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D77" s="3" t="s">
        <v>103</v>
      </c>
      <c r="E77" s="16" t="s">
        <v>104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105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106</v>
      </c>
      <c r="F79" s="1">
        <f t="shared" si="6"/>
        <v>4000</v>
      </c>
      <c r="G79" s="1">
        <f t="shared" si="7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107</v>
      </c>
      <c r="F80" s="1">
        <f t="shared" si="6"/>
        <v>7000</v>
      </c>
      <c r="G80" s="1">
        <f t="shared" si="7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>
        <v>1040</v>
      </c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108</v>
      </c>
      <c r="E81" s="16" t="s">
        <v>109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103</v>
      </c>
      <c r="E82" s="16" t="s">
        <v>110</v>
      </c>
      <c r="F82" s="1">
        <f t="shared" si="6"/>
        <v>30000</v>
      </c>
      <c r="G82" s="1">
        <f t="shared" si="7"/>
        <v>31200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3" t="s">
        <v>118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3" t="s">
        <v>119</v>
      </c>
      <c r="F91" s="1">
        <f t="shared" si="6"/>
        <v>10000</v>
      </c>
      <c r="G91" s="1">
        <f t="shared" si="7"/>
        <v>10400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2021-01-27T02:22:17Z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