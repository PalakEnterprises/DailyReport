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C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F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J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F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sharedStrings.xml><?xml version="1.0" encoding="utf-8"?>
<sst xmlns="http://schemas.openxmlformats.org/spreadsheetml/2006/main" count="188" uniqueCount="124">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</sst>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8" borderId="4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25" borderId="1" applyNumberForma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" fillId="9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AB33" activePane="bottomRight" state="frozen"/>
      <selection/>
      <selection pane="topRight"/>
      <selection pane="bottomLeft"/>
      <selection pane="bottomRight" activeCell="AE37" sqref="AE37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SUM(F3:F120)</f>
        <v>1229500</v>
      </c>
      <c r="C2" s="9"/>
      <c r="D2" s="10">
        <f>SUM(G3:G120)</f>
        <v>1154920</v>
      </c>
      <c r="E2" s="11" t="s">
        <v>8</v>
      </c>
      <c r="F2" s="9">
        <f>G2/1.04+H2</f>
        <v>1229500</v>
      </c>
      <c r="G2" s="10">
        <f t="shared" ref="G2:G16" si="0">SUM(I2:AM2)</f>
        <v>1154920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47840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12000</v>
      </c>
      <c r="G3" s="1">
        <f t="shared" si="0"/>
        <v>9360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4500</v>
      </c>
      <c r="G4" s="1">
        <f t="shared" si="0"/>
        <v>4680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/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11000</v>
      </c>
      <c r="G5" s="1">
        <f t="shared" si="0"/>
        <v>11440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/>
      <c r="AI5" s="4"/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23000</v>
      </c>
      <c r="G6" s="1">
        <f t="shared" si="0"/>
        <v>20800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61000</v>
      </c>
      <c r="G7" s="1">
        <f t="shared" si="0"/>
        <v>53040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/>
      <c r="AH7" s="4"/>
      <c r="AI7" s="4"/>
      <c r="AJ7" s="4"/>
      <c r="AK7" s="4"/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6000</v>
      </c>
      <c r="G8" s="1">
        <f t="shared" si="0"/>
        <v>6240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6000</v>
      </c>
      <c r="G9" s="1">
        <f t="shared" si="0"/>
        <v>6240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30000</v>
      </c>
      <c r="G10" s="1">
        <f t="shared" si="0"/>
        <v>31200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>
        <v>5200</v>
      </c>
      <c r="AG10" s="4"/>
      <c r="AH10" s="4"/>
      <c r="AI10" s="4"/>
      <c r="AJ10" s="4"/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14000</v>
      </c>
      <c r="G11" s="1">
        <f t="shared" si="0"/>
        <v>12480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/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7000</v>
      </c>
      <c r="G12" s="1">
        <f t="shared" si="0"/>
        <v>7280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/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25000</v>
      </c>
      <c r="G13" s="1">
        <f t="shared" si="0"/>
        <v>26000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/>
      <c r="AH13" s="4"/>
      <c r="AI13" s="4"/>
      <c r="AJ13" s="4"/>
      <c r="AK13" s="4"/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50000</v>
      </c>
      <c r="G14" s="1">
        <f t="shared" si="0"/>
        <v>46800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/>
      <c r="AH14" s="4"/>
      <c r="AI14" s="4"/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8000</v>
      </c>
      <c r="G15" s="1">
        <f t="shared" si="0"/>
        <v>8320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3500</v>
      </c>
      <c r="G16" s="1">
        <f t="shared" si="0"/>
        <v>3120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>
        <v>1040</v>
      </c>
      <c r="AG16" s="4"/>
      <c r="AH16" s="4"/>
      <c r="AI16" s="4"/>
      <c r="AJ16" s="4"/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18000</v>
      </c>
      <c r="G17" s="1">
        <f t="shared" ref="G17:G35" si="3">SUM(I17:AM17)</f>
        <v>18720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/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25000</v>
      </c>
      <c r="G18" s="1">
        <f t="shared" si="3"/>
        <v>20800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>
        <v>5200</v>
      </c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10000</v>
      </c>
      <c r="G19" s="1">
        <f t="shared" si="3"/>
        <v>10400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>
        <v>2080</v>
      </c>
      <c r="AE19" s="4"/>
      <c r="AF19" s="4"/>
      <c r="AG19" s="4"/>
      <c r="AH19" s="4"/>
      <c r="AI19" s="4"/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6000</v>
      </c>
      <c r="G20" s="1">
        <f t="shared" si="3"/>
        <v>6240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/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25000</v>
      </c>
      <c r="G21" s="1">
        <f t="shared" si="3"/>
        <v>20800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/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8000</v>
      </c>
      <c r="G22" s="1">
        <f t="shared" si="3"/>
        <v>8320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15000</v>
      </c>
      <c r="G23" s="1">
        <f t="shared" si="3"/>
        <v>15600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/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30000</v>
      </c>
      <c r="G24" s="1">
        <f t="shared" si="3"/>
        <v>26000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/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24000</v>
      </c>
      <c r="G25" s="1">
        <f t="shared" si="3"/>
        <v>21840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10500</v>
      </c>
      <c r="G26" s="1">
        <f t="shared" si="3"/>
        <v>10400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6000</v>
      </c>
      <c r="G27" s="1">
        <f t="shared" si="3"/>
        <v>6240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6000</v>
      </c>
      <c r="G28" s="1">
        <f t="shared" si="3"/>
        <v>6240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15000</v>
      </c>
      <c r="G29" s="1">
        <f t="shared" si="3"/>
        <v>15600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45000</v>
      </c>
      <c r="G30" s="1">
        <f t="shared" si="3"/>
        <v>41600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/>
      <c r="AH30" s="4"/>
      <c r="AI30" s="4"/>
      <c r="AJ30" s="4"/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8000</v>
      </c>
      <c r="G31" s="1">
        <f t="shared" si="3"/>
        <v>8320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7000</v>
      </c>
      <c r="G32" s="1">
        <f t="shared" si="3"/>
        <v>6240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4000</v>
      </c>
      <c r="G33" s="1">
        <f t="shared" si="3"/>
        <v>4160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9000</v>
      </c>
      <c r="G34" s="1">
        <f t="shared" si="3"/>
        <v>8320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>
        <v>2080</v>
      </c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6" si="4">G35/1.04+H35</f>
        <v>27000</v>
      </c>
      <c r="G35" s="1">
        <f t="shared" si="3"/>
        <v>28080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>
        <v>3120</v>
      </c>
      <c r="AG35" s="4"/>
      <c r="AH35" s="4"/>
      <c r="AI35" s="4"/>
      <c r="AJ35" s="4"/>
      <c r="AK35" s="4"/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3000</v>
      </c>
      <c r="G36" s="1">
        <f t="shared" ref="G36:G73" si="5">SUM(I36:AM36)</f>
        <v>3120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>
        <v>1040</v>
      </c>
      <c r="AG36" s="4"/>
      <c r="AH36" s="4"/>
      <c r="AI36" s="4"/>
      <c r="AJ36" s="4"/>
      <c r="AK36" s="4"/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18000</v>
      </c>
      <c r="G37" s="1">
        <f t="shared" si="5"/>
        <v>15600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4000</v>
      </c>
      <c r="G38" s="1">
        <f t="shared" si="5"/>
        <v>4160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19">
        <v>2080</v>
      </c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14000</v>
      </c>
      <c r="G39" s="1">
        <f t="shared" si="5"/>
        <v>14560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8000</v>
      </c>
      <c r="G40" s="1">
        <f>SUM(J40:AM40)</f>
        <v>8320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/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30000</v>
      </c>
      <c r="G41" s="1">
        <f t="shared" si="5"/>
        <v>28080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/>
      <c r="AH41" s="4"/>
      <c r="AI41" s="4"/>
      <c r="AJ41" s="4"/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4000</v>
      </c>
      <c r="G42" s="1">
        <f t="shared" si="5"/>
        <v>4160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s="3" customFormat="1" spans="1:39">
      <c r="A43" s="3">
        <v>41</v>
      </c>
      <c r="D43" s="3" t="s">
        <v>47</v>
      </c>
      <c r="E43" s="13" t="s">
        <v>59</v>
      </c>
      <c r="F43" s="1">
        <f t="shared" si="4"/>
        <v>0</v>
      </c>
      <c r="G43" s="1">
        <f t="shared" si="5"/>
        <v>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3" t="s">
        <v>60</v>
      </c>
      <c r="F44" s="1">
        <f t="shared" si="4"/>
        <v>24000</v>
      </c>
      <c r="G44" s="1">
        <f t="shared" si="5"/>
        <v>21840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>
        <v>3120</v>
      </c>
      <c r="AG44" s="4"/>
      <c r="AH44" s="4"/>
      <c r="AI44" s="4"/>
      <c r="AJ44" s="4"/>
      <c r="AK44" s="4"/>
      <c r="AL44" s="4"/>
      <c r="AM44" s="4"/>
    </row>
    <row r="45" s="3" customFormat="1" spans="1:39">
      <c r="A45" s="3">
        <v>43</v>
      </c>
      <c r="D45" s="3" t="s">
        <v>61</v>
      </c>
      <c r="E45" s="13" t="s">
        <v>62</v>
      </c>
      <c r="F45" s="1">
        <f t="shared" si="4"/>
        <v>21000</v>
      </c>
      <c r="G45" s="1">
        <f t="shared" si="5"/>
        <v>18720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/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3" t="s">
        <v>63</v>
      </c>
      <c r="F46" s="1">
        <f t="shared" si="4"/>
        <v>15000</v>
      </c>
      <c r="G46" s="1">
        <f t="shared" si="5"/>
        <v>15600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3" t="s">
        <v>64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3" t="s">
        <v>65</v>
      </c>
      <c r="F48" s="1">
        <f t="shared" si="4"/>
        <v>21000</v>
      </c>
      <c r="G48" s="1">
        <f t="shared" si="5"/>
        <v>18720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/>
      <c r="AH48" s="4"/>
      <c r="AI48" s="4"/>
      <c r="AJ48" s="4"/>
      <c r="AK48" s="4"/>
      <c r="AL48" s="4"/>
      <c r="AM48" s="4"/>
    </row>
    <row r="49" s="3" customFormat="1" spans="1:39">
      <c r="A49" s="3">
        <v>47</v>
      </c>
      <c r="D49" s="3" t="s">
        <v>61</v>
      </c>
      <c r="E49" s="13" t="s">
        <v>66</v>
      </c>
      <c r="F49" s="1">
        <f t="shared" si="4"/>
        <v>24000</v>
      </c>
      <c r="G49" s="1">
        <f t="shared" si="5"/>
        <v>21840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>
        <v>3120</v>
      </c>
      <c r="AG49" s="4"/>
      <c r="AH49" s="4"/>
      <c r="AI49" s="4"/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3" t="s">
        <v>67</v>
      </c>
      <c r="F50" s="1">
        <f t="shared" si="4"/>
        <v>8000</v>
      </c>
      <c r="G50" s="1">
        <f t="shared" si="5"/>
        <v>6240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3" t="s">
        <v>68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3" t="s">
        <v>69</v>
      </c>
      <c r="F52" s="1">
        <f t="shared" si="4"/>
        <v>19000</v>
      </c>
      <c r="G52" s="1">
        <f t="shared" si="5"/>
        <v>16640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>
        <v>1040</v>
      </c>
      <c r="AG52" s="4"/>
      <c r="AH52" s="4"/>
      <c r="AI52" s="4"/>
      <c r="AJ52" s="4"/>
      <c r="AK52" s="4"/>
      <c r="AL52" s="4"/>
      <c r="AM52" s="4"/>
    </row>
    <row r="53" s="3" customFormat="1" spans="1:39">
      <c r="A53" s="3">
        <v>51</v>
      </c>
      <c r="B53" s="15"/>
      <c r="D53" s="3" t="s">
        <v>61</v>
      </c>
      <c r="E53" s="16" t="s">
        <v>70</v>
      </c>
      <c r="F53" s="1">
        <f t="shared" si="4"/>
        <v>17000</v>
      </c>
      <c r="G53" s="1">
        <f t="shared" si="5"/>
        <v>16640</v>
      </c>
      <c r="H53" s="14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>
        <v>1040</v>
      </c>
      <c r="AC53" s="4">
        <v>2080</v>
      </c>
      <c r="AD53" s="4">
        <v>1040</v>
      </c>
      <c r="AE53" s="4">
        <v>1040</v>
      </c>
      <c r="AF53" s="4">
        <v>2080</v>
      </c>
      <c r="AG53" s="4"/>
      <c r="AH53" s="4"/>
      <c r="AI53" s="4"/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3" t="s">
        <v>72</v>
      </c>
      <c r="F54" s="1">
        <f t="shared" si="4"/>
        <v>10000</v>
      </c>
      <c r="G54" s="1">
        <f t="shared" si="5"/>
        <v>8320</v>
      </c>
      <c r="H54" s="14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>
        <v>2080</v>
      </c>
      <c r="AG54" s="4"/>
      <c r="AH54" s="4"/>
      <c r="AI54" s="4"/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3" t="s">
        <v>73</v>
      </c>
      <c r="F55" s="1">
        <f t="shared" si="4"/>
        <v>30000</v>
      </c>
      <c r="G55" s="1">
        <f t="shared" si="5"/>
        <v>31200</v>
      </c>
      <c r="H55" s="14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>
        <v>5200</v>
      </c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s="3" customFormat="1" spans="1:39">
      <c r="A56" s="3">
        <v>54</v>
      </c>
      <c r="D56" s="3" t="s">
        <v>71</v>
      </c>
      <c r="E56" s="13" t="s">
        <v>74</v>
      </c>
      <c r="F56" s="1">
        <f t="shared" si="4"/>
        <v>6000</v>
      </c>
      <c r="G56" s="1">
        <f t="shared" si="5"/>
        <v>6240</v>
      </c>
      <c r="H56" s="14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>
        <v>2080</v>
      </c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5"/>
      <c r="D57" s="3" t="s">
        <v>75</v>
      </c>
      <c r="E57" s="16" t="s">
        <v>76</v>
      </c>
      <c r="F57" s="1">
        <f t="shared" si="4"/>
        <v>35000</v>
      </c>
      <c r="G57" s="1">
        <f t="shared" si="5"/>
        <v>31200</v>
      </c>
      <c r="H57" s="14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>
        <v>5200</v>
      </c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C58" s="17" t="s">
        <v>77</v>
      </c>
      <c r="D58" s="3" t="s">
        <v>75</v>
      </c>
      <c r="E58" s="13" t="s">
        <v>78</v>
      </c>
      <c r="F58" s="1">
        <f t="shared" si="4"/>
        <v>10000</v>
      </c>
      <c r="G58" s="1">
        <f t="shared" si="5"/>
        <v>10400</v>
      </c>
      <c r="H58" s="14">
        <v>0</v>
      </c>
      <c r="I58" s="4"/>
      <c r="J58" s="4"/>
      <c r="K58" s="4"/>
      <c r="L58" s="19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5"/>
      <c r="D59" s="3" t="s">
        <v>79</v>
      </c>
      <c r="E59" s="16" t="s">
        <v>80</v>
      </c>
      <c r="F59" s="1">
        <f t="shared" si="4"/>
        <v>19000</v>
      </c>
      <c r="G59" s="1">
        <f t="shared" si="5"/>
        <v>18720</v>
      </c>
      <c r="H59" s="14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>
        <v>2080</v>
      </c>
      <c r="AD59" s="4">
        <v>2080</v>
      </c>
      <c r="AE59" s="4"/>
      <c r="AF59" s="4"/>
      <c r="AG59" s="4"/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5"/>
      <c r="D60" s="3" t="s">
        <v>81</v>
      </c>
      <c r="E60" s="16" t="s">
        <v>82</v>
      </c>
      <c r="F60" s="1">
        <f t="shared" si="4"/>
        <v>8000</v>
      </c>
      <c r="G60" s="1">
        <f t="shared" si="5"/>
        <v>6240</v>
      </c>
      <c r="H60" s="14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>
        <v>2080</v>
      </c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3" t="s">
        <v>84</v>
      </c>
      <c r="F61" s="1">
        <f t="shared" si="4"/>
        <v>12000</v>
      </c>
      <c r="G61" s="1">
        <f t="shared" si="5"/>
        <v>12480</v>
      </c>
      <c r="H61" s="14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19">
        <v>2080</v>
      </c>
      <c r="AF61" s="4"/>
      <c r="AG61" s="4"/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83</v>
      </c>
      <c r="E62" s="13" t="s">
        <v>85</v>
      </c>
      <c r="F62" s="1">
        <f t="shared" si="4"/>
        <v>10000</v>
      </c>
      <c r="G62" s="1">
        <f t="shared" si="5"/>
        <v>10400</v>
      </c>
      <c r="H62" s="14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>
        <v>2080</v>
      </c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s="3" customFormat="1" spans="1:39">
      <c r="A63" s="3">
        <v>61</v>
      </c>
      <c r="D63" s="3" t="s">
        <v>83</v>
      </c>
      <c r="E63" s="13" t="s">
        <v>86</v>
      </c>
      <c r="F63" s="1">
        <f t="shared" si="4"/>
        <v>6000</v>
      </c>
      <c r="G63" s="1">
        <f t="shared" si="5"/>
        <v>6240</v>
      </c>
      <c r="H63" s="14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>
        <v>2080</v>
      </c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3" t="s">
        <v>87</v>
      </c>
      <c r="F64" s="1">
        <f t="shared" si="4"/>
        <v>3000</v>
      </c>
      <c r="G64" s="1">
        <f t="shared" si="5"/>
        <v>3120</v>
      </c>
      <c r="H64" s="14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>
        <v>1040</v>
      </c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3" t="s">
        <v>88</v>
      </c>
      <c r="F65" s="1">
        <f t="shared" si="4"/>
        <v>45000</v>
      </c>
      <c r="G65" s="1">
        <f t="shared" si="5"/>
        <v>46800</v>
      </c>
      <c r="H65" s="14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>
        <v>5200</v>
      </c>
      <c r="AD65" s="4"/>
      <c r="AE65" s="4">
        <v>5200</v>
      </c>
      <c r="AF65" s="4"/>
      <c r="AG65" s="4"/>
      <c r="AH65" s="4"/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83</v>
      </c>
      <c r="E66" s="13" t="s">
        <v>89</v>
      </c>
      <c r="F66" s="1">
        <f t="shared" si="4"/>
        <v>24000</v>
      </c>
      <c r="G66" s="1">
        <f t="shared" si="5"/>
        <v>21840</v>
      </c>
      <c r="H66" s="14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>
        <v>3120</v>
      </c>
      <c r="AC66" s="4"/>
      <c r="AD66" s="4"/>
      <c r="AE66" s="4">
        <v>3120</v>
      </c>
      <c r="AF66" s="4"/>
      <c r="AG66" s="4"/>
      <c r="AH66" s="4"/>
      <c r="AI66" s="4"/>
      <c r="AJ66" s="4"/>
      <c r="AK66" s="4"/>
      <c r="AL66" s="4"/>
      <c r="AM66" s="4"/>
    </row>
    <row r="67" s="3" customFormat="1" spans="1:39">
      <c r="A67" s="3">
        <v>65</v>
      </c>
      <c r="B67" s="15"/>
      <c r="D67" s="3" t="s">
        <v>83</v>
      </c>
      <c r="E67" s="16" t="s">
        <v>90</v>
      </c>
      <c r="F67" s="1">
        <f t="shared" ref="F67:F95" si="6">G67/1.04+H67</f>
        <v>14000</v>
      </c>
      <c r="G67" s="1">
        <f t="shared" si="5"/>
        <v>12480</v>
      </c>
      <c r="H67" s="14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>
        <v>2080</v>
      </c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s="3" customFormat="1" spans="1:39">
      <c r="A68" s="3">
        <v>66</v>
      </c>
      <c r="B68" s="15"/>
      <c r="D68" s="3" t="s">
        <v>83</v>
      </c>
      <c r="E68" s="16" t="s">
        <v>91</v>
      </c>
      <c r="F68" s="1">
        <f t="shared" si="6"/>
        <v>2500</v>
      </c>
      <c r="G68" s="1">
        <f t="shared" si="5"/>
        <v>2080</v>
      </c>
      <c r="H68" s="14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3" t="s">
        <v>93</v>
      </c>
      <c r="F69" s="1">
        <f t="shared" si="6"/>
        <v>15500</v>
      </c>
      <c r="G69" s="1">
        <f t="shared" si="5"/>
        <v>14560</v>
      </c>
      <c r="H69" s="14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>
        <v>1040</v>
      </c>
      <c r="AE69" s="4">
        <v>1040</v>
      </c>
      <c r="AF69" s="4">
        <v>1040</v>
      </c>
      <c r="AG69" s="4"/>
      <c r="AH69" s="4"/>
      <c r="AI69" s="4"/>
      <c r="AJ69" s="4"/>
      <c r="AK69" s="4"/>
      <c r="AL69" s="4"/>
      <c r="AM69" s="4"/>
    </row>
    <row r="70" s="3" customFormat="1" spans="1:39">
      <c r="A70" s="3">
        <v>68</v>
      </c>
      <c r="D70" s="3" t="s">
        <v>92</v>
      </c>
      <c r="E70" s="13" t="s">
        <v>94</v>
      </c>
      <c r="F70" s="1">
        <f t="shared" si="6"/>
        <v>24000</v>
      </c>
      <c r="G70" s="1">
        <f t="shared" si="5"/>
        <v>24960</v>
      </c>
      <c r="H70" s="14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>
        <v>3120</v>
      </c>
      <c r="AE70" s="4"/>
      <c r="AF70" s="4"/>
      <c r="AG70" s="4"/>
      <c r="AH70" s="4"/>
      <c r="AI70" s="4"/>
      <c r="AJ70" s="4"/>
      <c r="AK70" s="4"/>
      <c r="AL70" s="4"/>
      <c r="AM70" s="4"/>
    </row>
    <row r="71" s="3" customFormat="1" spans="1:39">
      <c r="A71" s="3">
        <v>69</v>
      </c>
      <c r="D71" s="3" t="s">
        <v>92</v>
      </c>
      <c r="E71" s="13" t="s">
        <v>95</v>
      </c>
      <c r="F71" s="1">
        <f t="shared" si="6"/>
        <v>22000</v>
      </c>
      <c r="G71" s="1">
        <f t="shared" si="5"/>
        <v>20800</v>
      </c>
      <c r="H71" s="14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>
        <v>2080</v>
      </c>
      <c r="AC71" s="4"/>
      <c r="AD71" s="4"/>
      <c r="AE71" s="4"/>
      <c r="AF71" s="4">
        <v>2080</v>
      </c>
      <c r="AG71" s="4"/>
      <c r="AH71" s="4"/>
      <c r="AI71" s="4"/>
      <c r="AJ71" s="4"/>
      <c r="AK71" s="4"/>
      <c r="AL71" s="4"/>
      <c r="AM71" s="4"/>
    </row>
    <row r="72" s="3" customFormat="1" spans="1:39">
      <c r="A72" s="3">
        <v>70</v>
      </c>
      <c r="B72" s="15"/>
      <c r="E72" s="16" t="s">
        <v>96</v>
      </c>
      <c r="F72" s="1">
        <f t="shared" si="6"/>
        <v>47000</v>
      </c>
      <c r="G72" s="1">
        <f t="shared" si="5"/>
        <v>20800</v>
      </c>
      <c r="H72" s="14">
        <v>27000</v>
      </c>
      <c r="I72" s="22"/>
      <c r="J72" s="22"/>
      <c r="K72" s="22"/>
      <c r="L72" s="22">
        <v>2080</v>
      </c>
      <c r="M72" s="23">
        <v>4160</v>
      </c>
      <c r="N72" s="22">
        <v>2080</v>
      </c>
      <c r="O72" s="22"/>
      <c r="P72" s="22"/>
      <c r="Q72" s="22">
        <v>2080</v>
      </c>
      <c r="R72" s="22"/>
      <c r="S72" s="22">
        <v>2080</v>
      </c>
      <c r="T72" s="22">
        <v>2080</v>
      </c>
      <c r="U72" s="4">
        <v>2080</v>
      </c>
      <c r="V72" s="24"/>
      <c r="W72" s="24"/>
      <c r="X72" s="24"/>
      <c r="Y72" s="24"/>
      <c r="Z72" s="4"/>
      <c r="AA72" s="4"/>
      <c r="AB72" s="4">
        <v>2080</v>
      </c>
      <c r="AC72" s="4"/>
      <c r="AD72" s="4">
        <v>2080</v>
      </c>
      <c r="AE72" s="4"/>
      <c r="AF72" s="4"/>
      <c r="AG72" s="4"/>
      <c r="AH72" s="4"/>
      <c r="AI72" s="4"/>
      <c r="AJ72" s="4"/>
      <c r="AK72" s="4"/>
      <c r="AL72" s="4"/>
      <c r="AM72" s="4"/>
    </row>
    <row r="73" s="3" customFormat="1" spans="1:39">
      <c r="A73" s="3">
        <v>71</v>
      </c>
      <c r="B73" s="15"/>
      <c r="D73" s="3" t="s">
        <v>97</v>
      </c>
      <c r="E73" s="16" t="s">
        <v>98</v>
      </c>
      <c r="F73" s="1">
        <f t="shared" si="6"/>
        <v>5000</v>
      </c>
      <c r="G73" s="1">
        <f t="shared" si="5"/>
        <v>5200</v>
      </c>
      <c r="H73" s="14">
        <v>0</v>
      </c>
      <c r="I73" s="4"/>
      <c r="J73" s="4"/>
      <c r="K73" s="4"/>
      <c r="L73" s="4"/>
      <c r="M73" s="4"/>
      <c r="N73" s="4"/>
      <c r="O73" s="19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>
        <v>2080</v>
      </c>
      <c r="AG73" s="4"/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5"/>
      <c r="E74" s="16" t="s">
        <v>99</v>
      </c>
      <c r="F74" s="1">
        <f t="shared" si="6"/>
        <v>0</v>
      </c>
      <c r="G74" s="1">
        <f t="shared" ref="G69:G95" si="7">SUM(I74:AM74)</f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5"/>
      <c r="D75" s="3" t="s">
        <v>100</v>
      </c>
      <c r="E75" s="16" t="s">
        <v>101</v>
      </c>
      <c r="F75" s="1">
        <f t="shared" si="6"/>
        <v>6000</v>
      </c>
      <c r="G75" s="1">
        <f t="shared" si="7"/>
        <v>6240</v>
      </c>
      <c r="H75" s="14">
        <v>0</v>
      </c>
      <c r="I75" s="4"/>
      <c r="J75" s="4"/>
      <c r="K75" s="4"/>
      <c r="L75" s="4"/>
      <c r="M75" s="19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>
        <v>2080</v>
      </c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5"/>
      <c r="E76" s="16" t="s">
        <v>102</v>
      </c>
      <c r="F76" s="1">
        <f t="shared" si="6"/>
        <v>0</v>
      </c>
      <c r="G76" s="1">
        <f t="shared" si="7"/>
        <v>0</v>
      </c>
      <c r="H76" s="14">
        <v>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5"/>
      <c r="C77" s="3">
        <v>683879115</v>
      </c>
      <c r="D77" s="3" t="s">
        <v>103</v>
      </c>
      <c r="E77" s="16" t="s">
        <v>104</v>
      </c>
      <c r="F77" s="1">
        <f t="shared" si="6"/>
        <v>6000</v>
      </c>
      <c r="G77" s="1">
        <f t="shared" si="7"/>
        <v>6240</v>
      </c>
      <c r="H77" s="14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19">
        <v>2080</v>
      </c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5"/>
      <c r="D78" s="3" t="s">
        <v>61</v>
      </c>
      <c r="E78" s="16" t="s">
        <v>105</v>
      </c>
      <c r="F78" s="1">
        <f t="shared" si="6"/>
        <v>4000</v>
      </c>
      <c r="G78" s="1">
        <f t="shared" si="7"/>
        <v>4160</v>
      </c>
      <c r="H78" s="14">
        <v>0</v>
      </c>
      <c r="I78" s="4"/>
      <c r="J78" s="4"/>
      <c r="K78" s="4"/>
      <c r="L78" s="4"/>
      <c r="M78" s="4"/>
      <c r="N78" s="4"/>
      <c r="O78" s="4"/>
      <c r="P78" s="19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19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5"/>
      <c r="E79" s="16" t="s">
        <v>106</v>
      </c>
      <c r="F79" s="1">
        <f t="shared" si="6"/>
        <v>4000</v>
      </c>
      <c r="G79" s="1">
        <f t="shared" si="7"/>
        <v>4160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>
        <v>3120</v>
      </c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5"/>
      <c r="D80" s="3" t="s">
        <v>61</v>
      </c>
      <c r="E80" s="16" t="s">
        <v>107</v>
      </c>
      <c r="F80" s="1">
        <f t="shared" si="6"/>
        <v>6000</v>
      </c>
      <c r="G80" s="1">
        <f t="shared" si="7"/>
        <v>6240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19">
        <v>2080</v>
      </c>
      <c r="V80" s="4"/>
      <c r="W80" s="4">
        <v>1040</v>
      </c>
      <c r="X80" s="4">
        <v>1040</v>
      </c>
      <c r="Y80" s="4"/>
      <c r="Z80" s="4"/>
      <c r="AA80" s="4"/>
      <c r="AB80" s="4">
        <v>1040</v>
      </c>
      <c r="AC80" s="4"/>
      <c r="AD80" s="4">
        <v>1040</v>
      </c>
      <c r="AE80" s="4"/>
      <c r="AF80" s="4"/>
      <c r="AG80" s="4"/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5"/>
      <c r="D81" s="3" t="s">
        <v>108</v>
      </c>
      <c r="E81" s="16" t="s">
        <v>109</v>
      </c>
      <c r="F81" s="1">
        <f t="shared" si="6"/>
        <v>6000</v>
      </c>
      <c r="G81" s="1">
        <f t="shared" si="7"/>
        <v>6240</v>
      </c>
      <c r="H81" s="14">
        <v>0</v>
      </c>
      <c r="I81" s="24"/>
      <c r="J81" s="24"/>
      <c r="K81" s="24"/>
      <c r="L81" s="24"/>
      <c r="M81" s="24"/>
      <c r="N81" s="24"/>
      <c r="O81" s="22">
        <v>2080</v>
      </c>
      <c r="P81" s="24"/>
      <c r="Q81" s="24"/>
      <c r="R81" s="24"/>
      <c r="S81" s="24"/>
      <c r="T81" s="24"/>
      <c r="U81" s="24"/>
      <c r="V81" s="24"/>
      <c r="W81" s="22">
        <v>2080</v>
      </c>
      <c r="X81" s="24"/>
      <c r="Y81" s="24"/>
      <c r="Z81" s="24"/>
      <c r="AA81" s="4"/>
      <c r="AB81" s="4">
        <v>2080</v>
      </c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5"/>
      <c r="D82" s="3" t="s">
        <v>103</v>
      </c>
      <c r="E82" s="16" t="s">
        <v>110</v>
      </c>
      <c r="F82" s="1">
        <f t="shared" si="6"/>
        <v>30000</v>
      </c>
      <c r="G82" s="1">
        <f t="shared" si="7"/>
        <v>31200</v>
      </c>
      <c r="H82" s="14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>
        <v>5200</v>
      </c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s="3" customFormat="1" spans="1:39">
      <c r="A83" s="3">
        <v>81</v>
      </c>
      <c r="B83" s="15"/>
      <c r="E83" s="16" t="s">
        <v>111</v>
      </c>
      <c r="F83" s="1">
        <f t="shared" si="6"/>
        <v>0</v>
      </c>
      <c r="G83" s="1">
        <f t="shared" si="7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5"/>
      <c r="E84" s="16" t="s">
        <v>112</v>
      </c>
      <c r="F84" s="1">
        <f t="shared" si="6"/>
        <v>0</v>
      </c>
      <c r="G84" s="1">
        <f t="shared" si="7"/>
        <v>0</v>
      </c>
      <c r="H84" s="14">
        <v>0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5"/>
      <c r="C85" s="3">
        <v>683909556</v>
      </c>
      <c r="E85" s="16" t="s">
        <v>113</v>
      </c>
      <c r="F85" s="1">
        <f t="shared" si="6"/>
        <v>0</v>
      </c>
      <c r="G85" s="1">
        <f t="shared" si="7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5"/>
      <c r="E86" s="16" t="s">
        <v>114</v>
      </c>
      <c r="F86" s="1">
        <f t="shared" si="6"/>
        <v>0</v>
      </c>
      <c r="G86" s="1">
        <f t="shared" si="7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115</v>
      </c>
      <c r="F87" s="1">
        <f t="shared" si="6"/>
        <v>1000</v>
      </c>
      <c r="G87" s="1">
        <f t="shared" si="7"/>
        <v>1040</v>
      </c>
      <c r="H87" s="14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116</v>
      </c>
      <c r="F88" s="1">
        <f t="shared" si="6"/>
        <v>0</v>
      </c>
      <c r="G88" s="1">
        <f t="shared" si="7"/>
        <v>0</v>
      </c>
      <c r="H88" s="14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117</v>
      </c>
      <c r="F89" s="1">
        <f t="shared" si="6"/>
        <v>0</v>
      </c>
      <c r="G89" s="1">
        <f t="shared" si="7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D90" s="3" t="s">
        <v>103</v>
      </c>
      <c r="E90" s="13" t="s">
        <v>118</v>
      </c>
      <c r="F90" s="1">
        <f t="shared" si="6"/>
        <v>6000</v>
      </c>
      <c r="G90" s="1">
        <f t="shared" si="7"/>
        <v>6240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>
        <v>5200</v>
      </c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71</v>
      </c>
      <c r="E91" s="13" t="s">
        <v>119</v>
      </c>
      <c r="F91" s="1">
        <f t="shared" si="6"/>
        <v>10000</v>
      </c>
      <c r="G91" s="1">
        <f t="shared" si="7"/>
        <v>10400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>
        <v>5200</v>
      </c>
      <c r="AE91" s="4">
        <v>5200</v>
      </c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120</v>
      </c>
      <c r="F92" s="1">
        <f t="shared" si="6"/>
        <v>0</v>
      </c>
      <c r="G92" s="1">
        <f t="shared" si="7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121</v>
      </c>
      <c r="F93" s="1">
        <f t="shared" si="6"/>
        <v>0</v>
      </c>
      <c r="G93" s="1">
        <f t="shared" si="7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1" t="s">
        <v>122</v>
      </c>
      <c r="F94" s="1">
        <f t="shared" si="6"/>
        <v>0</v>
      </c>
      <c r="G94" s="1">
        <f t="shared" si="7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">
        <f t="shared" si="6"/>
        <v>7000</v>
      </c>
      <c r="G95" s="1">
        <f t="shared" si="7"/>
        <v>7280</v>
      </c>
      <c r="H95" s="5">
        <v>0</v>
      </c>
      <c r="I95" s="4"/>
      <c r="J95" s="4"/>
      <c r="K95" s="4"/>
      <c r="L95" s="4"/>
      <c r="M95" s="19">
        <v>2080</v>
      </c>
      <c r="N95" s="4"/>
      <c r="O95" s="4"/>
      <c r="P95" s="4"/>
      <c r="Q95" s="19">
        <v>2080</v>
      </c>
      <c r="R95" s="4"/>
      <c r="S95" s="4"/>
      <c r="T95" s="4"/>
      <c r="U95" s="4"/>
      <c r="V95" s="4"/>
      <c r="W95" s="4"/>
      <c r="X95" s="4"/>
      <c r="Y95" s="19">
        <v>1040</v>
      </c>
      <c r="Z95" s="4"/>
      <c r="AA95" s="4"/>
      <c r="AB95" s="4">
        <v>2080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2021-01-24T14:10:43Z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