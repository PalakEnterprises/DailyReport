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C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J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</commentList>
</comments>
</file>

<file path=xl/sharedStrings.xml><?xml version="1.0" encoding="utf-8"?>
<sst xmlns="http://schemas.openxmlformats.org/spreadsheetml/2006/main" count="189" uniqueCount="124">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</sst>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9" borderId="6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6" borderId="4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5" borderId="7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7" fillId="25" borderId="4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AB71" activePane="bottomRight" state="frozen"/>
      <selection/>
      <selection pane="topRight"/>
      <selection pane="bottomLeft"/>
      <selection pane="bottomRight" activeCell="AB74" sqref="AB74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1200500</v>
      </c>
      <c r="C2" s="9"/>
      <c r="D2" s="10">
        <f>SUM(G3:G120)</f>
        <v>1124760</v>
      </c>
      <c r="E2" s="11" t="s">
        <v>8</v>
      </c>
      <c r="F2" s="9">
        <f>G2/1.04+H2</f>
        <v>1200500</v>
      </c>
      <c r="G2" s="10">
        <f t="shared" ref="G2:G16" si="0">SUM(I2:AM2)</f>
        <v>1124760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17680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12000</v>
      </c>
      <c r="G3" s="1">
        <f t="shared" si="0"/>
        <v>9360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4500</v>
      </c>
      <c r="G4" s="1">
        <f t="shared" si="0"/>
        <v>4680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11000</v>
      </c>
      <c r="G5" s="1">
        <f t="shared" si="0"/>
        <v>11440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/>
      <c r="AI5" s="4"/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23000</v>
      </c>
      <c r="G6" s="1">
        <f t="shared" si="0"/>
        <v>20800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61000</v>
      </c>
      <c r="G7" s="1">
        <f t="shared" si="0"/>
        <v>53040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/>
      <c r="AH7" s="4"/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25000</v>
      </c>
      <c r="G10" s="1">
        <f t="shared" si="0"/>
        <v>26000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14000</v>
      </c>
      <c r="G11" s="1">
        <f t="shared" si="0"/>
        <v>12480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/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7000</v>
      </c>
      <c r="G12" s="1">
        <f t="shared" si="0"/>
        <v>7280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25000</v>
      </c>
      <c r="G13" s="1">
        <f t="shared" si="0"/>
        <v>26000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/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50000</v>
      </c>
      <c r="G14" s="1">
        <f t="shared" si="0"/>
        <v>46800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/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8000</v>
      </c>
      <c r="G15" s="1">
        <f t="shared" si="0"/>
        <v>8320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2500</v>
      </c>
      <c r="G16" s="1">
        <f t="shared" si="0"/>
        <v>2080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18000</v>
      </c>
      <c r="G17" s="1">
        <f t="shared" ref="G17:G35" si="3">SUM(I17:AM17)</f>
        <v>18720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/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20000</v>
      </c>
      <c r="G18" s="1">
        <f t="shared" si="3"/>
        <v>15600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10000</v>
      </c>
      <c r="G19" s="1">
        <f t="shared" si="3"/>
        <v>10400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/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6000</v>
      </c>
      <c r="G20" s="1">
        <f t="shared" si="3"/>
        <v>6240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/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25000</v>
      </c>
      <c r="G21" s="1">
        <f t="shared" si="3"/>
        <v>20800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8000</v>
      </c>
      <c r="G22" s="1">
        <f t="shared" si="3"/>
        <v>8320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15000</v>
      </c>
      <c r="G23" s="1">
        <f t="shared" si="3"/>
        <v>15600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30000</v>
      </c>
      <c r="G24" s="1">
        <f t="shared" si="3"/>
        <v>26000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/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24000</v>
      </c>
      <c r="G25" s="1">
        <f t="shared" si="3"/>
        <v>21840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10500</v>
      </c>
      <c r="G26" s="1">
        <f t="shared" si="3"/>
        <v>10400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6000</v>
      </c>
      <c r="G28" s="1">
        <f t="shared" si="3"/>
        <v>6240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15000</v>
      </c>
      <c r="G29" s="1">
        <f t="shared" si="3"/>
        <v>15600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45000</v>
      </c>
      <c r="G30" s="1">
        <f t="shared" si="3"/>
        <v>41600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/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8000</v>
      </c>
      <c r="G31" s="1">
        <f t="shared" si="3"/>
        <v>8320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7000</v>
      </c>
      <c r="G32" s="1">
        <f t="shared" si="3"/>
        <v>6240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4000</v>
      </c>
      <c r="G33" s="1">
        <f t="shared" si="3"/>
        <v>4160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7000</v>
      </c>
      <c r="G34" s="1">
        <f t="shared" si="3"/>
        <v>6240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24000</v>
      </c>
      <c r="G35" s="1">
        <f t="shared" si="3"/>
        <v>24960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/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2000</v>
      </c>
      <c r="G36" s="1">
        <f t="shared" ref="G36:G73" si="5">SUM(I36:AM36)</f>
        <v>2080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18000</v>
      </c>
      <c r="G37" s="1">
        <f t="shared" si="5"/>
        <v>15600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4000</v>
      </c>
      <c r="G38" s="1">
        <f t="shared" si="5"/>
        <v>4160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14000</v>
      </c>
      <c r="G39" s="1">
        <f t="shared" si="5"/>
        <v>14560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8000</v>
      </c>
      <c r="G40" s="1">
        <f>SUM(J40:AM40)</f>
        <v>8320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30000</v>
      </c>
      <c r="G41" s="1">
        <f t="shared" si="5"/>
        <v>28080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/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4000</v>
      </c>
      <c r="G42" s="1">
        <f t="shared" si="5"/>
        <v>4160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">
        <f t="shared" si="4"/>
        <v>0</v>
      </c>
      <c r="G43" s="1">
        <f t="shared" si="5"/>
        <v>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">
        <f t="shared" si="4"/>
        <v>21000</v>
      </c>
      <c r="G44" s="1">
        <f t="shared" si="5"/>
        <v>18720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">
        <f t="shared" si="4"/>
        <v>21000</v>
      </c>
      <c r="G45" s="1">
        <f t="shared" si="5"/>
        <v>18720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/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">
        <f t="shared" si="4"/>
        <v>15000</v>
      </c>
      <c r="G46" s="1">
        <f t="shared" si="5"/>
        <v>15600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">
        <f t="shared" si="4"/>
        <v>21000</v>
      </c>
      <c r="G48" s="1">
        <f t="shared" si="5"/>
        <v>18720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/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">
        <f t="shared" si="4"/>
        <v>21000</v>
      </c>
      <c r="G49" s="1">
        <f t="shared" si="5"/>
        <v>18720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">
        <f t="shared" si="4"/>
        <v>18000</v>
      </c>
      <c r="G52" s="1">
        <f t="shared" si="5"/>
        <v>15600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/>
      <c r="AG52" s="4"/>
      <c r="AH52" s="4"/>
      <c r="AI52" s="4"/>
      <c r="AJ52" s="4"/>
      <c r="AK52" s="4"/>
      <c r="AL52" s="4"/>
      <c r="AM52" s="4"/>
    </row>
    <row r="53" s="3" customFormat="1" spans="1:39">
      <c r="A53" s="3">
        <v>51</v>
      </c>
      <c r="B53" s="15"/>
      <c r="D53" s="3" t="s">
        <v>61</v>
      </c>
      <c r="E53" s="16" t="s">
        <v>70</v>
      </c>
      <c r="F53" s="1">
        <f t="shared" si="4"/>
        <v>16000</v>
      </c>
      <c r="G53" s="1">
        <f t="shared" si="5"/>
        <v>15600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2080</v>
      </c>
      <c r="AD53" s="4">
        <v>1040</v>
      </c>
      <c r="AE53" s="4">
        <v>1040</v>
      </c>
      <c r="AF53" s="4">
        <v>1040</v>
      </c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">
        <f t="shared" si="4"/>
        <v>10000</v>
      </c>
      <c r="G54" s="1">
        <f t="shared" si="5"/>
        <v>8320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>
        <v>2080</v>
      </c>
      <c r="AG54" s="4"/>
      <c r="AH54" s="4"/>
      <c r="AI54" s="4"/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">
        <f t="shared" si="4"/>
        <v>30000</v>
      </c>
      <c r="G55" s="1">
        <f t="shared" si="5"/>
        <v>31200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>
        <v>5200</v>
      </c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">
        <f t="shared" si="4"/>
        <v>6000</v>
      </c>
      <c r="G56" s="1">
        <f t="shared" si="5"/>
        <v>6240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5"/>
      <c r="D57" s="3" t="s">
        <v>75</v>
      </c>
      <c r="E57" s="16" t="s">
        <v>76</v>
      </c>
      <c r="F57" s="1">
        <f t="shared" si="4"/>
        <v>35000</v>
      </c>
      <c r="G57" s="1">
        <f t="shared" si="5"/>
        <v>31200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7" t="s">
        <v>77</v>
      </c>
      <c r="D58" s="3" t="s">
        <v>75</v>
      </c>
      <c r="E58" s="13" t="s">
        <v>78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5"/>
      <c r="D59" s="3" t="s">
        <v>79</v>
      </c>
      <c r="E59" s="16" t="s">
        <v>80</v>
      </c>
      <c r="F59" s="1">
        <f t="shared" si="4"/>
        <v>19000</v>
      </c>
      <c r="G59" s="1">
        <f t="shared" si="5"/>
        <v>18720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>
        <v>2080</v>
      </c>
      <c r="AE59" s="4"/>
      <c r="AF59" s="4"/>
      <c r="AG59" s="4"/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5"/>
      <c r="D60" s="3" t="s">
        <v>81</v>
      </c>
      <c r="E60" s="16" t="s">
        <v>82</v>
      </c>
      <c r="F60" s="1">
        <f t="shared" si="4"/>
        <v>8000</v>
      </c>
      <c r="G60" s="1">
        <f t="shared" si="5"/>
        <v>6240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>
        <v>2080</v>
      </c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">
        <f t="shared" si="4"/>
        <v>12000</v>
      </c>
      <c r="G61" s="1">
        <f t="shared" si="5"/>
        <v>12480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19">
        <v>2080</v>
      </c>
      <c r="AF61" s="4"/>
      <c r="AG61" s="4"/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">
        <f t="shared" si="4"/>
        <v>10000</v>
      </c>
      <c r="G62" s="1">
        <f t="shared" si="5"/>
        <v>10400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">
        <f t="shared" si="4"/>
        <v>6000</v>
      </c>
      <c r="G63" s="1">
        <f t="shared" si="5"/>
        <v>6240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>
        <v>2080</v>
      </c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">
        <f t="shared" si="4"/>
        <v>3000</v>
      </c>
      <c r="G64" s="1">
        <f t="shared" si="5"/>
        <v>3120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>
        <v>1040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">
        <f t="shared" si="4"/>
        <v>45000</v>
      </c>
      <c r="G65" s="1">
        <f t="shared" si="5"/>
        <v>46800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>
        <v>5200</v>
      </c>
      <c r="AD65" s="4"/>
      <c r="AE65" s="4">
        <v>5200</v>
      </c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">
        <f t="shared" si="4"/>
        <v>24000</v>
      </c>
      <c r="G66" s="1">
        <f t="shared" si="5"/>
        <v>21840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>
        <v>3120</v>
      </c>
      <c r="AF66" s="4"/>
      <c r="AG66" s="4"/>
      <c r="AH66" s="4"/>
      <c r="AI66" s="4"/>
      <c r="AJ66" s="4"/>
      <c r="AK66" s="4"/>
      <c r="AL66" s="4"/>
      <c r="AM66" s="4"/>
    </row>
    <row r="67" s="3" customFormat="1" spans="1:39">
      <c r="A67" s="3">
        <v>65</v>
      </c>
      <c r="B67" s="15"/>
      <c r="D67" s="3" t="s">
        <v>83</v>
      </c>
      <c r="E67" s="16" t="s">
        <v>90</v>
      </c>
      <c r="F67" s="1">
        <f t="shared" ref="F67:F95" si="6">G67/1.04+H67</f>
        <v>14000</v>
      </c>
      <c r="G67" s="1">
        <f t="shared" si="5"/>
        <v>12480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s="3" customFormat="1" spans="1:39">
      <c r="A68" s="3">
        <v>66</v>
      </c>
      <c r="B68" s="15"/>
      <c r="D68" s="3" t="s">
        <v>83</v>
      </c>
      <c r="E68" s="16" t="s">
        <v>91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">
        <f t="shared" si="6"/>
        <v>14500</v>
      </c>
      <c r="G69" s="1">
        <f t="shared" si="5"/>
        <v>13520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>
        <v>1040</v>
      </c>
      <c r="AE69" s="4">
        <v>1040</v>
      </c>
      <c r="AF69" s="4"/>
      <c r="AG69" s="4"/>
      <c r="AH69" s="4"/>
      <c r="AI69" s="4"/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">
        <f t="shared" si="6"/>
        <v>24000</v>
      </c>
      <c r="G70" s="1">
        <f t="shared" si="5"/>
        <v>24960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>
        <v>3120</v>
      </c>
      <c r="AE70" s="4"/>
      <c r="AF70" s="4"/>
      <c r="AG70" s="4"/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">
        <f t="shared" si="6"/>
        <v>20000</v>
      </c>
      <c r="G71" s="1">
        <f t="shared" si="5"/>
        <v>18720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s="3" customFormat="1" spans="1:39">
      <c r="A72" s="3">
        <v>70</v>
      </c>
      <c r="B72" s="15"/>
      <c r="E72" s="16" t="s">
        <v>96</v>
      </c>
      <c r="F72" s="1">
        <f t="shared" si="6"/>
        <v>47000</v>
      </c>
      <c r="G72" s="1">
        <f t="shared" si="5"/>
        <v>20800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>
        <v>2080</v>
      </c>
      <c r="AC72" s="4"/>
      <c r="AD72" s="4">
        <v>2080</v>
      </c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5"/>
      <c r="D73" s="3" t="s">
        <v>97</v>
      </c>
      <c r="E73" s="16" t="s">
        <v>98</v>
      </c>
      <c r="F73" s="1">
        <f t="shared" si="6"/>
        <v>4000</v>
      </c>
      <c r="G73" s="1">
        <f t="shared" si="5"/>
        <v>4160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>
        <v>1040</v>
      </c>
      <c r="AG73" s="4"/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5"/>
      <c r="E74" s="16" t="s">
        <v>99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5"/>
      <c r="D75" s="3" t="s">
        <v>100</v>
      </c>
      <c r="E75" s="16" t="s">
        <v>101</v>
      </c>
      <c r="F75" s="1">
        <f t="shared" si="6"/>
        <v>6000</v>
      </c>
      <c r="G75" s="1">
        <f t="shared" si="7"/>
        <v>6240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>
        <v>2080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5"/>
      <c r="E76" s="16" t="s">
        <v>102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5"/>
      <c r="C77" s="3">
        <v>683879115</v>
      </c>
      <c r="D77" s="3" t="s">
        <v>103</v>
      </c>
      <c r="E77" s="16" t="s">
        <v>104</v>
      </c>
      <c r="F77" s="1">
        <f t="shared" si="6"/>
        <v>6000</v>
      </c>
      <c r="G77" s="1">
        <f t="shared" si="7"/>
        <v>6240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19">
        <v>2080</v>
      </c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5"/>
      <c r="D78" s="3" t="s">
        <v>61</v>
      </c>
      <c r="E78" s="16" t="s">
        <v>105</v>
      </c>
      <c r="F78" s="1">
        <f t="shared" si="6"/>
        <v>4000</v>
      </c>
      <c r="G78" s="1">
        <f t="shared" si="7"/>
        <v>4160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5"/>
      <c r="E79" s="16" t="s">
        <v>106</v>
      </c>
      <c r="F79" s="1">
        <f t="shared" si="6"/>
        <v>4000</v>
      </c>
      <c r="G79" s="1">
        <f t="shared" si="7"/>
        <v>4160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5"/>
      <c r="D80" s="3" t="s">
        <v>61</v>
      </c>
      <c r="E80" s="16" t="s">
        <v>107</v>
      </c>
      <c r="F80" s="1">
        <f t="shared" si="6"/>
        <v>6000</v>
      </c>
      <c r="G80" s="1">
        <f t="shared" si="7"/>
        <v>6240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>
        <v>1040</v>
      </c>
      <c r="AE80" s="4"/>
      <c r="AF80" s="4"/>
      <c r="AG80" s="4"/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5"/>
      <c r="D81" s="3" t="s">
        <v>108</v>
      </c>
      <c r="E81" s="16" t="s">
        <v>109</v>
      </c>
      <c r="F81" s="1">
        <f t="shared" si="6"/>
        <v>6000</v>
      </c>
      <c r="G81" s="1">
        <f t="shared" si="7"/>
        <v>6240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5"/>
      <c r="D82" s="3" t="s">
        <v>103</v>
      </c>
      <c r="E82" s="16" t="s">
        <v>110</v>
      </c>
      <c r="F82" s="1">
        <f t="shared" si="6"/>
        <v>30000</v>
      </c>
      <c r="G82" s="1">
        <f t="shared" si="7"/>
        <v>31200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>
        <v>5200</v>
      </c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5"/>
      <c r="E83" s="16" t="s">
        <v>111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5"/>
      <c r="E84" s="16" t="s">
        <v>112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5"/>
      <c r="C85" s="3">
        <v>683909556</v>
      </c>
      <c r="D85" s="3" t="s">
        <v>103</v>
      </c>
      <c r="E85" s="16" t="s">
        <v>113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5"/>
      <c r="E86" s="16" t="s">
        <v>114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D90" s="3" t="s">
        <v>103</v>
      </c>
      <c r="E90" s="13" t="s">
        <v>118</v>
      </c>
      <c r="F90" s="1">
        <f t="shared" si="6"/>
        <v>6000</v>
      </c>
      <c r="G90" s="1">
        <f t="shared" si="7"/>
        <v>6240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>
        <v>5200</v>
      </c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71</v>
      </c>
      <c r="E91" s="13" t="s">
        <v>119</v>
      </c>
      <c r="F91" s="1">
        <f t="shared" si="6"/>
        <v>10000</v>
      </c>
      <c r="G91" s="1">
        <f t="shared" si="7"/>
        <v>10400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>
        <v>5200</v>
      </c>
      <c r="AE91" s="4">
        <v>5200</v>
      </c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122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7000</v>
      </c>
      <c r="G95" s="1">
        <f t="shared" si="7"/>
        <v>7280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2021-01-24T02:58:06Z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