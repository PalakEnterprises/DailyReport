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'January-2021'!$A$1:$AM$93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F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J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E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G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<sst xmlns="http://schemas.openxmlformats.org/spreadsheetml/2006/main" count="186" uniqueCount="124">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</sst>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[$-409]d\-mmm;@"/>
    <numFmt numFmtId="178" formatCode="_ * #,##0_ ;_ * \-#,##0_ ;_ * &quot;-&quot;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5" borderId="4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19" borderId="5" applyNumberForma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18" borderId="8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5" fillId="18" borderId="5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177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7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8"/>
  <sheetViews>
    <sheetView tabSelected="1" workbookViewId="0">
      <pane xSplit="7" ySplit="2" topLeftCell="R72" activePane="bottomRight" state="frozen"/>
      <selection/>
      <selection pane="topRight"/>
      <selection pane="bottomLeft"/>
      <selection pane="bottomRight" activeCell="D92" sqref="D92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9">
        <v>43831</v>
      </c>
      <c r="J1" s="19">
        <v>43832</v>
      </c>
      <c r="K1" s="19">
        <v>43833</v>
      </c>
      <c r="L1" s="19">
        <v>43834</v>
      </c>
      <c r="M1" s="19">
        <v>43835</v>
      </c>
      <c r="N1" s="19">
        <v>43836</v>
      </c>
      <c r="O1" s="19">
        <v>43837</v>
      </c>
      <c r="P1" s="19">
        <v>43838</v>
      </c>
      <c r="Q1" s="19">
        <v>43839</v>
      </c>
      <c r="R1" s="19">
        <v>43840</v>
      </c>
      <c r="S1" s="19">
        <v>43841</v>
      </c>
      <c r="T1" s="19">
        <v>43842</v>
      </c>
      <c r="U1" s="19">
        <v>43843</v>
      </c>
      <c r="V1" s="19">
        <v>43844</v>
      </c>
      <c r="W1" s="19">
        <v>43845</v>
      </c>
      <c r="X1" s="19">
        <v>43846</v>
      </c>
      <c r="Y1" s="19">
        <v>43847</v>
      </c>
      <c r="Z1" s="19">
        <v>43848</v>
      </c>
      <c r="AA1" s="19">
        <v>43849</v>
      </c>
      <c r="AB1" s="19">
        <v>43850</v>
      </c>
      <c r="AC1" s="19">
        <v>43851</v>
      </c>
      <c r="AD1" s="19">
        <v>43852</v>
      </c>
      <c r="AE1" s="19">
        <v>43853</v>
      </c>
      <c r="AF1" s="19">
        <v>43854</v>
      </c>
      <c r="AG1" s="19">
        <v>43855</v>
      </c>
      <c r="AH1" s="19">
        <v>43856</v>
      </c>
      <c r="AI1" s="19">
        <v>43857</v>
      </c>
      <c r="AJ1" s="19">
        <v>43858</v>
      </c>
      <c r="AK1" s="19">
        <v>43859</v>
      </c>
      <c r="AL1" s="19">
        <v>43860</v>
      </c>
      <c r="AM1" s="19">
        <v>43861</v>
      </c>
      <c r="AN1" s="21"/>
      <c r="AO1" s="21"/>
      <c r="AP1" s="21"/>
      <c r="AQ1" s="21"/>
      <c r="AR1" s="21"/>
      <c r="AS1" s="21"/>
    </row>
    <row r="2" s="2" customFormat="1" spans="1:39">
      <c r="A2" s="8"/>
      <c r="B2" s="9">
        <f>SUM(F3:F120)</f>
        <v>848500</v>
      </c>
      <c r="C2" s="9"/>
      <c r="D2" s="10">
        <f>SUM(G3:G120)</f>
        <v>758680</v>
      </c>
      <c r="E2" s="11" t="s">
        <v>8</v>
      </c>
      <c r="F2" s="9">
        <f>G2/1.04+H2</f>
        <v>848500</v>
      </c>
      <c r="G2" s="10">
        <f t="shared" ref="G2:G16" si="0">SUM(I2:AM2)</f>
        <v>758680</v>
      </c>
      <c r="H2" s="12">
        <f>SUM(H3:H120)</f>
        <v>119000</v>
      </c>
      <c r="I2" s="2">
        <f>SUM(I3:I120)</f>
        <v>48880</v>
      </c>
      <c r="J2" s="2">
        <f>SUM(J3:J120)</f>
        <v>52000</v>
      </c>
      <c r="K2" s="2">
        <f>SUM(K3:K120)</f>
        <v>29120</v>
      </c>
      <c r="L2" s="2">
        <f t="shared" ref="L2:AM2" si="1">SUM(L3:L120)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13520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  <c r="AM2" s="2">
        <f t="shared" si="1"/>
        <v>0</v>
      </c>
    </row>
    <row r="3" s="3" customFormat="1" spans="1:39">
      <c r="A3" s="3">
        <v>1</v>
      </c>
      <c r="D3" s="3" t="s">
        <v>9</v>
      </c>
      <c r="E3" s="13" t="s">
        <v>10</v>
      </c>
      <c r="F3" s="14">
        <f t="shared" ref="F3:F34" si="2">G3/1.04+H3</f>
        <v>6000</v>
      </c>
      <c r="G3" s="14">
        <f t="shared" si="0"/>
        <v>3120</v>
      </c>
      <c r="H3" s="15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 s="3" customFormat="1" spans="1:39">
      <c r="A4" s="3">
        <v>2</v>
      </c>
      <c r="D4" s="3" t="s">
        <v>9</v>
      </c>
      <c r="E4" s="13" t="s">
        <v>11</v>
      </c>
      <c r="F4" s="14">
        <f t="shared" si="2"/>
        <v>1500</v>
      </c>
      <c r="G4" s="14">
        <f t="shared" si="0"/>
        <v>1560</v>
      </c>
      <c r="H4" s="15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20">
        <v>1560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3" t="s">
        <v>13</v>
      </c>
      <c r="F5" s="14">
        <f t="shared" si="2"/>
        <v>8000</v>
      </c>
      <c r="G5" s="14">
        <f t="shared" si="0"/>
        <v>8320</v>
      </c>
      <c r="H5" s="15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</row>
    <row r="6" s="3" customFormat="1" spans="1:39">
      <c r="A6" s="3">
        <v>4</v>
      </c>
      <c r="B6" s="3" t="s">
        <v>14</v>
      </c>
      <c r="D6" s="3" t="s">
        <v>9</v>
      </c>
      <c r="E6" s="13" t="s">
        <v>15</v>
      </c>
      <c r="F6" s="14">
        <f t="shared" si="2"/>
        <v>13000</v>
      </c>
      <c r="G6" s="14">
        <f t="shared" si="0"/>
        <v>10400</v>
      </c>
      <c r="H6" s="15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</row>
    <row r="7" s="3" customFormat="1" spans="1:39">
      <c r="A7" s="3">
        <v>5</v>
      </c>
      <c r="B7" s="3" t="s">
        <v>16</v>
      </c>
      <c r="D7" s="3" t="s">
        <v>9</v>
      </c>
      <c r="E7" s="13" t="s">
        <v>17</v>
      </c>
      <c r="F7" s="14">
        <f t="shared" si="2"/>
        <v>42000</v>
      </c>
      <c r="G7" s="14">
        <f t="shared" si="0"/>
        <v>33280</v>
      </c>
      <c r="H7" s="15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</row>
    <row r="8" s="3" customFormat="1" spans="1:39">
      <c r="A8" s="3">
        <v>6</v>
      </c>
      <c r="B8" s="3" t="s">
        <v>18</v>
      </c>
      <c r="D8" s="3" t="s">
        <v>9</v>
      </c>
      <c r="E8" s="13" t="s">
        <v>19</v>
      </c>
      <c r="F8" s="14">
        <f t="shared" si="2"/>
        <v>4000</v>
      </c>
      <c r="G8" s="14">
        <f t="shared" si="0"/>
        <v>4160</v>
      </c>
      <c r="H8" s="15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3" t="s">
        <v>20</v>
      </c>
      <c r="F9" s="14">
        <f t="shared" si="2"/>
        <v>4000</v>
      </c>
      <c r="G9" s="14">
        <f t="shared" si="0"/>
        <v>4160</v>
      </c>
      <c r="H9" s="15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="3" customFormat="1" spans="1:39">
      <c r="A10" s="3">
        <v>8</v>
      </c>
      <c r="B10" s="3" t="s">
        <v>21</v>
      </c>
      <c r="D10" s="3" t="s">
        <v>9</v>
      </c>
      <c r="E10" s="13" t="s">
        <v>22</v>
      </c>
      <c r="F10" s="14">
        <f t="shared" si="2"/>
        <v>15000</v>
      </c>
      <c r="G10" s="14">
        <f t="shared" si="0"/>
        <v>15600</v>
      </c>
      <c r="H10" s="15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</row>
    <row r="11" s="3" customFormat="1" spans="1:39">
      <c r="A11" s="3">
        <v>9</v>
      </c>
      <c r="D11" s="3" t="s">
        <v>23</v>
      </c>
      <c r="E11" s="13" t="s">
        <v>24</v>
      </c>
      <c r="F11" s="14">
        <f t="shared" si="2"/>
        <v>8000</v>
      </c>
      <c r="G11" s="14">
        <f t="shared" si="0"/>
        <v>6240</v>
      </c>
      <c r="H11" s="15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</row>
    <row r="12" s="3" customFormat="1" spans="1:39">
      <c r="A12" s="3">
        <v>10</v>
      </c>
      <c r="D12" s="3" t="s">
        <v>23</v>
      </c>
      <c r="E12" s="13" t="s">
        <v>25</v>
      </c>
      <c r="F12" s="14">
        <f t="shared" si="2"/>
        <v>5000</v>
      </c>
      <c r="G12" s="14">
        <f t="shared" si="0"/>
        <v>5200</v>
      </c>
      <c r="H12" s="15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3" t="s">
        <v>26</v>
      </c>
      <c r="F13" s="14">
        <f t="shared" si="2"/>
        <v>15000</v>
      </c>
      <c r="G13" s="14">
        <f t="shared" si="0"/>
        <v>15600</v>
      </c>
      <c r="H13" s="15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</row>
    <row r="14" s="3" customFormat="1" spans="1:39">
      <c r="A14" s="3">
        <v>12</v>
      </c>
      <c r="D14" s="3" t="s">
        <v>23</v>
      </c>
      <c r="E14" s="13" t="s">
        <v>27</v>
      </c>
      <c r="F14" s="14">
        <f t="shared" si="2"/>
        <v>35000</v>
      </c>
      <c r="G14" s="14">
        <f t="shared" si="0"/>
        <v>31200</v>
      </c>
      <c r="H14" s="15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</row>
    <row r="15" s="3" customFormat="1" spans="1:39">
      <c r="A15" s="3">
        <v>13</v>
      </c>
      <c r="B15" s="3" t="s">
        <v>28</v>
      </c>
      <c r="D15" s="3" t="s">
        <v>23</v>
      </c>
      <c r="E15" s="13" t="s">
        <v>29</v>
      </c>
      <c r="F15" s="14">
        <f t="shared" si="2"/>
        <v>4000</v>
      </c>
      <c r="G15" s="14">
        <f t="shared" si="0"/>
        <v>4160</v>
      </c>
      <c r="H15" s="15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spans="1:39">
      <c r="A16" s="3">
        <v>14</v>
      </c>
      <c r="D16" s="3" t="s">
        <v>23</v>
      </c>
      <c r="E16" s="13" t="s">
        <v>30</v>
      </c>
      <c r="F16" s="14">
        <f t="shared" si="2"/>
        <v>2500</v>
      </c>
      <c r="G16" s="14">
        <f t="shared" si="0"/>
        <v>2080</v>
      </c>
      <c r="H16" s="15">
        <v>500</v>
      </c>
      <c r="I16" s="4"/>
      <c r="J16" s="4"/>
      <c r="K16" s="20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s="3" customFormat="1" spans="1:39">
      <c r="A17" s="3">
        <v>15</v>
      </c>
      <c r="D17" s="3" t="s">
        <v>23</v>
      </c>
      <c r="E17" s="13" t="s">
        <v>31</v>
      </c>
      <c r="F17" s="14">
        <f t="shared" si="2"/>
        <v>12000</v>
      </c>
      <c r="G17" s="14">
        <f t="shared" ref="G17:G35" si="3">SUM(I17:AM17)</f>
        <v>12480</v>
      </c>
      <c r="H17" s="15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3" t="s">
        <v>33</v>
      </c>
      <c r="F18" s="14">
        <f t="shared" si="2"/>
        <v>15000</v>
      </c>
      <c r="G18" s="14">
        <f t="shared" si="3"/>
        <v>10400</v>
      </c>
      <c r="H18" s="15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s="3" customFormat="1" spans="1:39">
      <c r="A19" s="3">
        <v>17</v>
      </c>
      <c r="D19" s="3" t="s">
        <v>32</v>
      </c>
      <c r="E19" s="13" t="s">
        <v>34</v>
      </c>
      <c r="F19" s="14">
        <f t="shared" si="2"/>
        <v>4000</v>
      </c>
      <c r="G19" s="14">
        <f t="shared" si="3"/>
        <v>4160</v>
      </c>
      <c r="H19" s="15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3" t="s">
        <v>35</v>
      </c>
      <c r="F20" s="14">
        <f t="shared" si="2"/>
        <v>4000</v>
      </c>
      <c r="G20" s="14">
        <f t="shared" si="3"/>
        <v>4160</v>
      </c>
      <c r="H20" s="15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s="3" customFormat="1" spans="1:39">
      <c r="A21" s="3">
        <v>19</v>
      </c>
      <c r="D21" s="3" t="s">
        <v>32</v>
      </c>
      <c r="E21" s="13" t="s">
        <v>36</v>
      </c>
      <c r="F21" s="14">
        <f t="shared" si="2"/>
        <v>20000</v>
      </c>
      <c r="G21" s="14">
        <f t="shared" si="3"/>
        <v>15600</v>
      </c>
      <c r="H21" s="15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</row>
    <row r="22" s="3" customFormat="1" spans="1:39">
      <c r="A22" s="3">
        <v>20</v>
      </c>
      <c r="D22" s="3" t="s">
        <v>32</v>
      </c>
      <c r="E22" s="13" t="s">
        <v>37</v>
      </c>
      <c r="F22" s="14">
        <f t="shared" si="2"/>
        <v>5000</v>
      </c>
      <c r="G22" s="14">
        <f t="shared" si="3"/>
        <v>5200</v>
      </c>
      <c r="H22" s="15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="3" customFormat="1" spans="1:39">
      <c r="A23" s="3">
        <v>21</v>
      </c>
      <c r="D23" s="3" t="s">
        <v>32</v>
      </c>
      <c r="E23" s="13" t="s">
        <v>38</v>
      </c>
      <c r="F23" s="14">
        <f t="shared" si="2"/>
        <v>12000</v>
      </c>
      <c r="G23" s="14">
        <f t="shared" si="3"/>
        <v>12480</v>
      </c>
      <c r="H23" s="15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</row>
    <row r="24" s="3" customFormat="1" spans="1:39">
      <c r="A24" s="3">
        <v>22</v>
      </c>
      <c r="D24" s="3" t="s">
        <v>32</v>
      </c>
      <c r="E24" s="13" t="s">
        <v>39</v>
      </c>
      <c r="F24" s="14">
        <f t="shared" si="2"/>
        <v>20000</v>
      </c>
      <c r="G24" s="14">
        <f t="shared" si="3"/>
        <v>15600</v>
      </c>
      <c r="H24" s="15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3" t="s">
        <v>40</v>
      </c>
      <c r="F25" s="14">
        <f t="shared" si="2"/>
        <v>18000</v>
      </c>
      <c r="G25" s="14">
        <f t="shared" si="3"/>
        <v>15600</v>
      </c>
      <c r="H25" s="15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</row>
    <row r="26" s="3" customFormat="1" spans="1:39">
      <c r="A26" s="3">
        <v>24</v>
      </c>
      <c r="D26" s="3" t="s">
        <v>32</v>
      </c>
      <c r="E26" s="13" t="s">
        <v>41</v>
      </c>
      <c r="F26" s="14">
        <f t="shared" si="2"/>
        <v>8500</v>
      </c>
      <c r="G26" s="14">
        <f t="shared" si="3"/>
        <v>8320</v>
      </c>
      <c r="H26" s="15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 s="3" customFormat="1" spans="1:39">
      <c r="A27" s="3">
        <v>25</v>
      </c>
      <c r="D27" s="3" t="s">
        <v>32</v>
      </c>
      <c r="E27" s="13" t="s">
        <v>42</v>
      </c>
      <c r="F27" s="14">
        <f t="shared" si="2"/>
        <v>4000</v>
      </c>
      <c r="G27" s="14">
        <f t="shared" si="3"/>
        <v>4160</v>
      </c>
      <c r="H27" s="15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3" t="s">
        <v>43</v>
      </c>
      <c r="F28" s="14">
        <f t="shared" si="2"/>
        <v>4000</v>
      </c>
      <c r="G28" s="14">
        <f t="shared" si="3"/>
        <v>4160</v>
      </c>
      <c r="H28" s="15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="3" customFormat="1" spans="1:39">
      <c r="A29" s="3">
        <v>27</v>
      </c>
      <c r="D29" s="3" t="s">
        <v>32</v>
      </c>
      <c r="E29" s="13" t="s">
        <v>44</v>
      </c>
      <c r="F29" s="14">
        <f t="shared" si="2"/>
        <v>10000</v>
      </c>
      <c r="G29" s="14">
        <f t="shared" si="3"/>
        <v>10400</v>
      </c>
      <c r="H29" s="15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3" t="s">
        <v>45</v>
      </c>
      <c r="F30" s="14">
        <f t="shared" si="2"/>
        <v>35000</v>
      </c>
      <c r="G30" s="14">
        <f t="shared" si="3"/>
        <v>31200</v>
      </c>
      <c r="H30" s="15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</row>
    <row r="31" s="3" customFormat="1" spans="1:39">
      <c r="A31" s="3">
        <v>29</v>
      </c>
      <c r="D31" s="3" t="s">
        <v>32</v>
      </c>
      <c r="E31" s="13" t="s">
        <v>46</v>
      </c>
      <c r="F31" s="14">
        <f t="shared" si="2"/>
        <v>6000</v>
      </c>
      <c r="G31" s="14">
        <f t="shared" si="3"/>
        <v>6240</v>
      </c>
      <c r="H31" s="15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s="3" customFormat="1" spans="1:39">
      <c r="A32" s="3">
        <v>30</v>
      </c>
      <c r="D32" s="3" t="s">
        <v>47</v>
      </c>
      <c r="E32" s="13" t="s">
        <v>48</v>
      </c>
      <c r="F32" s="14">
        <f t="shared" si="2"/>
        <v>7000</v>
      </c>
      <c r="G32" s="14">
        <f t="shared" si="3"/>
        <v>6240</v>
      </c>
      <c r="H32" s="15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s="3" customFormat="1" spans="1:39">
      <c r="A33" s="3">
        <v>31</v>
      </c>
      <c r="D33" s="3" t="s">
        <v>47</v>
      </c>
      <c r="E33" s="13" t="s">
        <v>49</v>
      </c>
      <c r="F33" s="14">
        <f t="shared" si="2"/>
        <v>4000</v>
      </c>
      <c r="G33" s="14">
        <f t="shared" si="3"/>
        <v>4160</v>
      </c>
      <c r="H33" s="15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 s="3" customFormat="1" spans="1:39">
      <c r="A34" s="3">
        <v>32</v>
      </c>
      <c r="D34" s="3" t="s">
        <v>47</v>
      </c>
      <c r="E34" s="13" t="s">
        <v>50</v>
      </c>
      <c r="F34" s="14">
        <f t="shared" si="2"/>
        <v>5000</v>
      </c>
      <c r="G34" s="14">
        <f t="shared" si="3"/>
        <v>4160</v>
      </c>
      <c r="H34" s="15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</row>
    <row r="35" s="3" customFormat="1" spans="1:39">
      <c r="A35" s="3">
        <v>33</v>
      </c>
      <c r="D35" s="3" t="s">
        <v>47</v>
      </c>
      <c r="E35" s="13" t="s">
        <v>51</v>
      </c>
      <c r="F35" s="14">
        <f t="shared" ref="F35:F66" si="4">G35/1.04+H35</f>
        <v>18000</v>
      </c>
      <c r="G35" s="14">
        <f t="shared" si="3"/>
        <v>18720</v>
      </c>
      <c r="H35" s="15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</row>
    <row r="36" s="3" customFormat="1" spans="1:39">
      <c r="A36" s="3">
        <v>34</v>
      </c>
      <c r="D36" s="3" t="s">
        <v>47</v>
      </c>
      <c r="E36" s="13" t="s">
        <v>52</v>
      </c>
      <c r="F36" s="14">
        <f t="shared" si="4"/>
        <v>2000</v>
      </c>
      <c r="G36" s="14">
        <f t="shared" ref="G36:G73" si="5">SUM(I36:AM36)</f>
        <v>2080</v>
      </c>
      <c r="H36" s="15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s="3" customFormat="1" spans="1:39">
      <c r="A37" s="3">
        <v>35</v>
      </c>
      <c r="D37" s="3" t="s">
        <v>47</v>
      </c>
      <c r="E37" s="13" t="s">
        <v>53</v>
      </c>
      <c r="F37" s="14">
        <f t="shared" si="4"/>
        <v>12000</v>
      </c>
      <c r="G37" s="14">
        <f t="shared" si="5"/>
        <v>9360</v>
      </c>
      <c r="H37" s="15">
        <v>3000</v>
      </c>
      <c r="I37" s="4"/>
      <c r="J37" s="4"/>
      <c r="K37" s="4"/>
      <c r="L37" s="4"/>
      <c r="M37" s="20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3" t="s">
        <v>54</v>
      </c>
      <c r="F38" s="14">
        <f t="shared" si="4"/>
        <v>2000</v>
      </c>
      <c r="G38" s="14">
        <f t="shared" si="5"/>
        <v>2080</v>
      </c>
      <c r="H38" s="15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20">
        <v>2080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</row>
    <row r="39" s="3" customFormat="1" spans="1:39">
      <c r="A39" s="3">
        <v>37</v>
      </c>
      <c r="D39" s="3" t="s">
        <v>47</v>
      </c>
      <c r="E39" s="13" t="s">
        <v>55</v>
      </c>
      <c r="F39" s="14">
        <f t="shared" si="4"/>
        <v>10000</v>
      </c>
      <c r="G39" s="14">
        <f t="shared" si="5"/>
        <v>10400</v>
      </c>
      <c r="H39" s="15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3" t="s">
        <v>56</v>
      </c>
      <c r="F40" s="14">
        <f t="shared" si="4"/>
        <v>6000</v>
      </c>
      <c r="G40" s="14">
        <f>SUM(J40:AM40)</f>
        <v>6240</v>
      </c>
      <c r="H40" s="15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</row>
    <row r="41" s="3" customFormat="1" spans="1:39">
      <c r="A41" s="3">
        <v>39</v>
      </c>
      <c r="D41" s="3" t="s">
        <v>47</v>
      </c>
      <c r="E41" s="13" t="s">
        <v>57</v>
      </c>
      <c r="F41" s="14">
        <f t="shared" si="4"/>
        <v>24000</v>
      </c>
      <c r="G41" s="14">
        <f t="shared" si="5"/>
        <v>21840</v>
      </c>
      <c r="H41" s="15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</row>
    <row r="42" s="3" customFormat="1" spans="1:39">
      <c r="A42" s="3">
        <v>40</v>
      </c>
      <c r="D42" s="3" t="s">
        <v>47</v>
      </c>
      <c r="E42" s="13" t="s">
        <v>58</v>
      </c>
      <c r="F42" s="14">
        <f t="shared" si="4"/>
        <v>2000</v>
      </c>
      <c r="G42" s="14">
        <f t="shared" si="5"/>
        <v>2080</v>
      </c>
      <c r="H42" s="15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s="3" customFormat="1" spans="1:39">
      <c r="A43" s="3">
        <v>41</v>
      </c>
      <c r="D43" s="3" t="s">
        <v>47</v>
      </c>
      <c r="E43" s="13" t="s">
        <v>59</v>
      </c>
      <c r="F43" s="14">
        <f t="shared" si="4"/>
        <v>0</v>
      </c>
      <c r="G43" s="14">
        <f t="shared" si="5"/>
        <v>0</v>
      </c>
      <c r="H43" s="15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s="3" customFormat="1" spans="1:39">
      <c r="A44" s="3">
        <v>42</v>
      </c>
      <c r="D44" s="3" t="s">
        <v>47</v>
      </c>
      <c r="E44" s="13" t="s">
        <v>60</v>
      </c>
      <c r="F44" s="14">
        <f t="shared" si="4"/>
        <v>15000</v>
      </c>
      <c r="G44" s="14">
        <f t="shared" si="5"/>
        <v>12480</v>
      </c>
      <c r="H44" s="15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</row>
    <row r="45" s="3" customFormat="1" spans="1:39">
      <c r="A45" s="3">
        <v>43</v>
      </c>
      <c r="D45" s="3" t="s">
        <v>61</v>
      </c>
      <c r="E45" s="13" t="s">
        <v>62</v>
      </c>
      <c r="F45" s="14">
        <f t="shared" si="4"/>
        <v>18000</v>
      </c>
      <c r="G45" s="14">
        <f t="shared" si="5"/>
        <v>15600</v>
      </c>
      <c r="H45" s="15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</row>
    <row r="46" s="3" customFormat="1" spans="1:39">
      <c r="A46" s="3">
        <v>44</v>
      </c>
      <c r="D46" s="3" t="s">
        <v>61</v>
      </c>
      <c r="E46" s="13" t="s">
        <v>63</v>
      </c>
      <c r="F46" s="14">
        <f t="shared" si="4"/>
        <v>12000</v>
      </c>
      <c r="G46" s="14">
        <f t="shared" si="5"/>
        <v>12480</v>
      </c>
      <c r="H46" s="15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s="3" customFormat="1" spans="1:39">
      <c r="A47" s="3">
        <v>45</v>
      </c>
      <c r="D47" s="3" t="s">
        <v>61</v>
      </c>
      <c r="E47" s="13" t="s">
        <v>64</v>
      </c>
      <c r="F47" s="14">
        <f t="shared" si="4"/>
        <v>4000</v>
      </c>
      <c r="G47" s="14">
        <f t="shared" si="5"/>
        <v>4160</v>
      </c>
      <c r="H47" s="15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61</v>
      </c>
      <c r="E48" s="13" t="s">
        <v>65</v>
      </c>
      <c r="F48" s="14">
        <f t="shared" si="4"/>
        <v>15000</v>
      </c>
      <c r="G48" s="14">
        <f t="shared" si="5"/>
        <v>12480</v>
      </c>
      <c r="H48" s="15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</row>
    <row r="49" s="3" customFormat="1" spans="1:39">
      <c r="A49" s="3">
        <v>47</v>
      </c>
      <c r="D49" s="3" t="s">
        <v>61</v>
      </c>
      <c r="E49" s="13" t="s">
        <v>66</v>
      </c>
      <c r="F49" s="14">
        <f t="shared" si="4"/>
        <v>15000</v>
      </c>
      <c r="G49" s="14">
        <f t="shared" si="5"/>
        <v>12480</v>
      </c>
      <c r="H49" s="15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s="3" customFormat="1" spans="1:39">
      <c r="A50" s="3">
        <v>48</v>
      </c>
      <c r="D50" s="3" t="s">
        <v>61</v>
      </c>
      <c r="E50" s="13" t="s">
        <v>67</v>
      </c>
      <c r="F50" s="14">
        <f t="shared" si="4"/>
        <v>6000</v>
      </c>
      <c r="G50" s="14">
        <f t="shared" si="5"/>
        <v>4160</v>
      </c>
      <c r="H50" s="15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61</v>
      </c>
      <c r="E51" s="13" t="s">
        <v>68</v>
      </c>
      <c r="F51" s="14">
        <f t="shared" si="4"/>
        <v>2000</v>
      </c>
      <c r="G51" s="14">
        <f t="shared" si="5"/>
        <v>2080</v>
      </c>
      <c r="H51" s="15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61</v>
      </c>
      <c r="E52" s="13" t="s">
        <v>69</v>
      </c>
      <c r="F52" s="14">
        <f t="shared" si="4"/>
        <v>15000</v>
      </c>
      <c r="G52" s="14">
        <f t="shared" si="5"/>
        <v>12480</v>
      </c>
      <c r="H52" s="15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s="3" customFormat="1" spans="1:39">
      <c r="A53" s="3">
        <v>51</v>
      </c>
      <c r="B53" s="16"/>
      <c r="D53" s="3" t="s">
        <v>61</v>
      </c>
      <c r="E53" s="17" t="s">
        <v>70</v>
      </c>
      <c r="F53" s="14">
        <f t="shared" si="4"/>
        <v>8000</v>
      </c>
      <c r="G53" s="14">
        <f t="shared" si="5"/>
        <v>7280</v>
      </c>
      <c r="H53" s="15">
        <v>1000</v>
      </c>
      <c r="I53" s="4"/>
      <c r="J53" s="4"/>
      <c r="K53" s="4">
        <v>1040</v>
      </c>
      <c r="L53" s="4"/>
      <c r="M53" s="4">
        <v>1040</v>
      </c>
      <c r="N53" s="4"/>
      <c r="O53" s="4">
        <v>1040</v>
      </c>
      <c r="P53" s="4"/>
      <c r="Q53" s="4"/>
      <c r="R53" s="4">
        <v>1040</v>
      </c>
      <c r="S53" s="4"/>
      <c r="T53" s="4"/>
      <c r="U53" s="4">
        <v>1040</v>
      </c>
      <c r="V53" s="4">
        <v>1040</v>
      </c>
      <c r="W53" s="4"/>
      <c r="X53" s="4">
        <v>1040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</row>
    <row r="54" s="3" customFormat="1" spans="1:39">
      <c r="A54" s="3">
        <v>52</v>
      </c>
      <c r="D54" s="3" t="s">
        <v>71</v>
      </c>
      <c r="E54" s="13" t="s">
        <v>72</v>
      </c>
      <c r="F54" s="14">
        <f t="shared" si="4"/>
        <v>6000</v>
      </c>
      <c r="G54" s="14">
        <f t="shared" si="5"/>
        <v>4160</v>
      </c>
      <c r="H54" s="15">
        <v>2000</v>
      </c>
      <c r="I54" s="4"/>
      <c r="J54" s="4"/>
      <c r="K54" s="4"/>
      <c r="L54" s="4">
        <v>2080</v>
      </c>
      <c r="M54" s="4"/>
      <c r="N54" s="4"/>
      <c r="O54" s="4"/>
      <c r="P54" s="4"/>
      <c r="Q54" s="4"/>
      <c r="R54" s="4"/>
      <c r="S54" s="4">
        <v>2080</v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s="3" customFormat="1" spans="1:39">
      <c r="A55" s="3">
        <v>53</v>
      </c>
      <c r="D55" s="3" t="s">
        <v>71</v>
      </c>
      <c r="E55" s="13" t="s">
        <v>73</v>
      </c>
      <c r="F55" s="14">
        <f t="shared" si="4"/>
        <v>20000</v>
      </c>
      <c r="G55" s="14">
        <f t="shared" si="5"/>
        <v>20800</v>
      </c>
      <c r="H55" s="15">
        <v>0</v>
      </c>
      <c r="I55" s="4"/>
      <c r="J55" s="4">
        <v>5200</v>
      </c>
      <c r="K55" s="4"/>
      <c r="L55" s="4"/>
      <c r="M55" s="4">
        <v>5200</v>
      </c>
      <c r="N55" s="4"/>
      <c r="O55" s="4"/>
      <c r="P55" s="4"/>
      <c r="Q55" s="4"/>
      <c r="R55" s="4">
        <v>5200</v>
      </c>
      <c r="S55" s="4"/>
      <c r="T55" s="4"/>
      <c r="U55" s="4"/>
      <c r="V55" s="4">
        <v>5200</v>
      </c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s="3" customFormat="1" spans="1:39">
      <c r="A56" s="3">
        <v>54</v>
      </c>
      <c r="D56" s="3" t="s">
        <v>71</v>
      </c>
      <c r="E56" s="13" t="s">
        <v>74</v>
      </c>
      <c r="F56" s="14">
        <f t="shared" si="4"/>
        <v>4000</v>
      </c>
      <c r="G56" s="14">
        <f t="shared" si="5"/>
        <v>4160</v>
      </c>
      <c r="H56" s="15">
        <v>0</v>
      </c>
      <c r="I56" s="4"/>
      <c r="J56" s="4"/>
      <c r="K56" s="4"/>
      <c r="L56" s="4"/>
      <c r="M56" s="4"/>
      <c r="N56" s="4">
        <v>2080</v>
      </c>
      <c r="O56" s="4"/>
      <c r="P56" s="4"/>
      <c r="Q56" s="4"/>
      <c r="R56" s="4"/>
      <c r="S56" s="4"/>
      <c r="T56" s="4"/>
      <c r="U56" s="4"/>
      <c r="V56" s="4">
        <v>2080</v>
      </c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s="3" customFormat="1" spans="1:39">
      <c r="A57" s="3">
        <v>55</v>
      </c>
      <c r="B57" s="16"/>
      <c r="D57" s="3" t="s">
        <v>75</v>
      </c>
      <c r="E57" s="17" t="s">
        <v>76</v>
      </c>
      <c r="F57" s="14">
        <f t="shared" si="4"/>
        <v>25000</v>
      </c>
      <c r="G57" s="14">
        <f t="shared" si="5"/>
        <v>20800</v>
      </c>
      <c r="H57" s="15">
        <v>5000</v>
      </c>
      <c r="I57" s="4"/>
      <c r="J57" s="4">
        <v>5200</v>
      </c>
      <c r="K57" s="4"/>
      <c r="L57" s="4"/>
      <c r="M57" s="4"/>
      <c r="N57" s="4">
        <v>5200</v>
      </c>
      <c r="O57" s="4"/>
      <c r="P57" s="4"/>
      <c r="Q57" s="4"/>
      <c r="R57" s="4"/>
      <c r="S57" s="4">
        <v>5200</v>
      </c>
      <c r="T57" s="4"/>
      <c r="U57" s="4"/>
      <c r="V57" s="4">
        <v>5200</v>
      </c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s="3" customFormat="1" spans="1:39">
      <c r="A58" s="3">
        <v>56</v>
      </c>
      <c r="C58" s="18" t="s">
        <v>77</v>
      </c>
      <c r="D58" s="3" t="s">
        <v>75</v>
      </c>
      <c r="E58" s="13" t="s">
        <v>78</v>
      </c>
      <c r="F58" s="14">
        <f t="shared" si="4"/>
        <v>10000</v>
      </c>
      <c r="G58" s="14">
        <f t="shared" si="5"/>
        <v>10400</v>
      </c>
      <c r="H58" s="15">
        <v>0</v>
      </c>
      <c r="I58" s="4"/>
      <c r="J58" s="4"/>
      <c r="K58" s="4"/>
      <c r="L58" s="20">
        <v>5200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>
        <v>5200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s="3" customFormat="1" spans="1:39">
      <c r="A59" s="3">
        <v>57</v>
      </c>
      <c r="B59" s="16"/>
      <c r="D59" s="3" t="s">
        <v>79</v>
      </c>
      <c r="E59" s="17" t="s">
        <v>80</v>
      </c>
      <c r="F59" s="14">
        <f t="shared" si="4"/>
        <v>13000</v>
      </c>
      <c r="G59" s="14">
        <f t="shared" si="5"/>
        <v>12480</v>
      </c>
      <c r="H59" s="15">
        <v>1000</v>
      </c>
      <c r="I59" s="4">
        <v>2080</v>
      </c>
      <c r="J59" s="4"/>
      <c r="K59" s="4">
        <v>2080</v>
      </c>
      <c r="L59" s="4"/>
      <c r="M59" s="4">
        <v>2080</v>
      </c>
      <c r="N59" s="4"/>
      <c r="O59" s="4"/>
      <c r="P59" s="4">
        <v>2080</v>
      </c>
      <c r="Q59" s="4"/>
      <c r="R59" s="4"/>
      <c r="S59" s="4">
        <v>2080</v>
      </c>
      <c r="T59" s="4"/>
      <c r="U59" s="4"/>
      <c r="V59" s="4"/>
      <c r="W59" s="4">
        <v>2080</v>
      </c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6"/>
      <c r="D60" s="3" t="s">
        <v>81</v>
      </c>
      <c r="E60" s="17" t="s">
        <v>82</v>
      </c>
      <c r="F60" s="14">
        <f t="shared" si="4"/>
        <v>6000</v>
      </c>
      <c r="G60" s="14">
        <f t="shared" si="5"/>
        <v>4160</v>
      </c>
      <c r="H60" s="15">
        <v>2000</v>
      </c>
      <c r="I60" s="4"/>
      <c r="J60" s="4"/>
      <c r="K60" s="4"/>
      <c r="L60" s="4"/>
      <c r="M60" s="4"/>
      <c r="N60" s="4"/>
      <c r="O60" s="4">
        <v>2080</v>
      </c>
      <c r="P60" s="4"/>
      <c r="Q60" s="4"/>
      <c r="R60" s="4"/>
      <c r="S60" s="4"/>
      <c r="T60" s="4"/>
      <c r="U60" s="4"/>
      <c r="V60" s="4"/>
      <c r="W60" s="4">
        <v>2080</v>
      </c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s="3" customFormat="1" spans="1:39">
      <c r="A61" s="3">
        <v>59</v>
      </c>
      <c r="D61" s="3" t="s">
        <v>83</v>
      </c>
      <c r="E61" s="13" t="s">
        <v>84</v>
      </c>
      <c r="F61" s="14">
        <f t="shared" si="4"/>
        <v>8000</v>
      </c>
      <c r="G61" s="14">
        <f t="shared" si="5"/>
        <v>8320</v>
      </c>
      <c r="H61" s="15">
        <v>0</v>
      </c>
      <c r="I61" s="4"/>
      <c r="J61" s="4"/>
      <c r="K61" s="4">
        <v>2080</v>
      </c>
      <c r="L61" s="4"/>
      <c r="M61" s="4"/>
      <c r="N61" s="4"/>
      <c r="O61" s="4">
        <v>2080</v>
      </c>
      <c r="P61" s="4"/>
      <c r="Q61" s="4"/>
      <c r="R61" s="4">
        <v>2080</v>
      </c>
      <c r="T61" s="4"/>
      <c r="U61" s="4"/>
      <c r="V61" s="4"/>
      <c r="W61" s="4">
        <v>2080</v>
      </c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s="3" customFormat="1" spans="1:39">
      <c r="A62" s="3">
        <v>60</v>
      </c>
      <c r="D62" s="3" t="s">
        <v>83</v>
      </c>
      <c r="E62" s="13" t="s">
        <v>85</v>
      </c>
      <c r="F62" s="14">
        <f t="shared" si="4"/>
        <v>8000</v>
      </c>
      <c r="G62" s="14">
        <f t="shared" si="5"/>
        <v>8320</v>
      </c>
      <c r="H62" s="15">
        <v>0</v>
      </c>
      <c r="I62" s="4"/>
      <c r="J62" s="4">
        <v>2080</v>
      </c>
      <c r="K62" s="4"/>
      <c r="L62" s="4"/>
      <c r="M62" s="4"/>
      <c r="N62" s="4">
        <v>2080</v>
      </c>
      <c r="O62" s="4"/>
      <c r="P62" s="4"/>
      <c r="Q62" s="4"/>
      <c r="R62" s="4"/>
      <c r="S62" s="4">
        <v>2080</v>
      </c>
      <c r="T62" s="4"/>
      <c r="U62" s="4"/>
      <c r="V62" s="4">
        <v>2080</v>
      </c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s="3" customFormat="1" spans="1:39">
      <c r="A63" s="3">
        <v>61</v>
      </c>
      <c r="D63" s="3" t="s">
        <v>83</v>
      </c>
      <c r="E63" s="13" t="s">
        <v>86</v>
      </c>
      <c r="F63" s="14">
        <f t="shared" si="4"/>
        <v>4000</v>
      </c>
      <c r="G63" s="14">
        <f t="shared" si="5"/>
        <v>4160</v>
      </c>
      <c r="H63" s="15">
        <v>0</v>
      </c>
      <c r="I63" s="4"/>
      <c r="J63" s="4"/>
      <c r="K63" s="4"/>
      <c r="L63" s="4">
        <v>2080</v>
      </c>
      <c r="M63" s="4"/>
      <c r="N63" s="4"/>
      <c r="O63" s="4"/>
      <c r="P63" s="4"/>
      <c r="Q63" s="4"/>
      <c r="R63" s="4"/>
      <c r="S63" s="4"/>
      <c r="T63" s="4">
        <v>2080</v>
      </c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s="3" customFormat="1" spans="1:39">
      <c r="A64" s="3">
        <v>62</v>
      </c>
      <c r="D64" s="3" t="s">
        <v>83</v>
      </c>
      <c r="E64" s="13" t="s">
        <v>87</v>
      </c>
      <c r="F64" s="14">
        <f t="shared" si="4"/>
        <v>2000</v>
      </c>
      <c r="G64" s="14">
        <f t="shared" si="5"/>
        <v>2080</v>
      </c>
      <c r="H64" s="15">
        <v>0</v>
      </c>
      <c r="I64" s="4"/>
      <c r="J64" s="4"/>
      <c r="K64" s="4"/>
      <c r="L64" s="4"/>
      <c r="M64" s="4"/>
      <c r="N64" s="4"/>
      <c r="O64" s="4">
        <v>1040</v>
      </c>
      <c r="P64" s="4"/>
      <c r="Q64" s="4"/>
      <c r="R64" s="4"/>
      <c r="S64" s="4"/>
      <c r="T64" s="4"/>
      <c r="U64" s="4"/>
      <c r="V64" s="4"/>
      <c r="W64" s="4">
        <v>1040</v>
      </c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83</v>
      </c>
      <c r="E65" s="13" t="s">
        <v>88</v>
      </c>
      <c r="F65" s="14">
        <f t="shared" si="4"/>
        <v>30000</v>
      </c>
      <c r="G65" s="14">
        <f t="shared" si="5"/>
        <v>31200</v>
      </c>
      <c r="H65" s="15">
        <v>0</v>
      </c>
      <c r="I65" s="4">
        <v>5200</v>
      </c>
      <c r="J65" s="4">
        <v>5200</v>
      </c>
      <c r="K65" s="4"/>
      <c r="L65" s="4"/>
      <c r="M65" s="4">
        <v>5200</v>
      </c>
      <c r="N65" s="4"/>
      <c r="O65" s="4"/>
      <c r="P65" s="4">
        <v>5200</v>
      </c>
      <c r="Q65" s="4"/>
      <c r="R65" s="4">
        <v>5200</v>
      </c>
      <c r="S65" s="4"/>
      <c r="T65" s="4"/>
      <c r="U65" s="4"/>
      <c r="V65" s="4">
        <v>5200</v>
      </c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s="3" customFormat="1" spans="1:39">
      <c r="A66" s="3">
        <v>64</v>
      </c>
      <c r="D66" s="3" t="s">
        <v>83</v>
      </c>
      <c r="E66" s="13" t="s">
        <v>89</v>
      </c>
      <c r="F66" s="14">
        <f t="shared" si="4"/>
        <v>15000</v>
      </c>
      <c r="G66" s="14">
        <f t="shared" si="5"/>
        <v>12480</v>
      </c>
      <c r="H66" s="15">
        <v>3000</v>
      </c>
      <c r="I66" s="4"/>
      <c r="J66" s="4">
        <v>3120</v>
      </c>
      <c r="K66" s="4"/>
      <c r="L66" s="4"/>
      <c r="M66" s="4"/>
      <c r="O66" s="4">
        <v>3120</v>
      </c>
      <c r="P66" s="4"/>
      <c r="Q66" s="4"/>
      <c r="R66" s="4">
        <v>3120</v>
      </c>
      <c r="S66" s="4"/>
      <c r="T66" s="4"/>
      <c r="U66" s="4"/>
      <c r="V66" s="4">
        <v>3120</v>
      </c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s="3" customFormat="1" spans="1:39">
      <c r="A67" s="3">
        <v>65</v>
      </c>
      <c r="B67" s="16"/>
      <c r="D67" s="3" t="s">
        <v>83</v>
      </c>
      <c r="E67" s="17" t="s">
        <v>90</v>
      </c>
      <c r="F67" s="14">
        <f t="shared" ref="F67:F95" si="6">G67/1.04+H67</f>
        <v>12000</v>
      </c>
      <c r="G67" s="14">
        <f t="shared" si="5"/>
        <v>10400</v>
      </c>
      <c r="H67" s="15">
        <v>2000</v>
      </c>
      <c r="I67" s="4">
        <v>2080</v>
      </c>
      <c r="J67" s="4"/>
      <c r="K67" s="4"/>
      <c r="L67" s="4"/>
      <c r="M67" s="4"/>
      <c r="N67" s="4">
        <v>2080</v>
      </c>
      <c r="O67" s="4"/>
      <c r="P67" s="4"/>
      <c r="Q67" s="4"/>
      <c r="R67" s="4">
        <v>2080</v>
      </c>
      <c r="S67" s="4"/>
      <c r="T67" s="4"/>
      <c r="U67" s="4"/>
      <c r="V67" s="4">
        <v>2080</v>
      </c>
      <c r="W67" s="4"/>
      <c r="X67" s="4"/>
      <c r="Y67" s="4">
        <v>2080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s="3" customFormat="1" spans="1:39">
      <c r="A68" s="3">
        <v>66</v>
      </c>
      <c r="B68" s="16"/>
      <c r="D68" s="3" t="s">
        <v>83</v>
      </c>
      <c r="E68" s="17" t="s">
        <v>91</v>
      </c>
      <c r="F68" s="14">
        <f t="shared" si="6"/>
        <v>2500</v>
      </c>
      <c r="G68" s="14">
        <f t="shared" si="5"/>
        <v>2080</v>
      </c>
      <c r="H68" s="15">
        <v>500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>
        <v>2080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s="3" customFormat="1" spans="1:39">
      <c r="A69" s="3">
        <v>67</v>
      </c>
      <c r="D69" s="3" t="s">
        <v>92</v>
      </c>
      <c r="E69" s="13" t="s">
        <v>93</v>
      </c>
      <c r="F69" s="14">
        <f t="shared" si="6"/>
        <v>11500</v>
      </c>
      <c r="G69" s="14">
        <f t="shared" si="5"/>
        <v>10400</v>
      </c>
      <c r="H69" s="15">
        <v>1500</v>
      </c>
      <c r="I69" s="4">
        <v>3120</v>
      </c>
      <c r="J69" s="4"/>
      <c r="K69" s="4"/>
      <c r="L69" s="4"/>
      <c r="M69" s="4"/>
      <c r="N69" s="4">
        <v>3120</v>
      </c>
      <c r="O69" s="4"/>
      <c r="P69" s="4"/>
      <c r="Q69" s="4"/>
      <c r="R69" s="4"/>
      <c r="S69" s="4"/>
      <c r="T69" s="4"/>
      <c r="U69" s="4">
        <v>1040</v>
      </c>
      <c r="V69" s="4">
        <v>1040</v>
      </c>
      <c r="W69" s="4">
        <v>1040</v>
      </c>
      <c r="X69" s="4"/>
      <c r="Y69" s="4">
        <v>1040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s="3" customFormat="1" spans="1:39">
      <c r="A70" s="3">
        <v>68</v>
      </c>
      <c r="D70" s="3" t="s">
        <v>92</v>
      </c>
      <c r="E70" s="13" t="s">
        <v>94</v>
      </c>
      <c r="F70" s="14">
        <f t="shared" si="6"/>
        <v>18000</v>
      </c>
      <c r="G70" s="14">
        <f t="shared" si="5"/>
        <v>18720</v>
      </c>
      <c r="H70" s="15">
        <v>0</v>
      </c>
      <c r="I70" s="4"/>
      <c r="J70" s="4">
        <v>3120</v>
      </c>
      <c r="K70" s="4"/>
      <c r="L70" s="4"/>
      <c r="M70" s="4"/>
      <c r="N70" s="4">
        <v>3120</v>
      </c>
      <c r="O70" s="4"/>
      <c r="P70" s="4">
        <v>3120</v>
      </c>
      <c r="Q70" s="4"/>
      <c r="R70" s="4"/>
      <c r="S70" s="4">
        <v>3120</v>
      </c>
      <c r="T70" s="4"/>
      <c r="U70" s="4">
        <v>3120</v>
      </c>
      <c r="V70" s="4"/>
      <c r="W70" s="4"/>
      <c r="X70" s="4">
        <v>3120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s="3" customFormat="1" spans="1:39">
      <c r="A71" s="3">
        <v>69</v>
      </c>
      <c r="D71" s="3" t="s">
        <v>92</v>
      </c>
      <c r="E71" s="13" t="s">
        <v>95</v>
      </c>
      <c r="F71" s="14">
        <f t="shared" si="6"/>
        <v>16000</v>
      </c>
      <c r="G71" s="14">
        <f t="shared" si="5"/>
        <v>14560</v>
      </c>
      <c r="H71" s="15">
        <v>2000</v>
      </c>
      <c r="I71" s="4"/>
      <c r="J71" s="4">
        <v>2080</v>
      </c>
      <c r="K71" s="4"/>
      <c r="L71" s="4"/>
      <c r="M71" s="4"/>
      <c r="N71" s="4">
        <v>2080</v>
      </c>
      <c r="O71" s="4"/>
      <c r="P71" s="4">
        <v>2080</v>
      </c>
      <c r="Q71" s="4"/>
      <c r="R71" s="4"/>
      <c r="S71" s="4"/>
      <c r="T71" s="4">
        <v>2080</v>
      </c>
      <c r="U71" s="4">
        <v>2080</v>
      </c>
      <c r="V71" s="4"/>
      <c r="W71" s="4">
        <v>2080</v>
      </c>
      <c r="X71" s="4">
        <v>2080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s="3" customFormat="1" spans="1:39">
      <c r="A72" s="3">
        <v>70</v>
      </c>
      <c r="B72" s="16"/>
      <c r="E72" s="17" t="s">
        <v>96</v>
      </c>
      <c r="F72" s="14">
        <f t="shared" si="6"/>
        <v>43000</v>
      </c>
      <c r="G72" s="14">
        <f t="shared" si="5"/>
        <v>16640</v>
      </c>
      <c r="H72" s="15">
        <v>27000</v>
      </c>
      <c r="I72" s="23"/>
      <c r="J72" s="23"/>
      <c r="K72" s="23"/>
      <c r="L72" s="23">
        <v>2080</v>
      </c>
      <c r="M72" s="24">
        <v>4160</v>
      </c>
      <c r="N72" s="23">
        <v>2080</v>
      </c>
      <c r="O72" s="23"/>
      <c r="P72" s="23"/>
      <c r="Q72" s="23">
        <v>2080</v>
      </c>
      <c r="R72" s="23"/>
      <c r="S72" s="23">
        <v>2080</v>
      </c>
      <c r="T72" s="23">
        <v>2080</v>
      </c>
      <c r="U72" s="4">
        <v>2080</v>
      </c>
      <c r="V72" s="25"/>
      <c r="W72" s="25"/>
      <c r="X72" s="25"/>
      <c r="Y72" s="25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s="3" customFormat="1" spans="1:39">
      <c r="A73" s="3">
        <v>71</v>
      </c>
      <c r="B73" s="16"/>
      <c r="D73" s="3" t="s">
        <v>97</v>
      </c>
      <c r="E73" s="17" t="s">
        <v>98</v>
      </c>
      <c r="F73" s="14">
        <f t="shared" si="6"/>
        <v>3000</v>
      </c>
      <c r="G73" s="14">
        <f t="shared" si="5"/>
        <v>3120</v>
      </c>
      <c r="H73" s="15">
        <v>0</v>
      </c>
      <c r="I73" s="4"/>
      <c r="J73" s="4"/>
      <c r="K73" s="4"/>
      <c r="L73" s="4"/>
      <c r="M73" s="4"/>
      <c r="N73" s="4"/>
      <c r="O73" s="20">
        <v>3120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s="3" customFormat="1" spans="1:39">
      <c r="A74" s="3">
        <v>72</v>
      </c>
      <c r="B74" s="16"/>
      <c r="E74" s="17" t="s">
        <v>99</v>
      </c>
      <c r="F74" s="14">
        <f t="shared" si="6"/>
        <v>0</v>
      </c>
      <c r="G74" s="14">
        <f t="shared" ref="G69:G95" si="7">SUM(I74:AM74)</f>
        <v>0</v>
      </c>
      <c r="H74" s="15">
        <v>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6"/>
      <c r="D75" s="3" t="s">
        <v>100</v>
      </c>
      <c r="E75" s="17" t="s">
        <v>101</v>
      </c>
      <c r="F75" s="14">
        <f t="shared" si="6"/>
        <v>4000</v>
      </c>
      <c r="G75" s="14">
        <f t="shared" si="7"/>
        <v>4160</v>
      </c>
      <c r="H75" s="15">
        <v>0</v>
      </c>
      <c r="I75" s="4"/>
      <c r="J75" s="4"/>
      <c r="K75" s="4"/>
      <c r="L75" s="4"/>
      <c r="M75" s="20">
        <v>1040</v>
      </c>
      <c r="N75" s="4">
        <v>1040</v>
      </c>
      <c r="O75" s="4"/>
      <c r="P75" s="4">
        <v>2080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6"/>
      <c r="E76" s="17" t="s">
        <v>102</v>
      </c>
      <c r="F76" s="14">
        <f t="shared" si="6"/>
        <v>0</v>
      </c>
      <c r="G76" s="14">
        <f t="shared" si="7"/>
        <v>0</v>
      </c>
      <c r="H76" s="15">
        <v>0</v>
      </c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6"/>
      <c r="C77" s="3">
        <v>683879115</v>
      </c>
      <c r="E77" s="17" t="s">
        <v>103</v>
      </c>
      <c r="F77" s="14">
        <f t="shared" si="6"/>
        <v>4000</v>
      </c>
      <c r="G77" s="14">
        <f t="shared" si="7"/>
        <v>4160</v>
      </c>
      <c r="H77" s="15">
        <v>0</v>
      </c>
      <c r="I77" s="4"/>
      <c r="J77" s="4"/>
      <c r="K77" s="4"/>
      <c r="L77" s="4"/>
      <c r="M77" s="4"/>
      <c r="N77" s="4">
        <v>2080</v>
      </c>
      <c r="O77" s="4"/>
      <c r="P77" s="4"/>
      <c r="Q77" s="4"/>
      <c r="R77" s="4"/>
      <c r="S77" s="4"/>
      <c r="T77" s="4"/>
      <c r="U77" s="4"/>
      <c r="V77" s="4"/>
      <c r="W77" s="4"/>
      <c r="X77" s="4">
        <v>2080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6"/>
      <c r="D78" s="3" t="s">
        <v>61</v>
      </c>
      <c r="E78" s="17" t="s">
        <v>104</v>
      </c>
      <c r="F78" s="14">
        <f t="shared" si="6"/>
        <v>2000</v>
      </c>
      <c r="G78" s="14">
        <f t="shared" si="7"/>
        <v>2080</v>
      </c>
      <c r="H78" s="15">
        <v>0</v>
      </c>
      <c r="I78" s="4"/>
      <c r="J78" s="4"/>
      <c r="K78" s="4"/>
      <c r="L78" s="4"/>
      <c r="M78" s="4"/>
      <c r="N78" s="4"/>
      <c r="O78" s="4"/>
      <c r="P78" s="20">
        <v>2080</v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6"/>
      <c r="E79" s="17" t="s">
        <v>105</v>
      </c>
      <c r="F79" s="14">
        <f t="shared" si="6"/>
        <v>1000</v>
      </c>
      <c r="G79" s="14">
        <f t="shared" si="7"/>
        <v>1040</v>
      </c>
      <c r="H79" s="15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>
        <v>1040</v>
      </c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s="3" customFormat="1" spans="1:39">
      <c r="A80" s="3">
        <v>78</v>
      </c>
      <c r="B80" s="16"/>
      <c r="D80" s="3" t="s">
        <v>61</v>
      </c>
      <c r="E80" s="17" t="s">
        <v>106</v>
      </c>
      <c r="F80" s="14">
        <f t="shared" si="6"/>
        <v>4000</v>
      </c>
      <c r="G80" s="14">
        <f t="shared" si="7"/>
        <v>4160</v>
      </c>
      <c r="H80" s="15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20">
        <v>2080</v>
      </c>
      <c r="V80" s="4"/>
      <c r="W80" s="4">
        <v>1040</v>
      </c>
      <c r="X80" s="4">
        <v>1040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s="3" customFormat="1" spans="1:39">
      <c r="A81" s="3">
        <v>79</v>
      </c>
      <c r="B81" s="16"/>
      <c r="D81" s="3" t="s">
        <v>107</v>
      </c>
      <c r="E81" s="17" t="s">
        <v>108</v>
      </c>
      <c r="F81" s="14">
        <f t="shared" si="6"/>
        <v>4000</v>
      </c>
      <c r="G81" s="14">
        <f t="shared" si="7"/>
        <v>4160</v>
      </c>
      <c r="H81" s="15">
        <v>0</v>
      </c>
      <c r="I81" s="25"/>
      <c r="J81" s="25"/>
      <c r="K81" s="25"/>
      <c r="L81" s="25"/>
      <c r="M81" s="25"/>
      <c r="N81" s="25"/>
      <c r="O81" s="23">
        <v>2080</v>
      </c>
      <c r="P81" s="25"/>
      <c r="Q81" s="25"/>
      <c r="R81" s="25"/>
      <c r="S81" s="25"/>
      <c r="T81" s="25"/>
      <c r="U81" s="25"/>
      <c r="V81" s="25"/>
      <c r="W81" s="23">
        <v>2080</v>
      </c>
      <c r="X81" s="25"/>
      <c r="Y81" s="25"/>
      <c r="Z81" s="25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s="3" customFormat="1" spans="1:39">
      <c r="A82" s="3">
        <v>80</v>
      </c>
      <c r="B82" s="16"/>
      <c r="D82" s="3" t="s">
        <v>109</v>
      </c>
      <c r="E82" s="17" t="s">
        <v>110</v>
      </c>
      <c r="F82" s="14">
        <f t="shared" si="6"/>
        <v>25000</v>
      </c>
      <c r="G82" s="14">
        <f t="shared" si="7"/>
        <v>26000</v>
      </c>
      <c r="H82" s="15">
        <v>0</v>
      </c>
      <c r="I82" s="4">
        <v>5200</v>
      </c>
      <c r="J82" s="4"/>
      <c r="K82" s="4"/>
      <c r="L82" s="4">
        <v>5200</v>
      </c>
      <c r="M82" s="4"/>
      <c r="N82" s="4"/>
      <c r="O82" s="4"/>
      <c r="P82" s="4">
        <v>5200</v>
      </c>
      <c r="Q82" s="4"/>
      <c r="R82" s="4"/>
      <c r="S82" s="4"/>
      <c r="T82" s="4">
        <v>5200</v>
      </c>
      <c r="U82" s="4"/>
      <c r="V82" s="4"/>
      <c r="W82" s="4"/>
      <c r="X82" s="4">
        <v>5200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s="3" customFormat="1" spans="1:39">
      <c r="A83" s="3">
        <v>81</v>
      </c>
      <c r="B83" s="16"/>
      <c r="E83" s="17" t="s">
        <v>111</v>
      </c>
      <c r="F83" s="14">
        <f t="shared" si="6"/>
        <v>0</v>
      </c>
      <c r="G83" s="14">
        <f t="shared" si="7"/>
        <v>0</v>
      </c>
      <c r="H83" s="15">
        <v>0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s="3" customFormat="1" spans="1:39">
      <c r="A84" s="3">
        <v>82</v>
      </c>
      <c r="B84" s="16"/>
      <c r="E84" s="17" t="s">
        <v>112</v>
      </c>
      <c r="F84" s="14">
        <f t="shared" si="6"/>
        <v>0</v>
      </c>
      <c r="G84" s="14">
        <f t="shared" si="7"/>
        <v>0</v>
      </c>
      <c r="H84" s="15">
        <v>0</v>
      </c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6"/>
      <c r="C85" s="3">
        <v>683909556</v>
      </c>
      <c r="D85" s="3" t="s">
        <v>109</v>
      </c>
      <c r="E85" s="17" t="s">
        <v>113</v>
      </c>
      <c r="F85" s="14">
        <f t="shared" si="6"/>
        <v>0</v>
      </c>
      <c r="G85" s="14">
        <f t="shared" si="7"/>
        <v>0</v>
      </c>
      <c r="H85" s="15">
        <v>0</v>
      </c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6"/>
      <c r="E86" s="17" t="s">
        <v>114</v>
      </c>
      <c r="F86" s="14">
        <f t="shared" si="6"/>
        <v>0</v>
      </c>
      <c r="G86" s="14">
        <f t="shared" si="7"/>
        <v>0</v>
      </c>
      <c r="H86" s="15">
        <v>0</v>
      </c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E87" s="13" t="s">
        <v>115</v>
      </c>
      <c r="F87" s="14">
        <f t="shared" si="6"/>
        <v>1000</v>
      </c>
      <c r="G87" s="14">
        <f t="shared" si="7"/>
        <v>1040</v>
      </c>
      <c r="H87" s="15">
        <v>0</v>
      </c>
      <c r="I87" s="4"/>
      <c r="J87" s="4"/>
      <c r="K87" s="4"/>
      <c r="L87" s="4">
        <v>1040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3" t="s">
        <v>116</v>
      </c>
      <c r="F88" s="14">
        <f t="shared" si="6"/>
        <v>0</v>
      </c>
      <c r="G88" s="14">
        <f t="shared" si="7"/>
        <v>0</v>
      </c>
      <c r="H88" s="15">
        <v>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3" t="s">
        <v>117</v>
      </c>
      <c r="F89" s="14">
        <f t="shared" si="6"/>
        <v>0</v>
      </c>
      <c r="G89" s="14">
        <f t="shared" si="7"/>
        <v>0</v>
      </c>
      <c r="H89" s="15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E90" s="13" t="s">
        <v>118</v>
      </c>
      <c r="F90" s="14">
        <f t="shared" si="6"/>
        <v>0</v>
      </c>
      <c r="G90" s="14">
        <f t="shared" si="7"/>
        <v>0</v>
      </c>
      <c r="H90" s="15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E91" s="13" t="s">
        <v>119</v>
      </c>
      <c r="F91" s="14">
        <f t="shared" si="6"/>
        <v>0</v>
      </c>
      <c r="G91" s="14">
        <f t="shared" si="7"/>
        <v>0</v>
      </c>
      <c r="H91" s="15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s="3" customFormat="1" spans="1:39">
      <c r="A92" s="3">
        <v>90</v>
      </c>
      <c r="C92" s="3">
        <v>683909558</v>
      </c>
      <c r="E92" s="13" t="s">
        <v>120</v>
      </c>
      <c r="F92" s="14">
        <f t="shared" si="6"/>
        <v>0</v>
      </c>
      <c r="G92" s="14">
        <f t="shared" si="7"/>
        <v>0</v>
      </c>
      <c r="H92" s="15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s="3" customFormat="1" spans="1:39">
      <c r="A93" s="3">
        <v>91</v>
      </c>
      <c r="E93" s="13" t="s">
        <v>121</v>
      </c>
      <c r="F93" s="14">
        <f t="shared" si="6"/>
        <v>0</v>
      </c>
      <c r="G93" s="14">
        <f t="shared" si="7"/>
        <v>0</v>
      </c>
      <c r="H93" s="15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pans="1:39">
      <c r="A94" s="3">
        <v>92</v>
      </c>
      <c r="E94" s="22" t="s">
        <v>122</v>
      </c>
      <c r="F94" s="14">
        <f t="shared" si="6"/>
        <v>0</v>
      </c>
      <c r="G94" s="14">
        <f t="shared" si="7"/>
        <v>0</v>
      </c>
      <c r="H94" s="15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C95" s="3">
        <v>685671039</v>
      </c>
      <c r="D95" s="3" t="s">
        <v>79</v>
      </c>
      <c r="E95" s="3" t="s">
        <v>123</v>
      </c>
      <c r="F95" s="14">
        <f t="shared" si="6"/>
        <v>4000</v>
      </c>
      <c r="G95" s="14">
        <f t="shared" si="7"/>
        <v>4160</v>
      </c>
      <c r="H95" s="5">
        <v>0</v>
      </c>
      <c r="I95" s="4"/>
      <c r="J95" s="4"/>
      <c r="K95" s="4"/>
      <c r="L95" s="4"/>
      <c r="M95" s="20">
        <v>2080</v>
      </c>
      <c r="N95" s="4"/>
      <c r="O95" s="4"/>
      <c r="P95" s="4"/>
      <c r="Q95" s="20">
        <v>2080</v>
      </c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spans="9:39"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2021-01-17T02:29:59Z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