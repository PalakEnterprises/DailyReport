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'January-2021'!$A$1:$AM$93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Z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U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K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P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Z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E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2080+2080</t>
        </r>
      </text>
    </comment>
    <comment ref="A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F1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 Auto
2080- Manual</t>
        </r>
      </text>
    </comment>
    <comment ref="AJ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Y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M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AE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3120- Manual
1040-Auto</t>
        </r>
      </text>
    </comment>
    <comment ref="AG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2080 - Manual
1560 - Manual</t>
        </r>
      </text>
    </comment>
  </commentList>
</comments>
</file>

<file path=xl/sharedStrings.xml><?xml version="1.0" encoding="utf-8"?>
<sst xmlns="http://schemas.openxmlformats.org/spreadsheetml/2006/main" count="186" uniqueCount="124">
  <si>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</si>
  <si>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</si>
  <si>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</si>
  <si>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</si>
  <si>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</si>
  <si>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</si>
  <si>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</si>
  <si>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</si>
  <si>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</si>
  <si>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</si>
  <si>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</si>
  <si>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</si>
  <si>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</si>
  <si>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</si>
  <si>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</si>
  <si>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</si>
  <si>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</si>
  <si>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</si>
  <si>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</si>
  <si>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</si>
  <si>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</si>
  <si>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</si>
  <si>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</si>
  <si>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</si>
  <si>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</si>
  <si>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</si>
  <si>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</si>
  <si>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</si>
  <si>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</si>
  <si>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</si>
  <si>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</si>
  <si>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</si>
  <si>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</si>
  <si>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</si>
  <si>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</si>
  <si>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</si>
  <si>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</si>
  <si>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</si>
  <si>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</si>
  <si>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</si>
  <si>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</si>
  <si>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</si>
  <si>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</si>
  <si>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</si>
  <si>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</si>
  <si>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</si>
  <si>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</si>
  <si>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</si>
  <si>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</si>
  <si>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</si>
  <si>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</si>
  <si>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</si>
  <si>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</si>
  <si>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</si>
  <si>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</si>
  <si>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</si>
  <si>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</si>
  <si>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</si>
  <si>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</si>
  <si>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</si>
  <si>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</si>
  <si>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</si>
  <si>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</si>
  <si>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</si>
  <si>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</si>
  <si>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</si>
  <si>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</si>
  <si>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</si>
  <si>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</si>
  <si>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</si>
  <si>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</si>
  <si>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</si>
  <si>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</si>
  <si>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</si>
  <si>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</si>
  <si>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</si>
  <si>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</si>
  <si>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0681066927/0681961014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</si>
  <si>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</si>
  <si>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</si>
  <si>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</si>
  <si>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</si>
  <si>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</si>
  <si>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</si>
  <si>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</si>
  <si>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</si>
  <si>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</si>
  <si>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</si>
  <si>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</si>
  <si>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</si>
  <si>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</si>
  <si>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</si>
  <si>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</si>
  <si>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</si>
  <si>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</si>
  <si>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</si>
  <si>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</si>
  <si>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</si>
  <si>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</si>
  <si>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</si>
  <si>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</si>
  <si>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</si>
  <si>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</si>
  <si>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</si>
  <si>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</si>
  <si>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</si>
  <si>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</si>
  <si>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Rupsagar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</si>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</sst>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_ * #,##0_ ;_ * \-#,##0_ ;_ * &quot;-&quot;_ ;_ @_ "/>
    <numFmt numFmtId="177" formatCode="_ * #,##0.00_ ;_ * \-#,##0.00_ ;_ * &quot;-&quot;??_ ;_ @_ "/>
    <numFmt numFmtId="42" formatCode="_(&quot;$&quot;* #,##0_);_(&quot;$&quot;* \(#,##0\);_(&quot;$&quot;* &quot;-&quot;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6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0" borderId="5" applyNumberFormat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0" fillId="21" borderId="6" applyNumberFormat="0" applyFont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5" fillId="25" borderId="4" applyNumberFormat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8" fillId="18" borderId="8" applyNumberFormat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8" fillId="18" borderId="4" applyNumberFormat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6" fillId="35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37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4" fillId="39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left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Alignment="1" applyProtection="1">
      <alignment horizontal="left" vertical="center"/>
      <protection locked="0"/>
    </xf>
    <xf numFmtId="178" fontId="1" fillId="3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8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8"/>
  <sheetViews>
    <sheetView tabSelected="1" workbookViewId="0">
      <pane xSplit="7" ySplit="2" topLeftCell="X8" activePane="bottomRight" state="frozen"/>
      <selection/>
      <selection pane="topRight"/>
      <selection pane="bottomLeft"/>
      <selection pane="bottomRight" activeCell="AB19" sqref="AB19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15" style="3" customWidth="1"/>
    <col min="5" max="5" width="51.1428571428571" style="3" customWidth="1"/>
    <col min="6" max="6" width="21.8571428571429" style="4" customWidth="1"/>
    <col min="7" max="7" width="11" style="4" customWidth="1"/>
    <col min="8" max="8" width="20" style="5" customWidth="1"/>
    <col min="9" max="16384" width="9.14285714285714" style="3"/>
  </cols>
  <sheetData>
    <row r="1" s="1" customFormat="1" spans="1:4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18">
        <v>43831</v>
      </c>
      <c r="J1" s="18">
        <v>43832</v>
      </c>
      <c r="K1" s="18">
        <v>43833</v>
      </c>
      <c r="L1" s="18">
        <v>43834</v>
      </c>
      <c r="M1" s="18">
        <v>43835</v>
      </c>
      <c r="N1" s="18">
        <v>43836</v>
      </c>
      <c r="O1" s="18">
        <v>43837</v>
      </c>
      <c r="P1" s="18">
        <v>43838</v>
      </c>
      <c r="Q1" s="18">
        <v>43839</v>
      </c>
      <c r="R1" s="18">
        <v>43840</v>
      </c>
      <c r="S1" s="18">
        <v>43841</v>
      </c>
      <c r="T1" s="18">
        <v>43842</v>
      </c>
      <c r="U1" s="18">
        <v>43843</v>
      </c>
      <c r="V1" s="18">
        <v>43844</v>
      </c>
      <c r="W1" s="18">
        <v>43845</v>
      </c>
      <c r="X1" s="18">
        <v>43846</v>
      </c>
      <c r="Y1" s="18">
        <v>43847</v>
      </c>
      <c r="Z1" s="18">
        <v>43848</v>
      </c>
      <c r="AA1" s="18">
        <v>43849</v>
      </c>
      <c r="AB1" s="18">
        <v>43850</v>
      </c>
      <c r="AC1" s="18">
        <v>43851</v>
      </c>
      <c r="AD1" s="18">
        <v>43852</v>
      </c>
      <c r="AE1" s="18">
        <v>43853</v>
      </c>
      <c r="AF1" s="18">
        <v>43854</v>
      </c>
      <c r="AG1" s="18">
        <v>43855</v>
      </c>
      <c r="AH1" s="18">
        <v>43856</v>
      </c>
      <c r="AI1" s="18">
        <v>43857</v>
      </c>
      <c r="AJ1" s="18">
        <v>43858</v>
      </c>
      <c r="AK1" s="18">
        <v>43859</v>
      </c>
      <c r="AL1" s="18">
        <v>43860</v>
      </c>
      <c r="AM1" s="18">
        <v>43861</v>
      </c>
      <c r="AN1" s="20"/>
      <c r="AO1" s="20"/>
      <c r="AP1" s="20"/>
      <c r="AQ1" s="20"/>
      <c r="AR1" s="20"/>
      <c r="AS1" s="20"/>
    </row>
    <row r="2" s="2" customFormat="1" spans="1:39">
      <c r="A2" s="8"/>
      <c r="B2" s="9">
        <f>SUM(F3:F120)</f>
        <v>1043500</v>
      </c>
      <c r="C2" s="9"/>
      <c r="D2" s="10">
        <f>SUM(G3:G120)</f>
        <v>961480</v>
      </c>
      <c r="E2" s="11" t="s">
        <v>8</v>
      </c>
      <c r="F2" s="9">
        <f>G2/1.04+H2</f>
        <v>1043500</v>
      </c>
      <c r="G2" s="10">
        <f t="shared" ref="G2:G16" si="0">SUM(I2:AM2)</f>
        <v>961480</v>
      </c>
      <c r="H2" s="12">
        <f>SUM(H3:H120)</f>
        <v>119000</v>
      </c>
      <c r="I2" s="2">
        <f>SUM(I3:I120)</f>
        <v>48880</v>
      </c>
      <c r="J2" s="2">
        <f>SUM(J3:J120)</f>
        <v>52000</v>
      </c>
      <c r="K2" s="2">
        <f>SUM(K3:K120)</f>
        <v>29120</v>
      </c>
      <c r="L2" s="2">
        <f t="shared" ref="L2:AM2" si="1">SUM(L3:L120)</f>
        <v>46800</v>
      </c>
      <c r="M2" s="2">
        <f t="shared" si="1"/>
        <v>46800</v>
      </c>
      <c r="N2" s="2">
        <f t="shared" si="1"/>
        <v>69680</v>
      </c>
      <c r="O2" s="2">
        <f t="shared" si="1"/>
        <v>43680</v>
      </c>
      <c r="P2" s="2">
        <f t="shared" si="1"/>
        <v>57200</v>
      </c>
      <c r="Q2" s="2">
        <f t="shared" si="1"/>
        <v>18720</v>
      </c>
      <c r="R2" s="2">
        <f t="shared" si="1"/>
        <v>38480</v>
      </c>
      <c r="S2" s="2">
        <f t="shared" si="1"/>
        <v>47320</v>
      </c>
      <c r="T2" s="2">
        <f t="shared" si="1"/>
        <v>61360</v>
      </c>
      <c r="U2" s="2">
        <f t="shared" si="1"/>
        <v>60320</v>
      </c>
      <c r="V2" s="2">
        <f t="shared" si="1"/>
        <v>47840</v>
      </c>
      <c r="W2" s="2">
        <f t="shared" si="1"/>
        <v>30160</v>
      </c>
      <c r="X2" s="2">
        <f t="shared" si="1"/>
        <v>46800</v>
      </c>
      <c r="Y2" s="2">
        <f t="shared" si="1"/>
        <v>58240</v>
      </c>
      <c r="Z2" s="2">
        <f t="shared" si="1"/>
        <v>50960</v>
      </c>
      <c r="AA2" s="2">
        <f t="shared" si="1"/>
        <v>34320</v>
      </c>
      <c r="AB2" s="2">
        <f t="shared" si="1"/>
        <v>40560</v>
      </c>
      <c r="AC2" s="2">
        <f t="shared" si="1"/>
        <v>32240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  <c r="AL2" s="2">
        <f t="shared" si="1"/>
        <v>0</v>
      </c>
      <c r="AM2" s="2">
        <f t="shared" si="1"/>
        <v>0</v>
      </c>
    </row>
    <row r="3" s="3" customFormat="1" spans="1:39">
      <c r="A3" s="3">
        <v>1</v>
      </c>
      <c r="D3" s="3" t="s">
        <v>9</v>
      </c>
      <c r="E3" s="13" t="s">
        <v>10</v>
      </c>
      <c r="F3" s="1">
        <f t="shared" ref="F3:F34" si="2">G3/1.04+H3</f>
        <v>12000</v>
      </c>
      <c r="G3" s="1">
        <f t="shared" si="0"/>
        <v>9360</v>
      </c>
      <c r="H3" s="14">
        <v>3000</v>
      </c>
      <c r="I3" s="4"/>
      <c r="J3" s="4"/>
      <c r="K3" s="4"/>
      <c r="L3" s="4"/>
      <c r="M3" s="4"/>
      <c r="N3" s="4">
        <v>3120</v>
      </c>
      <c r="O3" s="4"/>
      <c r="P3" s="4"/>
      <c r="Q3" s="4"/>
      <c r="R3" s="4"/>
      <c r="S3" s="4"/>
      <c r="T3" s="4"/>
      <c r="U3" s="4"/>
      <c r="V3" s="4"/>
      <c r="W3" s="4"/>
      <c r="X3" s="4"/>
      <c r="Y3" s="19">
        <v>3120</v>
      </c>
      <c r="Z3" s="4"/>
      <c r="AA3" s="4"/>
      <c r="AB3" s="4"/>
      <c r="AC3" s="4">
        <v>3120</v>
      </c>
      <c r="AD3" s="4"/>
      <c r="AE3" s="4"/>
      <c r="AF3" s="4"/>
      <c r="AG3" s="4"/>
      <c r="AH3" s="4"/>
      <c r="AI3" s="4"/>
      <c r="AJ3" s="4"/>
      <c r="AK3" s="4"/>
      <c r="AL3" s="4"/>
      <c r="AM3" s="4"/>
    </row>
    <row r="4" s="3" customFormat="1" spans="1:39">
      <c r="A4" s="3">
        <v>2</v>
      </c>
      <c r="D4" s="3" t="s">
        <v>9</v>
      </c>
      <c r="E4" s="13" t="s">
        <v>11</v>
      </c>
      <c r="F4" s="1">
        <f t="shared" si="2"/>
        <v>3500</v>
      </c>
      <c r="G4" s="1">
        <f t="shared" si="0"/>
        <v>3640</v>
      </c>
      <c r="H4" s="14">
        <v>0</v>
      </c>
      <c r="I4" s="4"/>
      <c r="J4" s="4"/>
      <c r="K4" s="4"/>
      <c r="L4" s="4"/>
      <c r="M4" s="4"/>
      <c r="N4" s="4"/>
      <c r="O4" s="4"/>
      <c r="P4" s="4"/>
      <c r="Q4" s="4"/>
      <c r="R4" s="4"/>
      <c r="S4" s="19">
        <v>1560</v>
      </c>
      <c r="T4" s="4"/>
      <c r="U4" s="4"/>
      <c r="V4" s="4"/>
      <c r="W4" s="4"/>
      <c r="X4" s="4"/>
      <c r="Y4" s="4"/>
      <c r="Z4" s="4">
        <v>2080</v>
      </c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</row>
    <row r="5" s="3" customFormat="1" spans="1:39">
      <c r="A5" s="3">
        <v>3</v>
      </c>
      <c r="B5" s="3" t="s">
        <v>12</v>
      </c>
      <c r="D5" s="3" t="s">
        <v>9</v>
      </c>
      <c r="E5" s="13" t="s">
        <v>13</v>
      </c>
      <c r="F5" s="1">
        <f t="shared" si="2"/>
        <v>9000</v>
      </c>
      <c r="G5" s="1">
        <f t="shared" si="0"/>
        <v>9360</v>
      </c>
      <c r="H5" s="14">
        <v>0</v>
      </c>
      <c r="I5" s="4">
        <v>1040</v>
      </c>
      <c r="J5" s="4"/>
      <c r="K5" s="4">
        <v>1040</v>
      </c>
      <c r="L5" s="4"/>
      <c r="M5" s="4">
        <v>1040</v>
      </c>
      <c r="N5" s="4"/>
      <c r="O5" s="4">
        <v>1040</v>
      </c>
      <c r="P5" s="4"/>
      <c r="Q5" s="4"/>
      <c r="R5" s="4">
        <v>1040</v>
      </c>
      <c r="S5" s="4">
        <v>1040</v>
      </c>
      <c r="T5" s="4"/>
      <c r="U5" s="4">
        <v>2080</v>
      </c>
      <c r="V5" s="4"/>
      <c r="W5" s="4"/>
      <c r="X5" s="4"/>
      <c r="Y5" s="4"/>
      <c r="Z5" s="4">
        <v>1040</v>
      </c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</row>
    <row r="6" s="3" customFormat="1" spans="1:39">
      <c r="A6" s="3">
        <v>4</v>
      </c>
      <c r="B6" s="3" t="s">
        <v>14</v>
      </c>
      <c r="D6" s="3" t="s">
        <v>9</v>
      </c>
      <c r="E6" s="13" t="s">
        <v>15</v>
      </c>
      <c r="F6" s="1">
        <f t="shared" si="2"/>
        <v>18000</v>
      </c>
      <c r="G6" s="1">
        <f t="shared" si="0"/>
        <v>15600</v>
      </c>
      <c r="H6" s="14">
        <v>3000</v>
      </c>
      <c r="I6" s="4"/>
      <c r="J6" s="4"/>
      <c r="K6" s="4"/>
      <c r="L6" s="4"/>
      <c r="M6" s="4"/>
      <c r="N6" s="4">
        <v>5200</v>
      </c>
      <c r="O6" s="4"/>
      <c r="P6" s="4"/>
      <c r="Q6" s="4"/>
      <c r="R6" s="4"/>
      <c r="S6" s="4"/>
      <c r="T6" s="4">
        <v>5200</v>
      </c>
      <c r="U6" s="4"/>
      <c r="V6" s="4"/>
      <c r="W6" s="4"/>
      <c r="X6" s="4"/>
      <c r="Y6" s="4">
        <v>5200</v>
      </c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</row>
    <row r="7" s="3" customFormat="1" spans="1:39">
      <c r="A7" s="3">
        <v>5</v>
      </c>
      <c r="B7" s="3" t="s">
        <v>16</v>
      </c>
      <c r="D7" s="3" t="s">
        <v>9</v>
      </c>
      <c r="E7" s="13" t="s">
        <v>17</v>
      </c>
      <c r="F7" s="1">
        <f t="shared" si="2"/>
        <v>48000</v>
      </c>
      <c r="G7" s="1">
        <f t="shared" si="0"/>
        <v>39520</v>
      </c>
      <c r="H7" s="14">
        <v>10000</v>
      </c>
      <c r="I7" s="4">
        <v>2080</v>
      </c>
      <c r="J7" s="4">
        <v>2080</v>
      </c>
      <c r="K7" s="4">
        <v>4160</v>
      </c>
      <c r="L7" s="4">
        <v>2080</v>
      </c>
      <c r="M7" s="4"/>
      <c r="N7" s="4">
        <v>2080</v>
      </c>
      <c r="O7" s="4">
        <v>2080</v>
      </c>
      <c r="P7" s="4">
        <v>4160</v>
      </c>
      <c r="Q7" s="4"/>
      <c r="R7" s="4">
        <v>2080</v>
      </c>
      <c r="S7" s="4">
        <v>2080</v>
      </c>
      <c r="T7" s="4">
        <v>2080</v>
      </c>
      <c r="U7" s="4">
        <v>2080</v>
      </c>
      <c r="V7" s="4">
        <v>2080</v>
      </c>
      <c r="W7" s="4">
        <v>2080</v>
      </c>
      <c r="X7" s="4">
        <v>2080</v>
      </c>
      <c r="Y7" s="4">
        <v>2080</v>
      </c>
      <c r="Z7" s="4">
        <v>4160</v>
      </c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</row>
    <row r="8" s="3" customFormat="1" spans="1:39">
      <c r="A8" s="3">
        <v>6</v>
      </c>
      <c r="B8" s="3" t="s">
        <v>18</v>
      </c>
      <c r="D8" s="3" t="s">
        <v>9</v>
      </c>
      <c r="E8" s="13" t="s">
        <v>19</v>
      </c>
      <c r="F8" s="1">
        <f t="shared" si="2"/>
        <v>4000</v>
      </c>
      <c r="G8" s="1">
        <f t="shared" si="0"/>
        <v>4160</v>
      </c>
      <c r="H8" s="14">
        <v>0</v>
      </c>
      <c r="I8" s="4"/>
      <c r="J8" s="4"/>
      <c r="K8" s="4"/>
      <c r="L8" s="4"/>
      <c r="M8" s="4">
        <v>2080</v>
      </c>
      <c r="N8" s="4"/>
      <c r="O8" s="4"/>
      <c r="P8" s="4"/>
      <c r="Q8" s="4"/>
      <c r="R8" s="4"/>
      <c r="S8" s="4"/>
      <c r="T8" s="4"/>
      <c r="U8" s="4">
        <v>2080</v>
      </c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s="3" customFormat="1" spans="1:39">
      <c r="A9" s="3">
        <v>7</v>
      </c>
      <c r="D9" s="3" t="s">
        <v>9</v>
      </c>
      <c r="E9" s="13" t="s">
        <v>20</v>
      </c>
      <c r="F9" s="1">
        <f t="shared" si="2"/>
        <v>6000</v>
      </c>
      <c r="G9" s="1">
        <f t="shared" si="0"/>
        <v>6240</v>
      </c>
      <c r="H9" s="14">
        <v>0</v>
      </c>
      <c r="I9" s="4"/>
      <c r="J9" s="4"/>
      <c r="K9" s="4"/>
      <c r="L9" s="4">
        <v>2080</v>
      </c>
      <c r="M9" s="4"/>
      <c r="N9" s="4"/>
      <c r="O9" s="4"/>
      <c r="P9" s="4"/>
      <c r="Q9" s="4"/>
      <c r="R9" s="4"/>
      <c r="S9" s="4"/>
      <c r="T9" s="4"/>
      <c r="U9" s="4">
        <v>2080</v>
      </c>
      <c r="V9" s="4"/>
      <c r="W9" s="4"/>
      <c r="X9" s="4"/>
      <c r="Y9" s="4"/>
      <c r="Z9" s="4"/>
      <c r="AA9" s="4">
        <v>2080</v>
      </c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</row>
    <row r="10" s="3" customFormat="1" spans="1:39">
      <c r="A10" s="3">
        <v>8</v>
      </c>
      <c r="B10" s="3" t="s">
        <v>21</v>
      </c>
      <c r="D10" s="3" t="s">
        <v>9</v>
      </c>
      <c r="E10" s="13" t="s">
        <v>22</v>
      </c>
      <c r="F10" s="1">
        <f t="shared" si="2"/>
        <v>25000</v>
      </c>
      <c r="G10" s="1">
        <f t="shared" si="0"/>
        <v>26000</v>
      </c>
      <c r="H10" s="14">
        <v>0</v>
      </c>
      <c r="I10" s="4"/>
      <c r="J10" s="4"/>
      <c r="K10" s="4"/>
      <c r="L10" s="4">
        <v>5200</v>
      </c>
      <c r="M10" s="4"/>
      <c r="N10" s="4"/>
      <c r="O10" s="4"/>
      <c r="P10" s="4">
        <v>5200</v>
      </c>
      <c r="Q10" s="4"/>
      <c r="R10" s="4"/>
      <c r="S10" s="4"/>
      <c r="T10" s="4">
        <v>5200</v>
      </c>
      <c r="U10" s="4"/>
      <c r="V10" s="4"/>
      <c r="W10" s="4"/>
      <c r="X10" s="4"/>
      <c r="Y10" s="4"/>
      <c r="Z10" s="4">
        <v>5200</v>
      </c>
      <c r="AA10" s="4"/>
      <c r="AB10" s="4">
        <v>5200</v>
      </c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</row>
    <row r="11" s="3" customFormat="1" spans="1:39">
      <c r="A11" s="3">
        <v>9</v>
      </c>
      <c r="D11" s="3" t="s">
        <v>23</v>
      </c>
      <c r="E11" s="13" t="s">
        <v>24</v>
      </c>
      <c r="F11" s="1">
        <f t="shared" si="2"/>
        <v>12000</v>
      </c>
      <c r="G11" s="1">
        <f t="shared" si="0"/>
        <v>10400</v>
      </c>
      <c r="H11" s="14">
        <v>2000</v>
      </c>
      <c r="I11" s="4"/>
      <c r="J11" s="4"/>
      <c r="K11" s="4"/>
      <c r="L11" s="4"/>
      <c r="M11" s="4"/>
      <c r="N11" s="4">
        <v>2080</v>
      </c>
      <c r="O11" s="4"/>
      <c r="P11" s="4"/>
      <c r="Q11" s="4"/>
      <c r="R11" s="4"/>
      <c r="S11" s="4">
        <v>2080</v>
      </c>
      <c r="T11" s="4"/>
      <c r="U11" s="4">
        <v>2080</v>
      </c>
      <c r="V11" s="4"/>
      <c r="W11" s="4"/>
      <c r="X11" s="4"/>
      <c r="Y11" s="4">
        <v>2080</v>
      </c>
      <c r="Z11" s="4"/>
      <c r="AA11" s="4">
        <v>2080</v>
      </c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</row>
    <row r="12" s="3" customFormat="1" spans="1:39">
      <c r="A12" s="3">
        <v>10</v>
      </c>
      <c r="D12" s="3" t="s">
        <v>23</v>
      </c>
      <c r="E12" s="13" t="s">
        <v>25</v>
      </c>
      <c r="F12" s="1">
        <f t="shared" si="2"/>
        <v>6000</v>
      </c>
      <c r="G12" s="1">
        <f t="shared" si="0"/>
        <v>6240</v>
      </c>
      <c r="H12" s="14">
        <v>0</v>
      </c>
      <c r="I12" s="4"/>
      <c r="J12" s="4">
        <v>1040</v>
      </c>
      <c r="K12" s="4"/>
      <c r="L12" s="4"/>
      <c r="M12" s="4">
        <v>1040</v>
      </c>
      <c r="O12" s="4">
        <v>1040</v>
      </c>
      <c r="P12" s="4"/>
      <c r="Q12" s="4"/>
      <c r="R12" s="4"/>
      <c r="S12" s="4"/>
      <c r="T12" s="4">
        <v>1040</v>
      </c>
      <c r="U12" s="4">
        <v>1040</v>
      </c>
      <c r="V12" s="4"/>
      <c r="W12" s="4"/>
      <c r="X12" s="4"/>
      <c r="Y12" s="4"/>
      <c r="Z12" s="4"/>
      <c r="AA12" s="4">
        <v>1040</v>
      </c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</row>
    <row r="13" s="3" customFormat="1" spans="1:39">
      <c r="A13" s="3">
        <v>11</v>
      </c>
      <c r="D13" s="3" t="s">
        <v>23</v>
      </c>
      <c r="E13" s="13" t="s">
        <v>26</v>
      </c>
      <c r="F13" s="1">
        <f t="shared" si="2"/>
        <v>20000</v>
      </c>
      <c r="G13" s="1">
        <f t="shared" si="0"/>
        <v>20800</v>
      </c>
      <c r="H13" s="14">
        <v>0</v>
      </c>
      <c r="I13" s="4"/>
      <c r="J13" s="4">
        <v>5200</v>
      </c>
      <c r="K13" s="4"/>
      <c r="L13" s="4"/>
      <c r="M13" s="4"/>
      <c r="N13" s="4"/>
      <c r="O13" s="4">
        <v>5200</v>
      </c>
      <c r="P13" s="4"/>
      <c r="Q13" s="4"/>
      <c r="R13" s="4"/>
      <c r="S13" s="4"/>
      <c r="T13" s="4"/>
      <c r="U13" s="4">
        <v>5200</v>
      </c>
      <c r="V13" s="4"/>
      <c r="W13" s="4"/>
      <c r="X13" s="4"/>
      <c r="Y13" s="4">
        <v>5200</v>
      </c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</row>
    <row r="14" s="3" customFormat="1" spans="1:39">
      <c r="A14" s="3">
        <v>12</v>
      </c>
      <c r="D14" s="3" t="s">
        <v>23</v>
      </c>
      <c r="E14" s="13" t="s">
        <v>27</v>
      </c>
      <c r="F14" s="1">
        <f t="shared" si="2"/>
        <v>45000</v>
      </c>
      <c r="G14" s="1">
        <f t="shared" si="0"/>
        <v>41600</v>
      </c>
      <c r="H14" s="14">
        <v>5000</v>
      </c>
      <c r="I14" s="4"/>
      <c r="J14" s="4"/>
      <c r="K14" s="4">
        <v>5200</v>
      </c>
      <c r="L14" s="4"/>
      <c r="M14" s="4">
        <v>5200</v>
      </c>
      <c r="N14" s="4"/>
      <c r="O14" s="4"/>
      <c r="P14" s="4">
        <v>5200</v>
      </c>
      <c r="Q14" s="4"/>
      <c r="R14" s="4">
        <v>5200</v>
      </c>
      <c r="S14" s="4"/>
      <c r="T14" s="4">
        <v>5200</v>
      </c>
      <c r="U14" s="4"/>
      <c r="V14" s="4"/>
      <c r="W14" s="4">
        <v>5200</v>
      </c>
      <c r="X14" s="4"/>
      <c r="Y14" s="4"/>
      <c r="Z14" s="4">
        <v>5200</v>
      </c>
      <c r="AA14" s="4"/>
      <c r="AB14" s="4"/>
      <c r="AC14" s="4">
        <v>5200</v>
      </c>
      <c r="AD14" s="4"/>
      <c r="AE14" s="4"/>
      <c r="AF14" s="4"/>
      <c r="AG14" s="4"/>
      <c r="AH14" s="4"/>
      <c r="AI14" s="4"/>
      <c r="AJ14" s="4"/>
      <c r="AK14" s="4"/>
      <c r="AL14" s="4"/>
      <c r="AM14" s="4"/>
    </row>
    <row r="15" s="3" customFormat="1" spans="1:39">
      <c r="A15" s="3">
        <v>13</v>
      </c>
      <c r="B15" s="3" t="s">
        <v>28</v>
      </c>
      <c r="D15" s="3" t="s">
        <v>23</v>
      </c>
      <c r="E15" s="13" t="s">
        <v>29</v>
      </c>
      <c r="F15" s="1">
        <f t="shared" si="2"/>
        <v>6000</v>
      </c>
      <c r="G15" s="1">
        <f t="shared" si="0"/>
        <v>6240</v>
      </c>
      <c r="H15" s="14">
        <v>0</v>
      </c>
      <c r="I15" s="4"/>
      <c r="J15" s="4"/>
      <c r="K15" s="4"/>
      <c r="L15" s="4">
        <v>2080</v>
      </c>
      <c r="M15" s="4"/>
      <c r="N15" s="4"/>
      <c r="O15" s="4"/>
      <c r="P15" s="4"/>
      <c r="Q15" s="4"/>
      <c r="R15" s="4"/>
      <c r="S15" s="4"/>
      <c r="T15" s="4">
        <v>2080</v>
      </c>
      <c r="U15" s="4"/>
      <c r="V15" s="4"/>
      <c r="W15" s="4"/>
      <c r="X15" s="4"/>
      <c r="Y15" s="4">
        <v>2080</v>
      </c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</row>
    <row r="16" spans="1:39">
      <c r="A16" s="3">
        <v>14</v>
      </c>
      <c r="D16" s="3" t="s">
        <v>23</v>
      </c>
      <c r="E16" s="13" t="s">
        <v>30</v>
      </c>
      <c r="F16" s="1">
        <f t="shared" si="2"/>
        <v>2500</v>
      </c>
      <c r="G16" s="1">
        <f t="shared" si="0"/>
        <v>2080</v>
      </c>
      <c r="H16" s="14">
        <v>500</v>
      </c>
      <c r="I16" s="4"/>
      <c r="J16" s="4"/>
      <c r="K16" s="19">
        <v>1040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>
        <v>1040</v>
      </c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</row>
    <row r="17" s="3" customFormat="1" spans="1:39">
      <c r="A17" s="3">
        <v>15</v>
      </c>
      <c r="D17" s="3" t="s">
        <v>23</v>
      </c>
      <c r="E17" s="13" t="s">
        <v>31</v>
      </c>
      <c r="F17" s="1">
        <f t="shared" si="2"/>
        <v>15000</v>
      </c>
      <c r="G17" s="1">
        <f t="shared" ref="G17:G35" si="3">SUM(I17:AM17)</f>
        <v>15600</v>
      </c>
      <c r="H17" s="14">
        <v>0</v>
      </c>
      <c r="I17" s="4">
        <v>3120</v>
      </c>
      <c r="J17" s="4"/>
      <c r="K17" s="4"/>
      <c r="L17" s="4"/>
      <c r="M17" s="4"/>
      <c r="N17" s="4"/>
      <c r="O17" s="4">
        <v>3120</v>
      </c>
      <c r="P17" s="4"/>
      <c r="Q17" s="4"/>
      <c r="R17" s="4">
        <v>3120</v>
      </c>
      <c r="S17" s="4"/>
      <c r="T17" s="4">
        <v>3120</v>
      </c>
      <c r="U17" s="4"/>
      <c r="V17" s="4"/>
      <c r="W17" s="4"/>
      <c r="X17" s="4"/>
      <c r="Y17" s="4"/>
      <c r="Z17" s="4">
        <v>3120</v>
      </c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</row>
    <row r="18" s="3" customFormat="1" spans="1:39">
      <c r="A18" s="3">
        <v>16</v>
      </c>
      <c r="D18" s="3" t="s">
        <v>32</v>
      </c>
      <c r="E18" s="13" t="s">
        <v>33</v>
      </c>
      <c r="F18" s="1">
        <f t="shared" si="2"/>
        <v>20000</v>
      </c>
      <c r="G18" s="1">
        <f t="shared" si="3"/>
        <v>15600</v>
      </c>
      <c r="H18" s="14">
        <v>5000</v>
      </c>
      <c r="I18" s="4"/>
      <c r="J18" s="4"/>
      <c r="K18" s="4"/>
      <c r="L18" s="4"/>
      <c r="M18" s="4">
        <v>5200</v>
      </c>
      <c r="N18" s="4"/>
      <c r="O18" s="4"/>
      <c r="P18" s="4"/>
      <c r="Q18" s="4"/>
      <c r="R18" s="4"/>
      <c r="S18" s="4"/>
      <c r="T18" s="4"/>
      <c r="U18" s="4">
        <v>5200</v>
      </c>
      <c r="V18" s="4"/>
      <c r="W18" s="4"/>
      <c r="X18" s="4"/>
      <c r="Y18" s="4"/>
      <c r="Z18" s="4">
        <v>5200</v>
      </c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</row>
    <row r="19" s="3" customFormat="1" spans="1:39">
      <c r="A19" s="3">
        <v>17</v>
      </c>
      <c r="D19" s="3" t="s">
        <v>32</v>
      </c>
      <c r="E19" s="13" t="s">
        <v>34</v>
      </c>
      <c r="F19" s="1">
        <f t="shared" si="2"/>
        <v>8000</v>
      </c>
      <c r="G19" s="1">
        <f t="shared" si="3"/>
        <v>8320</v>
      </c>
      <c r="H19" s="14">
        <v>0</v>
      </c>
      <c r="I19" s="4"/>
      <c r="J19" s="4"/>
      <c r="K19" s="4"/>
      <c r="L19" s="4"/>
      <c r="M19" s="4">
        <v>2080</v>
      </c>
      <c r="N19" s="4"/>
      <c r="O19" s="4"/>
      <c r="P19" s="4"/>
      <c r="Q19" s="4">
        <v>2080</v>
      </c>
      <c r="R19" s="4"/>
      <c r="S19" s="4"/>
      <c r="T19" s="4"/>
      <c r="U19" s="4"/>
      <c r="V19" s="4"/>
      <c r="W19" s="4"/>
      <c r="X19" s="4"/>
      <c r="Y19" s="4"/>
      <c r="Z19" s="4"/>
      <c r="AA19" s="19">
        <v>2080</v>
      </c>
      <c r="AB19" s="19">
        <v>2080</v>
      </c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</row>
    <row r="20" s="3" customFormat="1" spans="1:39">
      <c r="A20" s="3">
        <v>18</v>
      </c>
      <c r="D20" s="3" t="s">
        <v>32</v>
      </c>
      <c r="E20" s="13" t="s">
        <v>35</v>
      </c>
      <c r="F20" s="1">
        <f t="shared" si="2"/>
        <v>5000</v>
      </c>
      <c r="G20" s="1">
        <f t="shared" si="3"/>
        <v>5200</v>
      </c>
      <c r="H20" s="14">
        <v>0</v>
      </c>
      <c r="I20" s="4">
        <v>3120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>
        <v>1040</v>
      </c>
      <c r="Y20" s="4"/>
      <c r="Z20" s="4">
        <v>1040</v>
      </c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</row>
    <row r="21" s="3" customFormat="1" spans="1:39">
      <c r="A21" s="3">
        <v>19</v>
      </c>
      <c r="D21" s="3" t="s">
        <v>32</v>
      </c>
      <c r="E21" s="13" t="s">
        <v>36</v>
      </c>
      <c r="F21" s="1">
        <f t="shared" si="2"/>
        <v>20000</v>
      </c>
      <c r="G21" s="1">
        <f t="shared" si="3"/>
        <v>15600</v>
      </c>
      <c r="H21" s="14">
        <v>5000</v>
      </c>
      <c r="I21" s="4"/>
      <c r="J21" s="4"/>
      <c r="K21" s="4"/>
      <c r="L21" s="4">
        <v>5200</v>
      </c>
      <c r="M21" s="4"/>
      <c r="N21" s="4"/>
      <c r="O21" s="4"/>
      <c r="P21" s="4"/>
      <c r="Q21" s="4"/>
      <c r="R21" s="4"/>
      <c r="S21" s="4">
        <v>5200</v>
      </c>
      <c r="T21" s="4"/>
      <c r="U21" s="4"/>
      <c r="V21" s="4"/>
      <c r="W21" s="4"/>
      <c r="X21" s="4">
        <v>5200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</row>
    <row r="22" s="3" customFormat="1" spans="1:39">
      <c r="A22" s="3">
        <v>20</v>
      </c>
      <c r="D22" s="3" t="s">
        <v>32</v>
      </c>
      <c r="E22" s="13" t="s">
        <v>37</v>
      </c>
      <c r="F22" s="1">
        <f t="shared" si="2"/>
        <v>8000</v>
      </c>
      <c r="G22" s="1">
        <f t="shared" si="3"/>
        <v>8320</v>
      </c>
      <c r="H22" s="14">
        <v>0</v>
      </c>
      <c r="I22" s="4">
        <v>1040</v>
      </c>
      <c r="J22" s="4"/>
      <c r="K22" s="4"/>
      <c r="L22" s="4">
        <v>1040</v>
      </c>
      <c r="M22" s="4"/>
      <c r="N22" s="4"/>
      <c r="O22" s="4"/>
      <c r="P22" s="4">
        <v>1040</v>
      </c>
      <c r="Q22" s="4"/>
      <c r="R22" s="4"/>
      <c r="S22" s="4"/>
      <c r="T22" s="4">
        <v>1040</v>
      </c>
      <c r="U22" s="4"/>
      <c r="V22" s="4"/>
      <c r="W22" s="4"/>
      <c r="X22" s="4">
        <v>1040</v>
      </c>
      <c r="Y22" s="4">
        <v>1040</v>
      </c>
      <c r="Z22" s="4"/>
      <c r="AA22" s="4">
        <v>1040</v>
      </c>
      <c r="AB22" s="4"/>
      <c r="AC22" s="4">
        <v>1040</v>
      </c>
      <c r="AD22" s="4"/>
      <c r="AE22" s="4"/>
      <c r="AF22" s="4"/>
      <c r="AG22" s="4"/>
      <c r="AH22" s="4"/>
      <c r="AI22" s="4"/>
      <c r="AJ22" s="4"/>
      <c r="AK22" s="4"/>
      <c r="AL22" s="4"/>
      <c r="AM22" s="4"/>
    </row>
    <row r="23" s="3" customFormat="1" spans="1:39">
      <c r="A23" s="3">
        <v>21</v>
      </c>
      <c r="D23" s="3" t="s">
        <v>32</v>
      </c>
      <c r="E23" s="13" t="s">
        <v>38</v>
      </c>
      <c r="F23" s="1">
        <f t="shared" si="2"/>
        <v>12000</v>
      </c>
      <c r="G23" s="1">
        <f t="shared" si="3"/>
        <v>12480</v>
      </c>
      <c r="H23" s="14">
        <v>0</v>
      </c>
      <c r="I23" s="4"/>
      <c r="J23" s="4"/>
      <c r="K23" s="4"/>
      <c r="L23" s="4"/>
      <c r="M23" s="4"/>
      <c r="N23" s="4"/>
      <c r="O23" s="4"/>
      <c r="P23" s="4">
        <v>3120</v>
      </c>
      <c r="Q23" s="4"/>
      <c r="R23" s="4"/>
      <c r="S23" s="4">
        <v>3120</v>
      </c>
      <c r="T23" s="4"/>
      <c r="U23" s="4"/>
      <c r="V23" s="4"/>
      <c r="W23" s="4">
        <v>3120</v>
      </c>
      <c r="X23" s="4"/>
      <c r="Y23" s="4">
        <v>3120</v>
      </c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</row>
    <row r="24" s="3" customFormat="1" spans="1:39">
      <c r="A24" s="3">
        <v>22</v>
      </c>
      <c r="D24" s="3" t="s">
        <v>32</v>
      </c>
      <c r="E24" s="13" t="s">
        <v>39</v>
      </c>
      <c r="F24" s="1">
        <f t="shared" si="2"/>
        <v>25000</v>
      </c>
      <c r="G24" s="1">
        <f t="shared" si="3"/>
        <v>20800</v>
      </c>
      <c r="H24" s="14">
        <v>5000</v>
      </c>
      <c r="I24" s="4"/>
      <c r="J24" s="4"/>
      <c r="K24" s="4"/>
      <c r="L24" s="4">
        <v>5200</v>
      </c>
      <c r="M24" s="4"/>
      <c r="N24" s="4"/>
      <c r="O24" s="4"/>
      <c r="P24" s="4">
        <v>5200</v>
      </c>
      <c r="Q24" s="4"/>
      <c r="R24" s="4"/>
      <c r="S24" s="4"/>
      <c r="T24" s="4"/>
      <c r="U24" s="4">
        <v>5200</v>
      </c>
      <c r="V24" s="4"/>
      <c r="W24" s="4"/>
      <c r="X24" s="4"/>
      <c r="Y24" s="4"/>
      <c r="Z24" s="4"/>
      <c r="AA24" s="4">
        <v>5200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</row>
    <row r="25" s="3" customFormat="1" spans="1:39">
      <c r="A25" s="3">
        <v>23</v>
      </c>
      <c r="D25" s="3" t="s">
        <v>32</v>
      </c>
      <c r="E25" s="13" t="s">
        <v>40</v>
      </c>
      <c r="F25" s="1">
        <f t="shared" si="2"/>
        <v>21000</v>
      </c>
      <c r="G25" s="1">
        <f t="shared" si="3"/>
        <v>18720</v>
      </c>
      <c r="H25" s="14">
        <v>3000</v>
      </c>
      <c r="I25" s="4"/>
      <c r="J25" s="4"/>
      <c r="K25" s="4">
        <v>3120</v>
      </c>
      <c r="L25" s="4"/>
      <c r="M25" s="4"/>
      <c r="N25" s="4"/>
      <c r="O25" s="4">
        <v>3120</v>
      </c>
      <c r="P25" s="4"/>
      <c r="Q25" s="4">
        <v>3120</v>
      </c>
      <c r="R25" s="4"/>
      <c r="S25" s="4"/>
      <c r="T25" s="4">
        <v>3120</v>
      </c>
      <c r="U25" s="4"/>
      <c r="V25" s="4">
        <v>3120</v>
      </c>
      <c r="W25" s="4"/>
      <c r="X25" s="4"/>
      <c r="Y25" s="4"/>
      <c r="Z25" s="4">
        <v>3120</v>
      </c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</row>
    <row r="26" s="3" customFormat="1" spans="1:39">
      <c r="A26" s="3">
        <v>24</v>
      </c>
      <c r="D26" s="3" t="s">
        <v>32</v>
      </c>
      <c r="E26" s="13" t="s">
        <v>41</v>
      </c>
      <c r="F26" s="1">
        <f t="shared" si="2"/>
        <v>10500</v>
      </c>
      <c r="G26" s="1">
        <f t="shared" si="3"/>
        <v>10400</v>
      </c>
      <c r="H26" s="14">
        <v>500</v>
      </c>
      <c r="I26" s="4">
        <v>2080</v>
      </c>
      <c r="J26" s="4"/>
      <c r="K26" s="4"/>
      <c r="L26" s="4"/>
      <c r="M26" s="4"/>
      <c r="N26" s="4"/>
      <c r="O26" s="4">
        <v>2080</v>
      </c>
      <c r="P26" s="4"/>
      <c r="Q26" s="4"/>
      <c r="R26" s="4"/>
      <c r="S26" s="4"/>
      <c r="T26" s="4">
        <v>2080</v>
      </c>
      <c r="U26" s="4"/>
      <c r="V26" s="4"/>
      <c r="W26" s="4"/>
      <c r="X26" s="4">
        <v>2080</v>
      </c>
      <c r="Y26" s="4"/>
      <c r="Z26" s="4"/>
      <c r="AA26" s="4"/>
      <c r="AB26" s="4">
        <v>2080</v>
      </c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</row>
    <row r="27" s="3" customFormat="1" spans="1:39">
      <c r="A27" s="3">
        <v>25</v>
      </c>
      <c r="D27" s="3" t="s">
        <v>32</v>
      </c>
      <c r="E27" s="13" t="s">
        <v>42</v>
      </c>
      <c r="F27" s="1">
        <f t="shared" si="2"/>
        <v>4000</v>
      </c>
      <c r="G27" s="1">
        <f t="shared" si="3"/>
        <v>4160</v>
      </c>
      <c r="H27" s="14">
        <v>0</v>
      </c>
      <c r="I27" s="4">
        <v>2080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>
        <v>2080</v>
      </c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</row>
    <row r="28" s="3" customFormat="1" spans="1:39">
      <c r="A28" s="3">
        <v>26</v>
      </c>
      <c r="D28" s="3" t="s">
        <v>32</v>
      </c>
      <c r="E28" s="13" t="s">
        <v>43</v>
      </c>
      <c r="F28" s="1">
        <f t="shared" si="2"/>
        <v>6000</v>
      </c>
      <c r="G28" s="1">
        <f t="shared" si="3"/>
        <v>6240</v>
      </c>
      <c r="H28" s="14">
        <v>0</v>
      </c>
      <c r="I28" s="4"/>
      <c r="J28" s="4">
        <v>2080</v>
      </c>
      <c r="K28" s="4"/>
      <c r="L28" s="4"/>
      <c r="M28" s="4"/>
      <c r="N28" s="4"/>
      <c r="O28" s="4">
        <v>2080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>
        <v>2080</v>
      </c>
      <c r="AD28" s="4"/>
      <c r="AE28" s="4"/>
      <c r="AF28" s="4"/>
      <c r="AG28" s="4"/>
      <c r="AH28" s="4"/>
      <c r="AI28" s="4"/>
      <c r="AJ28" s="4"/>
      <c r="AK28" s="4"/>
      <c r="AL28" s="4"/>
      <c r="AM28" s="4"/>
    </row>
    <row r="29" s="3" customFormat="1" spans="1:39">
      <c r="A29" s="3">
        <v>27</v>
      </c>
      <c r="D29" s="3" t="s">
        <v>32</v>
      </c>
      <c r="E29" s="13" t="s">
        <v>44</v>
      </c>
      <c r="F29" s="1">
        <f t="shared" si="2"/>
        <v>15000</v>
      </c>
      <c r="G29" s="1">
        <f t="shared" si="3"/>
        <v>15600</v>
      </c>
      <c r="H29" s="14">
        <v>0</v>
      </c>
      <c r="I29" s="4"/>
      <c r="J29" s="4"/>
      <c r="K29" s="4"/>
      <c r="L29" s="4"/>
      <c r="M29" s="4"/>
      <c r="N29" s="4">
        <v>5200</v>
      </c>
      <c r="O29" s="4"/>
      <c r="P29" s="4"/>
      <c r="Q29" s="4"/>
      <c r="R29" s="4"/>
      <c r="S29" s="4"/>
      <c r="T29" s="4">
        <v>5200</v>
      </c>
      <c r="U29" s="4"/>
      <c r="V29" s="4"/>
      <c r="W29" s="4"/>
      <c r="X29" s="4"/>
      <c r="Y29" s="4"/>
      <c r="Z29" s="4"/>
      <c r="AA29" s="4">
        <v>5200</v>
      </c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</row>
    <row r="30" s="3" customFormat="1" spans="1:39">
      <c r="A30" s="3">
        <v>28</v>
      </c>
      <c r="D30" s="3" t="s">
        <v>32</v>
      </c>
      <c r="E30" s="13" t="s">
        <v>45</v>
      </c>
      <c r="F30" s="1">
        <f t="shared" si="2"/>
        <v>40000</v>
      </c>
      <c r="G30" s="1">
        <f t="shared" si="3"/>
        <v>36400</v>
      </c>
      <c r="H30" s="14">
        <v>5000</v>
      </c>
      <c r="I30" s="4">
        <v>5200</v>
      </c>
      <c r="J30" s="4"/>
      <c r="K30" s="4">
        <v>5200</v>
      </c>
      <c r="L30" s="4"/>
      <c r="M30" s="4"/>
      <c r="N30" s="4">
        <v>5200</v>
      </c>
      <c r="O30" s="4"/>
      <c r="P30" s="4"/>
      <c r="Q30" s="4">
        <v>5200</v>
      </c>
      <c r="R30" s="4"/>
      <c r="S30" s="4"/>
      <c r="T30" s="4">
        <v>5200</v>
      </c>
      <c r="U30" s="4"/>
      <c r="V30" s="4">
        <v>5200</v>
      </c>
      <c r="W30" s="4"/>
      <c r="X30" s="4"/>
      <c r="Y30" s="4">
        <v>5200</v>
      </c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</row>
    <row r="31" s="3" customFormat="1" spans="1:39">
      <c r="A31" s="3">
        <v>29</v>
      </c>
      <c r="D31" s="3" t="s">
        <v>32</v>
      </c>
      <c r="E31" s="13" t="s">
        <v>46</v>
      </c>
      <c r="F31" s="1">
        <f t="shared" si="2"/>
        <v>8000</v>
      </c>
      <c r="G31" s="1">
        <f t="shared" si="3"/>
        <v>8320</v>
      </c>
      <c r="H31" s="14">
        <v>0</v>
      </c>
      <c r="I31" s="4"/>
      <c r="J31" s="4"/>
      <c r="K31" s="4"/>
      <c r="L31" s="4"/>
      <c r="M31" s="4">
        <v>2080</v>
      </c>
      <c r="N31" s="4"/>
      <c r="O31" s="4"/>
      <c r="P31" s="4"/>
      <c r="Q31" s="4"/>
      <c r="R31" s="4">
        <v>2080</v>
      </c>
      <c r="S31" s="4"/>
      <c r="T31" s="4"/>
      <c r="U31" s="4">
        <v>2080</v>
      </c>
      <c r="V31" s="4"/>
      <c r="W31" s="4"/>
      <c r="X31" s="4"/>
      <c r="Y31" s="4"/>
      <c r="Z31" s="4"/>
      <c r="AA31" s="4"/>
      <c r="AB31" s="4">
        <v>2080</v>
      </c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</row>
    <row r="32" s="3" customFormat="1" spans="1:39">
      <c r="A32" s="3">
        <v>30</v>
      </c>
      <c r="D32" s="3" t="s">
        <v>47</v>
      </c>
      <c r="E32" s="13" t="s">
        <v>48</v>
      </c>
      <c r="F32" s="1">
        <f t="shared" si="2"/>
        <v>7000</v>
      </c>
      <c r="G32" s="1">
        <f t="shared" si="3"/>
        <v>6240</v>
      </c>
      <c r="H32" s="14">
        <v>1000</v>
      </c>
      <c r="I32" s="4"/>
      <c r="J32" s="4"/>
      <c r="K32" s="4"/>
      <c r="L32" s="4"/>
      <c r="M32" s="4"/>
      <c r="O32" s="4">
        <v>3120</v>
      </c>
      <c r="P32" s="4"/>
      <c r="Q32" s="4"/>
      <c r="R32" s="4"/>
      <c r="S32" s="4"/>
      <c r="T32" s="4">
        <v>3120</v>
      </c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</row>
    <row r="33" s="3" customFormat="1" spans="1:39">
      <c r="A33" s="3">
        <v>31</v>
      </c>
      <c r="D33" s="3" t="s">
        <v>47</v>
      </c>
      <c r="E33" s="13" t="s">
        <v>49</v>
      </c>
      <c r="F33" s="1">
        <f t="shared" si="2"/>
        <v>4000</v>
      </c>
      <c r="G33" s="1">
        <f t="shared" si="3"/>
        <v>4160</v>
      </c>
      <c r="H33" s="14">
        <v>0</v>
      </c>
      <c r="I33" s="4"/>
      <c r="J33" s="4"/>
      <c r="K33" s="4">
        <v>1040</v>
      </c>
      <c r="L33" s="4"/>
      <c r="M33" s="4"/>
      <c r="N33" s="4">
        <v>1040</v>
      </c>
      <c r="O33" s="4"/>
      <c r="P33" s="4"/>
      <c r="Q33" s="4"/>
      <c r="R33" s="4"/>
      <c r="S33" s="4"/>
      <c r="T33" s="4"/>
      <c r="U33" s="4"/>
      <c r="V33" s="4">
        <v>1040</v>
      </c>
      <c r="W33" s="4">
        <v>1040</v>
      </c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</row>
    <row r="34" s="3" customFormat="1" spans="1:39">
      <c r="A34" s="3">
        <v>32</v>
      </c>
      <c r="D34" s="3" t="s">
        <v>47</v>
      </c>
      <c r="E34" s="13" t="s">
        <v>50</v>
      </c>
      <c r="F34" s="1">
        <f t="shared" si="2"/>
        <v>7000</v>
      </c>
      <c r="G34" s="1">
        <f t="shared" si="3"/>
        <v>6240</v>
      </c>
      <c r="H34" s="14">
        <v>1000</v>
      </c>
      <c r="I34" s="4"/>
      <c r="J34" s="4">
        <v>2080</v>
      </c>
      <c r="K34" s="4"/>
      <c r="L34" s="4"/>
      <c r="M34" s="4"/>
      <c r="N34" s="4"/>
      <c r="O34" s="4"/>
      <c r="P34" s="4"/>
      <c r="Q34" s="4"/>
      <c r="R34" s="4"/>
      <c r="S34" s="4"/>
      <c r="T34" s="4">
        <v>2080</v>
      </c>
      <c r="U34" s="4"/>
      <c r="V34" s="4"/>
      <c r="W34" s="4"/>
      <c r="X34" s="4"/>
      <c r="Y34" s="4">
        <v>2080</v>
      </c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</row>
    <row r="35" s="3" customFormat="1" spans="1:39">
      <c r="A35" s="3">
        <v>33</v>
      </c>
      <c r="D35" s="3" t="s">
        <v>47</v>
      </c>
      <c r="E35" s="13" t="s">
        <v>51</v>
      </c>
      <c r="F35" s="1">
        <f t="shared" ref="F35:F66" si="4">G35/1.04+H35</f>
        <v>21000</v>
      </c>
      <c r="G35" s="1">
        <f t="shared" si="3"/>
        <v>21840</v>
      </c>
      <c r="H35" s="14">
        <v>0</v>
      </c>
      <c r="I35" s="4"/>
      <c r="J35" s="4"/>
      <c r="K35" s="4"/>
      <c r="L35" s="4">
        <v>3120</v>
      </c>
      <c r="M35" s="4"/>
      <c r="N35" s="4">
        <v>3120</v>
      </c>
      <c r="O35" s="4"/>
      <c r="P35" s="4">
        <v>3120</v>
      </c>
      <c r="Q35" s="4"/>
      <c r="R35" s="4"/>
      <c r="S35" s="4">
        <v>3120</v>
      </c>
      <c r="T35" s="4"/>
      <c r="U35" s="4">
        <v>3120</v>
      </c>
      <c r="V35" s="4"/>
      <c r="W35" s="4">
        <v>3120</v>
      </c>
      <c r="X35" s="4"/>
      <c r="Y35" s="4"/>
      <c r="Z35" s="4"/>
      <c r="AA35" s="4"/>
      <c r="AB35" s="4">
        <v>3120</v>
      </c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</row>
    <row r="36" s="3" customFormat="1" spans="1:39">
      <c r="A36" s="3">
        <v>34</v>
      </c>
      <c r="D36" s="3" t="s">
        <v>47</v>
      </c>
      <c r="E36" s="13" t="s">
        <v>52</v>
      </c>
      <c r="F36" s="1">
        <f t="shared" si="4"/>
        <v>2000</v>
      </c>
      <c r="G36" s="1">
        <f t="shared" ref="G36:G73" si="5">SUM(I36:AM36)</f>
        <v>2080</v>
      </c>
      <c r="H36" s="14">
        <v>0</v>
      </c>
      <c r="I36" s="4"/>
      <c r="J36" s="4"/>
      <c r="K36" s="4"/>
      <c r="L36" s="4"/>
      <c r="M36" s="4"/>
      <c r="N36" s="4"/>
      <c r="O36" s="4"/>
      <c r="P36" s="4"/>
      <c r="Q36" s="4">
        <v>1040</v>
      </c>
      <c r="R36" s="4"/>
      <c r="S36" s="4"/>
      <c r="T36" s="4">
        <v>1040</v>
      </c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</row>
    <row r="37" s="3" customFormat="1" spans="1:39">
      <c r="A37" s="3">
        <v>35</v>
      </c>
      <c r="D37" s="3" t="s">
        <v>47</v>
      </c>
      <c r="E37" s="13" t="s">
        <v>53</v>
      </c>
      <c r="F37" s="1">
        <f t="shared" si="4"/>
        <v>18000</v>
      </c>
      <c r="G37" s="1">
        <f t="shared" si="5"/>
        <v>15600</v>
      </c>
      <c r="H37" s="14">
        <v>3000</v>
      </c>
      <c r="I37" s="4"/>
      <c r="J37" s="4"/>
      <c r="K37" s="4"/>
      <c r="L37" s="4"/>
      <c r="M37" s="19">
        <v>3120</v>
      </c>
      <c r="N37" s="4"/>
      <c r="O37" s="4">
        <v>3120</v>
      </c>
      <c r="P37" s="4"/>
      <c r="Q37" s="4"/>
      <c r="R37" s="4"/>
      <c r="S37" s="4"/>
      <c r="T37" s="4"/>
      <c r="U37" s="4">
        <v>3120</v>
      </c>
      <c r="V37" s="4"/>
      <c r="W37" s="4"/>
      <c r="X37" s="4"/>
      <c r="Y37" s="4"/>
      <c r="Z37" s="4">
        <v>3120</v>
      </c>
      <c r="AA37" s="4"/>
      <c r="AB37" s="4"/>
      <c r="AC37" s="4">
        <v>3120</v>
      </c>
      <c r="AD37" s="4"/>
      <c r="AE37" s="4"/>
      <c r="AF37" s="4"/>
      <c r="AG37" s="4"/>
      <c r="AH37" s="4"/>
      <c r="AI37" s="4"/>
      <c r="AJ37" s="4"/>
      <c r="AK37" s="4"/>
      <c r="AL37" s="4"/>
      <c r="AM37" s="4"/>
    </row>
    <row r="38" s="3" customFormat="1" spans="1:39">
      <c r="A38" s="3">
        <v>36</v>
      </c>
      <c r="C38" s="3">
        <v>684087396</v>
      </c>
      <c r="D38" s="3" t="s">
        <v>47</v>
      </c>
      <c r="E38" s="13" t="s">
        <v>54</v>
      </c>
      <c r="F38" s="1">
        <f t="shared" si="4"/>
        <v>2000</v>
      </c>
      <c r="G38" s="1">
        <f t="shared" si="5"/>
        <v>2080</v>
      </c>
      <c r="H38" s="14">
        <v>0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19">
        <v>2080</v>
      </c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</row>
    <row r="39" s="3" customFormat="1" spans="1:39">
      <c r="A39" s="3">
        <v>37</v>
      </c>
      <c r="D39" s="3" t="s">
        <v>47</v>
      </c>
      <c r="E39" s="13" t="s">
        <v>55</v>
      </c>
      <c r="F39" s="1">
        <f t="shared" si="4"/>
        <v>14000</v>
      </c>
      <c r="G39" s="1">
        <f t="shared" si="5"/>
        <v>14560</v>
      </c>
      <c r="H39" s="14">
        <v>0</v>
      </c>
      <c r="I39" s="4"/>
      <c r="J39" s="4">
        <v>2080</v>
      </c>
      <c r="K39" s="4"/>
      <c r="L39" s="4"/>
      <c r="M39" s="4"/>
      <c r="N39" s="4">
        <v>2080</v>
      </c>
      <c r="O39" s="4"/>
      <c r="P39" s="4">
        <v>2080</v>
      </c>
      <c r="Q39" s="4"/>
      <c r="R39" s="4"/>
      <c r="S39" s="4"/>
      <c r="T39" s="4"/>
      <c r="U39" s="4"/>
      <c r="V39" s="4">
        <v>2080</v>
      </c>
      <c r="W39" s="4"/>
      <c r="X39" s="4">
        <v>2080</v>
      </c>
      <c r="Y39" s="4">
        <v>2080</v>
      </c>
      <c r="Z39" s="4"/>
      <c r="AA39" s="4"/>
      <c r="AB39" s="4">
        <v>2080</v>
      </c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</row>
    <row r="40" s="3" customFormat="1" spans="1:39">
      <c r="A40" s="3">
        <v>38</v>
      </c>
      <c r="D40" s="3" t="s">
        <v>47</v>
      </c>
      <c r="E40" s="13" t="s">
        <v>56</v>
      </c>
      <c r="F40" s="1">
        <f t="shared" si="4"/>
        <v>6000</v>
      </c>
      <c r="G40" s="1">
        <f>SUM(J40:AM40)</f>
        <v>6240</v>
      </c>
      <c r="H40" s="14">
        <v>0</v>
      </c>
      <c r="J40" s="4">
        <v>2080</v>
      </c>
      <c r="K40" s="4"/>
      <c r="L40" s="4"/>
      <c r="M40" s="4"/>
      <c r="N40" s="4"/>
      <c r="O40" s="4"/>
      <c r="P40" s="4"/>
      <c r="Q40" s="4"/>
      <c r="R40" s="4"/>
      <c r="S40" s="4">
        <v>2080</v>
      </c>
      <c r="T40" s="4"/>
      <c r="U40" s="4"/>
      <c r="V40" s="4"/>
      <c r="W40" s="4"/>
      <c r="X40" s="4"/>
      <c r="Y40" s="4">
        <v>2080</v>
      </c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</row>
    <row r="41" s="3" customFormat="1" spans="1:39">
      <c r="A41" s="3">
        <v>39</v>
      </c>
      <c r="D41" s="3" t="s">
        <v>47</v>
      </c>
      <c r="E41" s="13" t="s">
        <v>57</v>
      </c>
      <c r="F41" s="1">
        <f t="shared" si="4"/>
        <v>27000</v>
      </c>
      <c r="G41" s="1">
        <f t="shared" si="5"/>
        <v>24960</v>
      </c>
      <c r="H41" s="14">
        <v>3000</v>
      </c>
      <c r="I41" s="4">
        <v>3120</v>
      </c>
      <c r="J41" s="4">
        <v>3120</v>
      </c>
      <c r="K41" s="4"/>
      <c r="L41" s="4"/>
      <c r="M41" s="4"/>
      <c r="N41" s="4">
        <v>3120</v>
      </c>
      <c r="O41" s="4"/>
      <c r="P41" s="4">
        <v>3120</v>
      </c>
      <c r="Q41" s="4"/>
      <c r="R41" s="4"/>
      <c r="S41" s="4">
        <v>3120</v>
      </c>
      <c r="T41" s="4"/>
      <c r="U41" s="4">
        <v>3120</v>
      </c>
      <c r="V41" s="4"/>
      <c r="W41" s="4"/>
      <c r="X41" s="4">
        <v>3120</v>
      </c>
      <c r="Y41" s="4"/>
      <c r="Z41" s="4"/>
      <c r="AA41" s="4">
        <v>3120</v>
      </c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</row>
    <row r="42" s="3" customFormat="1" spans="1:39">
      <c r="A42" s="3">
        <v>40</v>
      </c>
      <c r="D42" s="3" t="s">
        <v>47</v>
      </c>
      <c r="E42" s="13" t="s">
        <v>58</v>
      </c>
      <c r="F42" s="1">
        <f t="shared" si="4"/>
        <v>4000</v>
      </c>
      <c r="G42" s="1">
        <f t="shared" si="5"/>
        <v>4160</v>
      </c>
      <c r="H42" s="14">
        <v>0</v>
      </c>
      <c r="I42" s="4">
        <v>2080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>
        <v>2080</v>
      </c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</row>
    <row r="43" s="3" customFormat="1" spans="1:39">
      <c r="A43" s="3">
        <v>41</v>
      </c>
      <c r="D43" s="3" t="s">
        <v>47</v>
      </c>
      <c r="E43" s="13" t="s">
        <v>59</v>
      </c>
      <c r="F43" s="1">
        <f t="shared" si="4"/>
        <v>0</v>
      </c>
      <c r="G43" s="1">
        <f t="shared" si="5"/>
        <v>0</v>
      </c>
      <c r="H43" s="14">
        <v>0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</row>
    <row r="44" s="3" customFormat="1" spans="1:39">
      <c r="A44" s="3">
        <v>42</v>
      </c>
      <c r="D44" s="3" t="s">
        <v>47</v>
      </c>
      <c r="E44" s="13" t="s">
        <v>60</v>
      </c>
      <c r="F44" s="1">
        <f t="shared" si="4"/>
        <v>21000</v>
      </c>
      <c r="G44" s="1">
        <f t="shared" si="5"/>
        <v>18720</v>
      </c>
      <c r="H44" s="14">
        <v>3000</v>
      </c>
      <c r="I44" s="4"/>
      <c r="J44" s="4"/>
      <c r="K44" s="4">
        <v>3120</v>
      </c>
      <c r="L44" s="4"/>
      <c r="M44" s="4"/>
      <c r="N44" s="4">
        <v>3120</v>
      </c>
      <c r="O44" s="4"/>
      <c r="P44" s="4"/>
      <c r="Q44" s="4"/>
      <c r="R44" s="4">
        <v>3120</v>
      </c>
      <c r="S44" s="4"/>
      <c r="T44" s="4"/>
      <c r="U44" s="4">
        <v>3120</v>
      </c>
      <c r="V44" s="4"/>
      <c r="W44" s="4"/>
      <c r="X44" s="4"/>
      <c r="Y44" s="4">
        <v>3120</v>
      </c>
      <c r="Z44" s="4"/>
      <c r="AA44" s="4"/>
      <c r="AB44" s="4"/>
      <c r="AC44" s="4">
        <v>3120</v>
      </c>
      <c r="AD44" s="4"/>
      <c r="AE44" s="4"/>
      <c r="AF44" s="4"/>
      <c r="AG44" s="4"/>
      <c r="AH44" s="4"/>
      <c r="AI44" s="4"/>
      <c r="AJ44" s="4"/>
      <c r="AK44" s="4"/>
      <c r="AL44" s="4"/>
      <c r="AM44" s="4"/>
    </row>
    <row r="45" s="3" customFormat="1" spans="1:39">
      <c r="A45" s="3">
        <v>43</v>
      </c>
      <c r="D45" s="3" t="s">
        <v>61</v>
      </c>
      <c r="E45" s="13" t="s">
        <v>62</v>
      </c>
      <c r="F45" s="1">
        <f t="shared" si="4"/>
        <v>18000</v>
      </c>
      <c r="G45" s="1">
        <f t="shared" si="5"/>
        <v>15600</v>
      </c>
      <c r="H45" s="14">
        <v>3000</v>
      </c>
      <c r="I45" s="4"/>
      <c r="J45" s="4">
        <v>3120</v>
      </c>
      <c r="K45" s="4"/>
      <c r="L45" s="4"/>
      <c r="M45" s="4">
        <v>3120</v>
      </c>
      <c r="N45" s="4"/>
      <c r="O45" s="4">
        <v>3120</v>
      </c>
      <c r="P45" s="4"/>
      <c r="Q45" s="4"/>
      <c r="R45" s="4"/>
      <c r="S45" s="4"/>
      <c r="T45" s="4"/>
      <c r="U45" s="4">
        <v>3120</v>
      </c>
      <c r="V45" s="4"/>
      <c r="W45" s="4"/>
      <c r="X45" s="4">
        <v>3120</v>
      </c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</row>
    <row r="46" s="3" customFormat="1" spans="1:39">
      <c r="A46" s="3">
        <v>44</v>
      </c>
      <c r="D46" s="3" t="s">
        <v>61</v>
      </c>
      <c r="E46" s="13" t="s">
        <v>63</v>
      </c>
      <c r="F46" s="1">
        <f t="shared" si="4"/>
        <v>12000</v>
      </c>
      <c r="G46" s="1">
        <f t="shared" si="5"/>
        <v>12480</v>
      </c>
      <c r="H46" s="14">
        <v>0</v>
      </c>
      <c r="I46" s="4"/>
      <c r="J46" s="4">
        <v>3120</v>
      </c>
      <c r="K46" s="4"/>
      <c r="L46" s="4"/>
      <c r="M46" s="4"/>
      <c r="N46" s="4">
        <v>3120</v>
      </c>
      <c r="O46" s="4"/>
      <c r="P46" s="4"/>
      <c r="Q46" s="4"/>
      <c r="R46" s="4"/>
      <c r="S46" s="4">
        <v>3120</v>
      </c>
      <c r="T46" s="4"/>
      <c r="U46" s="4"/>
      <c r="V46" s="4"/>
      <c r="W46" s="4"/>
      <c r="X46" s="4">
        <v>3120</v>
      </c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</row>
    <row r="47" s="3" customFormat="1" spans="1:39">
      <c r="A47" s="3">
        <v>45</v>
      </c>
      <c r="D47" s="3" t="s">
        <v>61</v>
      </c>
      <c r="E47" s="13" t="s">
        <v>64</v>
      </c>
      <c r="F47" s="1">
        <f t="shared" si="4"/>
        <v>4000</v>
      </c>
      <c r="G47" s="1">
        <f t="shared" si="5"/>
        <v>4160</v>
      </c>
      <c r="H47" s="14">
        <v>0</v>
      </c>
      <c r="I47" s="4"/>
      <c r="J47" s="4"/>
      <c r="K47" s="4"/>
      <c r="L47" s="4"/>
      <c r="M47" s="4"/>
      <c r="N47" s="4">
        <v>2080</v>
      </c>
      <c r="O47" s="4"/>
      <c r="P47" s="4"/>
      <c r="Q47" s="4"/>
      <c r="R47" s="4"/>
      <c r="S47" s="4"/>
      <c r="T47" s="4"/>
      <c r="U47" s="4"/>
      <c r="V47" s="4"/>
      <c r="W47" s="4"/>
      <c r="X47" s="4">
        <v>2080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</row>
    <row r="48" s="3" customFormat="1" spans="1:39">
      <c r="A48" s="3">
        <v>46</v>
      </c>
      <c r="D48" s="3" t="s">
        <v>61</v>
      </c>
      <c r="E48" s="13" t="s">
        <v>65</v>
      </c>
      <c r="F48" s="1">
        <f t="shared" si="4"/>
        <v>18000</v>
      </c>
      <c r="G48" s="1">
        <f t="shared" si="5"/>
        <v>15600</v>
      </c>
      <c r="H48" s="14">
        <v>3000</v>
      </c>
      <c r="I48" s="4">
        <v>3120</v>
      </c>
      <c r="J48" s="4"/>
      <c r="K48" s="4"/>
      <c r="L48" s="4"/>
      <c r="M48" s="4"/>
      <c r="N48" s="4">
        <v>3120</v>
      </c>
      <c r="O48" s="4"/>
      <c r="P48" s="4"/>
      <c r="Q48" s="4"/>
      <c r="R48" s="4"/>
      <c r="S48" s="4">
        <v>3120</v>
      </c>
      <c r="T48" s="4"/>
      <c r="U48" s="4">
        <v>3120</v>
      </c>
      <c r="V48" s="4"/>
      <c r="W48" s="4"/>
      <c r="X48" s="4"/>
      <c r="Y48" s="4"/>
      <c r="Z48" s="4"/>
      <c r="AA48" s="4"/>
      <c r="AB48" s="4"/>
      <c r="AC48" s="4">
        <v>3120</v>
      </c>
      <c r="AD48" s="4"/>
      <c r="AE48" s="4"/>
      <c r="AF48" s="4"/>
      <c r="AG48" s="4"/>
      <c r="AH48" s="4"/>
      <c r="AI48" s="4"/>
      <c r="AJ48" s="4"/>
      <c r="AK48" s="4"/>
      <c r="AL48" s="4"/>
      <c r="AM48" s="4"/>
    </row>
    <row r="49" s="3" customFormat="1" spans="1:39">
      <c r="A49" s="3">
        <v>47</v>
      </c>
      <c r="D49" s="3" t="s">
        <v>61</v>
      </c>
      <c r="E49" s="13" t="s">
        <v>66</v>
      </c>
      <c r="F49" s="1">
        <f t="shared" si="4"/>
        <v>21000</v>
      </c>
      <c r="G49" s="1">
        <f t="shared" si="5"/>
        <v>18720</v>
      </c>
      <c r="H49" s="14">
        <v>3000</v>
      </c>
      <c r="I49" s="4"/>
      <c r="J49" s="4"/>
      <c r="K49" s="4"/>
      <c r="L49" s="4">
        <v>3120</v>
      </c>
      <c r="M49" s="4"/>
      <c r="N49" s="4"/>
      <c r="O49" s="4"/>
      <c r="P49" s="4"/>
      <c r="Q49" s="4">
        <v>3120</v>
      </c>
      <c r="R49" s="4"/>
      <c r="S49" s="4"/>
      <c r="T49" s="4">
        <v>3120</v>
      </c>
      <c r="U49" s="4"/>
      <c r="V49" s="4">
        <v>3120</v>
      </c>
      <c r="W49" s="4"/>
      <c r="X49" s="4"/>
      <c r="Y49" s="4"/>
      <c r="Z49" s="4">
        <v>3120</v>
      </c>
      <c r="AA49" s="4"/>
      <c r="AB49" s="4">
        <v>3120</v>
      </c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</row>
    <row r="50" s="3" customFormat="1" spans="1:39">
      <c r="A50" s="3">
        <v>48</v>
      </c>
      <c r="D50" s="3" t="s">
        <v>61</v>
      </c>
      <c r="E50" s="13" t="s">
        <v>67</v>
      </c>
      <c r="F50" s="1">
        <f t="shared" si="4"/>
        <v>6000</v>
      </c>
      <c r="G50" s="1">
        <f t="shared" si="5"/>
        <v>4160</v>
      </c>
      <c r="H50" s="14">
        <v>2000</v>
      </c>
      <c r="I50" s="4"/>
      <c r="J50" s="4"/>
      <c r="K50" s="4"/>
      <c r="L50" s="4"/>
      <c r="M50" s="4"/>
      <c r="N50" s="4"/>
      <c r="O50" s="4"/>
      <c r="P50" s="4">
        <v>2080</v>
      </c>
      <c r="Q50" s="4"/>
      <c r="R50" s="4"/>
      <c r="S50" s="4"/>
      <c r="T50" s="4"/>
      <c r="U50" s="4"/>
      <c r="V50" s="4"/>
      <c r="W50" s="4"/>
      <c r="X50" s="4"/>
      <c r="Y50" s="4">
        <v>2080</v>
      </c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</row>
    <row r="51" s="3" customFormat="1" spans="1:39">
      <c r="A51" s="3">
        <v>49</v>
      </c>
      <c r="D51" s="3" t="s">
        <v>61</v>
      </c>
      <c r="E51" s="13" t="s">
        <v>68</v>
      </c>
      <c r="F51" s="1">
        <f t="shared" si="4"/>
        <v>2000</v>
      </c>
      <c r="G51" s="1">
        <f t="shared" si="5"/>
        <v>2080</v>
      </c>
      <c r="H51" s="14">
        <v>0</v>
      </c>
      <c r="I51" s="4"/>
      <c r="J51" s="4"/>
      <c r="K51" s="4"/>
      <c r="L51" s="4"/>
      <c r="M51" s="4"/>
      <c r="N51" s="4"/>
      <c r="O51" s="4"/>
      <c r="P51" s="4"/>
      <c r="Q51" s="4"/>
      <c r="R51" s="4">
        <v>2080</v>
      </c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</row>
    <row r="52" s="3" customFormat="1" spans="1:39">
      <c r="A52" s="3">
        <v>50</v>
      </c>
      <c r="D52" s="3" t="s">
        <v>61</v>
      </c>
      <c r="E52" s="13" t="s">
        <v>69</v>
      </c>
      <c r="F52" s="1">
        <f t="shared" si="4"/>
        <v>17000</v>
      </c>
      <c r="G52" s="1">
        <f t="shared" si="5"/>
        <v>14560</v>
      </c>
      <c r="H52" s="14">
        <v>3000</v>
      </c>
      <c r="I52" s="4">
        <v>3120</v>
      </c>
      <c r="J52" s="4"/>
      <c r="K52" s="4"/>
      <c r="L52" s="4"/>
      <c r="M52" s="4">
        <v>1040</v>
      </c>
      <c r="N52" s="4">
        <v>1040</v>
      </c>
      <c r="O52" s="4"/>
      <c r="P52" s="4">
        <v>1040</v>
      </c>
      <c r="Q52" s="4"/>
      <c r="R52" s="4">
        <v>1040</v>
      </c>
      <c r="S52" s="4">
        <v>1040</v>
      </c>
      <c r="T52" s="4"/>
      <c r="U52" s="4">
        <v>1040</v>
      </c>
      <c r="V52" s="4">
        <v>1040</v>
      </c>
      <c r="W52" s="4"/>
      <c r="X52" s="4">
        <v>1040</v>
      </c>
      <c r="Y52" s="4">
        <v>1040</v>
      </c>
      <c r="Z52" s="4"/>
      <c r="AA52" s="4">
        <v>1040</v>
      </c>
      <c r="AB52" s="4"/>
      <c r="AC52" s="4">
        <v>1040</v>
      </c>
      <c r="AD52" s="4"/>
      <c r="AE52" s="4"/>
      <c r="AF52" s="4"/>
      <c r="AG52" s="4"/>
      <c r="AH52" s="4"/>
      <c r="AI52" s="4"/>
      <c r="AJ52" s="4"/>
      <c r="AK52" s="4"/>
      <c r="AL52" s="4"/>
      <c r="AM52" s="4"/>
    </row>
    <row r="53" s="3" customFormat="1" spans="1:39">
      <c r="A53" s="3">
        <v>51</v>
      </c>
      <c r="B53" s="15"/>
      <c r="D53" s="3" t="s">
        <v>61</v>
      </c>
      <c r="E53" s="16" t="s">
        <v>70</v>
      </c>
      <c r="F53" s="1">
        <f t="shared" si="4"/>
        <v>12000</v>
      </c>
      <c r="G53" s="1">
        <f t="shared" si="5"/>
        <v>11440</v>
      </c>
      <c r="H53" s="14">
        <v>1000</v>
      </c>
      <c r="I53" s="4"/>
      <c r="J53" s="4"/>
      <c r="K53" s="4">
        <v>1040</v>
      </c>
      <c r="L53" s="4"/>
      <c r="M53" s="4">
        <v>1040</v>
      </c>
      <c r="N53" s="4"/>
      <c r="O53" s="4">
        <v>1040</v>
      </c>
      <c r="P53" s="4"/>
      <c r="Q53" s="4"/>
      <c r="R53" s="4">
        <v>1040</v>
      </c>
      <c r="S53" s="4"/>
      <c r="T53" s="4"/>
      <c r="U53" s="4">
        <v>1040</v>
      </c>
      <c r="V53" s="4">
        <v>1040</v>
      </c>
      <c r="W53" s="4"/>
      <c r="X53" s="4">
        <v>1040</v>
      </c>
      <c r="Y53" s="4"/>
      <c r="Z53" s="4">
        <v>1040</v>
      </c>
      <c r="AA53" s="4">
        <v>1040</v>
      </c>
      <c r="AB53" s="4">
        <v>1040</v>
      </c>
      <c r="AC53" s="4">
        <v>1040</v>
      </c>
      <c r="AD53" s="4"/>
      <c r="AE53" s="4"/>
      <c r="AF53" s="4"/>
      <c r="AG53" s="4"/>
      <c r="AH53" s="4"/>
      <c r="AI53" s="4"/>
      <c r="AJ53" s="4"/>
      <c r="AK53" s="4"/>
      <c r="AL53" s="4"/>
      <c r="AM53" s="4"/>
    </row>
    <row r="54" s="3" customFormat="1" spans="1:39">
      <c r="A54" s="3">
        <v>52</v>
      </c>
      <c r="D54" s="3" t="s">
        <v>71</v>
      </c>
      <c r="E54" s="13" t="s">
        <v>72</v>
      </c>
      <c r="F54" s="1">
        <f t="shared" si="4"/>
        <v>8000</v>
      </c>
      <c r="G54" s="1">
        <f t="shared" si="5"/>
        <v>6240</v>
      </c>
      <c r="H54" s="14">
        <v>2000</v>
      </c>
      <c r="I54" s="4"/>
      <c r="J54" s="4"/>
      <c r="K54" s="4"/>
      <c r="L54" s="4">
        <v>2080</v>
      </c>
      <c r="M54" s="4"/>
      <c r="N54" s="4"/>
      <c r="O54" s="4"/>
      <c r="P54" s="4"/>
      <c r="Q54" s="4"/>
      <c r="R54" s="4"/>
      <c r="S54" s="4">
        <v>2080</v>
      </c>
      <c r="T54" s="4"/>
      <c r="U54" s="4"/>
      <c r="V54" s="4"/>
      <c r="W54" s="4"/>
      <c r="X54" s="4"/>
      <c r="Y54" s="4">
        <v>2080</v>
      </c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</row>
    <row r="55" s="3" customFormat="1" spans="1:39">
      <c r="A55" s="3">
        <v>53</v>
      </c>
      <c r="D55" s="3" t="s">
        <v>71</v>
      </c>
      <c r="E55" s="13" t="s">
        <v>73</v>
      </c>
      <c r="F55" s="1">
        <f t="shared" si="4"/>
        <v>25000</v>
      </c>
      <c r="G55" s="1">
        <f t="shared" si="5"/>
        <v>26000</v>
      </c>
      <c r="H55" s="14">
        <v>0</v>
      </c>
      <c r="I55" s="4"/>
      <c r="J55" s="4">
        <v>5200</v>
      </c>
      <c r="K55" s="4"/>
      <c r="L55" s="4"/>
      <c r="M55" s="4">
        <v>5200</v>
      </c>
      <c r="N55" s="4"/>
      <c r="O55" s="4"/>
      <c r="P55" s="4"/>
      <c r="Q55" s="4"/>
      <c r="R55" s="4">
        <v>5200</v>
      </c>
      <c r="S55" s="4"/>
      <c r="T55" s="4"/>
      <c r="U55" s="4"/>
      <c r="V55" s="4">
        <v>5200</v>
      </c>
      <c r="W55" s="4"/>
      <c r="X55" s="4"/>
      <c r="Y55" s="4"/>
      <c r="Z55" s="4">
        <v>5200</v>
      </c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</row>
    <row r="56" s="3" customFormat="1" spans="1:39">
      <c r="A56" s="3">
        <v>54</v>
      </c>
      <c r="D56" s="3" t="s">
        <v>71</v>
      </c>
      <c r="E56" s="13" t="s">
        <v>74</v>
      </c>
      <c r="F56" s="1">
        <f t="shared" si="4"/>
        <v>6000</v>
      </c>
      <c r="G56" s="1">
        <f t="shared" si="5"/>
        <v>6240</v>
      </c>
      <c r="H56" s="14">
        <v>0</v>
      </c>
      <c r="I56" s="4"/>
      <c r="J56" s="4"/>
      <c r="K56" s="4"/>
      <c r="L56" s="4"/>
      <c r="M56" s="4"/>
      <c r="N56" s="4">
        <v>2080</v>
      </c>
      <c r="O56" s="4"/>
      <c r="P56" s="4"/>
      <c r="Q56" s="4"/>
      <c r="R56" s="4"/>
      <c r="S56" s="4"/>
      <c r="T56" s="4"/>
      <c r="U56" s="4"/>
      <c r="V56" s="4">
        <v>2080</v>
      </c>
      <c r="W56" s="4"/>
      <c r="X56" s="4"/>
      <c r="Y56" s="4"/>
      <c r="Z56" s="4"/>
      <c r="AA56" s="4"/>
      <c r="AB56" s="4">
        <v>2080</v>
      </c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</row>
    <row r="57" s="3" customFormat="1" spans="1:39">
      <c r="A57" s="3">
        <v>55</v>
      </c>
      <c r="B57" s="15"/>
      <c r="D57" s="3" t="s">
        <v>75</v>
      </c>
      <c r="E57" s="16" t="s">
        <v>76</v>
      </c>
      <c r="F57" s="1">
        <f t="shared" si="4"/>
        <v>35000</v>
      </c>
      <c r="G57" s="1">
        <f t="shared" si="5"/>
        <v>31200</v>
      </c>
      <c r="H57" s="14">
        <v>5000</v>
      </c>
      <c r="I57" s="4"/>
      <c r="J57" s="4">
        <v>5200</v>
      </c>
      <c r="K57" s="4"/>
      <c r="L57" s="4"/>
      <c r="M57" s="4"/>
      <c r="N57" s="4">
        <v>5200</v>
      </c>
      <c r="O57" s="4"/>
      <c r="P57" s="4"/>
      <c r="Q57" s="4"/>
      <c r="R57" s="4"/>
      <c r="S57" s="4">
        <v>5200</v>
      </c>
      <c r="T57" s="4"/>
      <c r="U57" s="4"/>
      <c r="V57" s="4">
        <v>5200</v>
      </c>
      <c r="W57" s="4"/>
      <c r="X57" s="4"/>
      <c r="Y57" s="4"/>
      <c r="Z57" s="4">
        <v>5200</v>
      </c>
      <c r="AA57" s="4"/>
      <c r="AB57" s="4"/>
      <c r="AC57" s="4">
        <v>5200</v>
      </c>
      <c r="AD57" s="4"/>
      <c r="AE57" s="4"/>
      <c r="AF57" s="4"/>
      <c r="AG57" s="4"/>
      <c r="AH57" s="4"/>
      <c r="AI57" s="4"/>
      <c r="AJ57" s="4"/>
      <c r="AK57" s="4"/>
      <c r="AL57" s="4"/>
      <c r="AM57" s="4"/>
    </row>
    <row r="58" s="3" customFormat="1" spans="1:39">
      <c r="A58" s="3">
        <v>56</v>
      </c>
      <c r="C58" s="17" t="s">
        <v>77</v>
      </c>
      <c r="D58" s="3" t="s">
        <v>75</v>
      </c>
      <c r="E58" s="13" t="s">
        <v>78</v>
      </c>
      <c r="F58" s="1">
        <f t="shared" si="4"/>
        <v>10000</v>
      </c>
      <c r="G58" s="1">
        <f t="shared" si="5"/>
        <v>10400</v>
      </c>
      <c r="H58" s="14">
        <v>0</v>
      </c>
      <c r="I58" s="4"/>
      <c r="J58" s="4"/>
      <c r="K58" s="4"/>
      <c r="L58" s="19">
        <v>5200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>
        <v>5200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</row>
    <row r="59" s="3" customFormat="1" spans="1:39">
      <c r="A59" s="3">
        <v>57</v>
      </c>
      <c r="B59" s="15"/>
      <c r="D59" s="3" t="s">
        <v>79</v>
      </c>
      <c r="E59" s="16" t="s">
        <v>80</v>
      </c>
      <c r="F59" s="1">
        <f t="shared" si="4"/>
        <v>17000</v>
      </c>
      <c r="G59" s="1">
        <f t="shared" si="5"/>
        <v>16640</v>
      </c>
      <c r="H59" s="14">
        <v>1000</v>
      </c>
      <c r="I59" s="4">
        <v>2080</v>
      </c>
      <c r="J59" s="4"/>
      <c r="K59" s="4">
        <v>2080</v>
      </c>
      <c r="L59" s="4"/>
      <c r="M59" s="4">
        <v>2080</v>
      </c>
      <c r="N59" s="4"/>
      <c r="O59" s="4"/>
      <c r="P59" s="4">
        <v>2080</v>
      </c>
      <c r="Q59" s="4"/>
      <c r="R59" s="4"/>
      <c r="S59" s="4">
        <v>2080</v>
      </c>
      <c r="T59" s="4"/>
      <c r="U59" s="4"/>
      <c r="V59" s="4"/>
      <c r="W59" s="4">
        <v>2080</v>
      </c>
      <c r="X59" s="4"/>
      <c r="Y59" s="4"/>
      <c r="Z59" s="4"/>
      <c r="AA59" s="4">
        <v>2080</v>
      </c>
      <c r="AB59" s="4"/>
      <c r="AC59" s="4">
        <v>2080</v>
      </c>
      <c r="AD59" s="4"/>
      <c r="AE59" s="4"/>
      <c r="AF59" s="4"/>
      <c r="AG59" s="4"/>
      <c r="AH59" s="4"/>
      <c r="AI59" s="4"/>
      <c r="AJ59" s="4"/>
      <c r="AK59" s="4"/>
      <c r="AL59" s="4"/>
      <c r="AM59" s="4"/>
    </row>
    <row r="60" s="3" customFormat="1" spans="1:39">
      <c r="A60" s="3">
        <v>58</v>
      </c>
      <c r="B60" s="15"/>
      <c r="D60" s="3" t="s">
        <v>81</v>
      </c>
      <c r="E60" s="16" t="s">
        <v>82</v>
      </c>
      <c r="F60" s="1">
        <f t="shared" si="4"/>
        <v>6000</v>
      </c>
      <c r="G60" s="1">
        <f t="shared" si="5"/>
        <v>4160</v>
      </c>
      <c r="H60" s="14">
        <v>2000</v>
      </c>
      <c r="I60" s="4"/>
      <c r="J60" s="4"/>
      <c r="K60" s="4"/>
      <c r="L60" s="4"/>
      <c r="M60" s="4"/>
      <c r="N60" s="4"/>
      <c r="O60" s="4">
        <v>2080</v>
      </c>
      <c r="P60" s="4"/>
      <c r="Q60" s="4"/>
      <c r="R60" s="4"/>
      <c r="S60" s="4"/>
      <c r="T60" s="4"/>
      <c r="U60" s="4"/>
      <c r="V60" s="4"/>
      <c r="W60" s="4">
        <v>2080</v>
      </c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</row>
    <row r="61" s="3" customFormat="1" spans="1:39">
      <c r="A61" s="3">
        <v>59</v>
      </c>
      <c r="D61" s="3" t="s">
        <v>83</v>
      </c>
      <c r="E61" s="13" t="s">
        <v>84</v>
      </c>
      <c r="F61" s="1">
        <f t="shared" si="4"/>
        <v>10000</v>
      </c>
      <c r="G61" s="1">
        <f t="shared" si="5"/>
        <v>10400</v>
      </c>
      <c r="H61" s="14">
        <v>0</v>
      </c>
      <c r="I61" s="4"/>
      <c r="J61" s="4"/>
      <c r="K61" s="4">
        <v>2080</v>
      </c>
      <c r="L61" s="4"/>
      <c r="M61" s="4"/>
      <c r="N61" s="4"/>
      <c r="O61" s="4">
        <v>2080</v>
      </c>
      <c r="P61" s="4"/>
      <c r="Q61" s="4"/>
      <c r="R61" s="4">
        <v>2080</v>
      </c>
      <c r="T61" s="4"/>
      <c r="U61" s="4"/>
      <c r="V61" s="4"/>
      <c r="W61" s="4">
        <v>2080</v>
      </c>
      <c r="X61" s="4"/>
      <c r="Y61" s="4">
        <v>2080</v>
      </c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</row>
    <row r="62" s="3" customFormat="1" spans="1:39">
      <c r="A62" s="3">
        <v>60</v>
      </c>
      <c r="D62" s="3" t="s">
        <v>83</v>
      </c>
      <c r="E62" s="13" t="s">
        <v>85</v>
      </c>
      <c r="F62" s="1">
        <f t="shared" si="4"/>
        <v>10000</v>
      </c>
      <c r="G62" s="1">
        <f t="shared" si="5"/>
        <v>10400</v>
      </c>
      <c r="H62" s="14">
        <v>0</v>
      </c>
      <c r="I62" s="4"/>
      <c r="J62" s="4">
        <v>2080</v>
      </c>
      <c r="K62" s="4"/>
      <c r="L62" s="4"/>
      <c r="M62" s="4"/>
      <c r="N62" s="4">
        <v>2080</v>
      </c>
      <c r="O62" s="4"/>
      <c r="P62" s="4"/>
      <c r="Q62" s="4"/>
      <c r="R62" s="4"/>
      <c r="S62" s="4">
        <v>2080</v>
      </c>
      <c r="T62" s="4"/>
      <c r="U62" s="4"/>
      <c r="V62" s="4">
        <v>2080</v>
      </c>
      <c r="W62" s="4"/>
      <c r="X62" s="4"/>
      <c r="Y62" s="4"/>
      <c r="Z62" s="4"/>
      <c r="AA62" s="4"/>
      <c r="AB62" s="4">
        <v>2080</v>
      </c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</row>
    <row r="63" s="3" customFormat="1" spans="1:39">
      <c r="A63" s="3">
        <v>61</v>
      </c>
      <c r="D63" s="3" t="s">
        <v>83</v>
      </c>
      <c r="E63" s="13" t="s">
        <v>86</v>
      </c>
      <c r="F63" s="1">
        <f t="shared" si="4"/>
        <v>4000</v>
      </c>
      <c r="G63" s="1">
        <f t="shared" si="5"/>
        <v>4160</v>
      </c>
      <c r="H63" s="14">
        <v>0</v>
      </c>
      <c r="I63" s="4"/>
      <c r="J63" s="4"/>
      <c r="K63" s="4"/>
      <c r="L63" s="4">
        <v>2080</v>
      </c>
      <c r="M63" s="4"/>
      <c r="N63" s="4"/>
      <c r="O63" s="4"/>
      <c r="P63" s="4"/>
      <c r="Q63" s="4"/>
      <c r="R63" s="4"/>
      <c r="S63" s="4"/>
      <c r="T63" s="4">
        <v>2080</v>
      </c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</row>
    <row r="64" s="3" customFormat="1" spans="1:39">
      <c r="A64" s="3">
        <v>62</v>
      </c>
      <c r="D64" s="3" t="s">
        <v>83</v>
      </c>
      <c r="E64" s="13" t="s">
        <v>87</v>
      </c>
      <c r="F64" s="1">
        <f t="shared" si="4"/>
        <v>2000</v>
      </c>
      <c r="G64" s="1">
        <f t="shared" si="5"/>
        <v>2080</v>
      </c>
      <c r="H64" s="14">
        <v>0</v>
      </c>
      <c r="I64" s="4"/>
      <c r="J64" s="4"/>
      <c r="K64" s="4"/>
      <c r="L64" s="4"/>
      <c r="M64" s="4"/>
      <c r="N64" s="4"/>
      <c r="O64" s="4">
        <v>1040</v>
      </c>
      <c r="P64" s="4"/>
      <c r="Q64" s="4"/>
      <c r="R64" s="4"/>
      <c r="S64" s="4"/>
      <c r="T64" s="4"/>
      <c r="U64" s="4"/>
      <c r="V64" s="4"/>
      <c r="W64" s="4">
        <v>1040</v>
      </c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</row>
    <row r="65" s="3" customFormat="1" spans="1:39">
      <c r="A65" s="3">
        <v>63</v>
      </c>
      <c r="D65" s="3" t="s">
        <v>83</v>
      </c>
      <c r="E65" s="13" t="s">
        <v>88</v>
      </c>
      <c r="F65" s="1">
        <f t="shared" si="4"/>
        <v>35000</v>
      </c>
      <c r="G65" s="1">
        <f t="shared" si="5"/>
        <v>36400</v>
      </c>
      <c r="H65" s="14">
        <v>0</v>
      </c>
      <c r="I65" s="4">
        <v>5200</v>
      </c>
      <c r="J65" s="4">
        <v>5200</v>
      </c>
      <c r="K65" s="4"/>
      <c r="L65" s="4"/>
      <c r="M65" s="4">
        <v>5200</v>
      </c>
      <c r="N65" s="4"/>
      <c r="O65" s="4"/>
      <c r="P65" s="4">
        <v>5200</v>
      </c>
      <c r="Q65" s="4"/>
      <c r="R65" s="4">
        <v>5200</v>
      </c>
      <c r="S65" s="4"/>
      <c r="T65" s="4"/>
      <c r="U65" s="4"/>
      <c r="V65" s="4">
        <v>5200</v>
      </c>
      <c r="W65" s="4"/>
      <c r="X65" s="4"/>
      <c r="Y65" s="4">
        <v>5200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</row>
    <row r="66" s="3" customFormat="1" spans="1:39">
      <c r="A66" s="3">
        <v>64</v>
      </c>
      <c r="D66" s="3" t="s">
        <v>83</v>
      </c>
      <c r="E66" s="13" t="s">
        <v>89</v>
      </c>
      <c r="F66" s="1">
        <f t="shared" si="4"/>
        <v>21000</v>
      </c>
      <c r="G66" s="1">
        <f t="shared" si="5"/>
        <v>18720</v>
      </c>
      <c r="H66" s="14">
        <v>3000</v>
      </c>
      <c r="I66" s="4"/>
      <c r="J66" s="4">
        <v>3120</v>
      </c>
      <c r="K66" s="4"/>
      <c r="L66" s="4"/>
      <c r="M66" s="4"/>
      <c r="O66" s="4">
        <v>3120</v>
      </c>
      <c r="P66" s="4"/>
      <c r="Q66" s="4"/>
      <c r="R66" s="4">
        <v>3120</v>
      </c>
      <c r="S66" s="4"/>
      <c r="T66" s="4"/>
      <c r="U66" s="4"/>
      <c r="V66" s="4">
        <v>3120</v>
      </c>
      <c r="W66" s="4"/>
      <c r="X66" s="4"/>
      <c r="Y66" s="4"/>
      <c r="Z66" s="4">
        <v>3120</v>
      </c>
      <c r="AA66" s="4"/>
      <c r="AB66" s="4">
        <v>3120</v>
      </c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</row>
    <row r="67" s="3" customFormat="1" spans="1:39">
      <c r="A67" s="3">
        <v>65</v>
      </c>
      <c r="B67" s="15"/>
      <c r="D67" s="3" t="s">
        <v>83</v>
      </c>
      <c r="E67" s="16" t="s">
        <v>90</v>
      </c>
      <c r="F67" s="1">
        <f t="shared" ref="F67:F95" si="6">G67/1.04+H67</f>
        <v>14000</v>
      </c>
      <c r="G67" s="1">
        <f t="shared" si="5"/>
        <v>12480</v>
      </c>
      <c r="H67" s="14">
        <v>2000</v>
      </c>
      <c r="I67" s="4">
        <v>2080</v>
      </c>
      <c r="J67" s="4"/>
      <c r="K67" s="4"/>
      <c r="L67" s="4"/>
      <c r="M67" s="4"/>
      <c r="N67" s="4">
        <v>2080</v>
      </c>
      <c r="O67" s="4"/>
      <c r="P67" s="4"/>
      <c r="Q67" s="4"/>
      <c r="R67" s="4">
        <v>2080</v>
      </c>
      <c r="S67" s="4"/>
      <c r="T67" s="4"/>
      <c r="U67" s="4"/>
      <c r="V67" s="4">
        <v>2080</v>
      </c>
      <c r="W67" s="4"/>
      <c r="X67" s="4"/>
      <c r="Y67" s="4">
        <v>2080</v>
      </c>
      <c r="Z67" s="4"/>
      <c r="AA67" s="4"/>
      <c r="AB67" s="4"/>
      <c r="AC67" s="4">
        <v>2080</v>
      </c>
      <c r="AD67" s="4"/>
      <c r="AE67" s="4"/>
      <c r="AF67" s="4"/>
      <c r="AG67" s="4"/>
      <c r="AH67" s="4"/>
      <c r="AI67" s="4"/>
      <c r="AJ67" s="4"/>
      <c r="AK67" s="4"/>
      <c r="AL67" s="4"/>
      <c r="AM67" s="4"/>
    </row>
    <row r="68" s="3" customFormat="1" spans="1:39">
      <c r="A68" s="3">
        <v>66</v>
      </c>
      <c r="B68" s="15"/>
      <c r="D68" s="3" t="s">
        <v>83</v>
      </c>
      <c r="E68" s="16" t="s">
        <v>91</v>
      </c>
      <c r="F68" s="1">
        <f t="shared" si="6"/>
        <v>2500</v>
      </c>
      <c r="G68" s="1">
        <f t="shared" si="5"/>
        <v>2080</v>
      </c>
      <c r="H68" s="14">
        <v>500</v>
      </c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>
        <v>2080</v>
      </c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</row>
    <row r="69" s="3" customFormat="1" spans="1:39">
      <c r="A69" s="3">
        <v>67</v>
      </c>
      <c r="D69" s="3" t="s">
        <v>92</v>
      </c>
      <c r="E69" s="13" t="s">
        <v>93</v>
      </c>
      <c r="F69" s="1">
        <f t="shared" si="6"/>
        <v>12500</v>
      </c>
      <c r="G69" s="1">
        <f t="shared" si="5"/>
        <v>11440</v>
      </c>
      <c r="H69" s="14">
        <v>1500</v>
      </c>
      <c r="I69" s="4">
        <v>3120</v>
      </c>
      <c r="J69" s="4"/>
      <c r="K69" s="4"/>
      <c r="L69" s="4"/>
      <c r="M69" s="4"/>
      <c r="N69" s="4">
        <v>3120</v>
      </c>
      <c r="O69" s="4"/>
      <c r="P69" s="4"/>
      <c r="Q69" s="4"/>
      <c r="R69" s="4"/>
      <c r="S69" s="4"/>
      <c r="T69" s="4"/>
      <c r="U69" s="4">
        <v>1040</v>
      </c>
      <c r="V69" s="4">
        <v>1040</v>
      </c>
      <c r="W69" s="4">
        <v>1040</v>
      </c>
      <c r="X69" s="4"/>
      <c r="Y69" s="4">
        <v>2080</v>
      </c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</row>
    <row r="70" s="3" customFormat="1" spans="1:39">
      <c r="A70" s="3">
        <v>68</v>
      </c>
      <c r="D70" s="3" t="s">
        <v>92</v>
      </c>
      <c r="E70" s="13" t="s">
        <v>94</v>
      </c>
      <c r="F70" s="1">
        <f t="shared" si="6"/>
        <v>21000</v>
      </c>
      <c r="G70" s="1">
        <f t="shared" si="5"/>
        <v>21840</v>
      </c>
      <c r="H70" s="14">
        <v>0</v>
      </c>
      <c r="I70" s="4"/>
      <c r="J70" s="4">
        <v>3120</v>
      </c>
      <c r="K70" s="4"/>
      <c r="L70" s="4"/>
      <c r="M70" s="4"/>
      <c r="N70" s="4">
        <v>3120</v>
      </c>
      <c r="O70" s="4"/>
      <c r="P70" s="4">
        <v>3120</v>
      </c>
      <c r="Q70" s="4"/>
      <c r="R70" s="4"/>
      <c r="S70" s="4">
        <v>3120</v>
      </c>
      <c r="T70" s="4"/>
      <c r="U70" s="4">
        <v>3120</v>
      </c>
      <c r="V70" s="4"/>
      <c r="W70" s="4"/>
      <c r="X70" s="4">
        <v>3120</v>
      </c>
      <c r="Y70" s="4"/>
      <c r="Z70" s="4"/>
      <c r="AA70" s="4">
        <v>3120</v>
      </c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</row>
    <row r="71" s="3" customFormat="1" spans="1:39">
      <c r="A71" s="3">
        <v>69</v>
      </c>
      <c r="D71" s="3" t="s">
        <v>92</v>
      </c>
      <c r="E71" s="13" t="s">
        <v>95</v>
      </c>
      <c r="F71" s="1">
        <f t="shared" si="6"/>
        <v>20000</v>
      </c>
      <c r="G71" s="1">
        <f t="shared" si="5"/>
        <v>18720</v>
      </c>
      <c r="H71" s="14">
        <v>2000</v>
      </c>
      <c r="I71" s="4"/>
      <c r="J71" s="4">
        <v>2080</v>
      </c>
      <c r="K71" s="4"/>
      <c r="L71" s="4"/>
      <c r="M71" s="4"/>
      <c r="N71" s="4">
        <v>2080</v>
      </c>
      <c r="O71" s="4"/>
      <c r="P71" s="4">
        <v>2080</v>
      </c>
      <c r="Q71" s="4"/>
      <c r="R71" s="4"/>
      <c r="S71" s="4"/>
      <c r="T71" s="4">
        <v>2080</v>
      </c>
      <c r="U71" s="4">
        <v>2080</v>
      </c>
      <c r="V71" s="4"/>
      <c r="W71" s="4">
        <v>2080</v>
      </c>
      <c r="X71" s="4">
        <v>2080</v>
      </c>
      <c r="Y71" s="4"/>
      <c r="Z71" s="4"/>
      <c r="AA71" s="4">
        <v>2080</v>
      </c>
      <c r="AB71" s="4">
        <v>2080</v>
      </c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</row>
    <row r="72" s="3" customFormat="1" spans="1:39">
      <c r="A72" s="3">
        <v>70</v>
      </c>
      <c r="B72" s="15"/>
      <c r="E72" s="16" t="s">
        <v>96</v>
      </c>
      <c r="F72" s="1">
        <f t="shared" si="6"/>
        <v>45000</v>
      </c>
      <c r="G72" s="1">
        <f t="shared" si="5"/>
        <v>18720</v>
      </c>
      <c r="H72" s="14">
        <v>27000</v>
      </c>
      <c r="I72" s="22"/>
      <c r="J72" s="22"/>
      <c r="K72" s="22"/>
      <c r="L72" s="22">
        <v>2080</v>
      </c>
      <c r="M72" s="23">
        <v>4160</v>
      </c>
      <c r="N72" s="22">
        <v>2080</v>
      </c>
      <c r="O72" s="22"/>
      <c r="P72" s="22"/>
      <c r="Q72" s="22">
        <v>2080</v>
      </c>
      <c r="R72" s="22"/>
      <c r="S72" s="22">
        <v>2080</v>
      </c>
      <c r="T72" s="22">
        <v>2080</v>
      </c>
      <c r="U72" s="4">
        <v>2080</v>
      </c>
      <c r="V72" s="24"/>
      <c r="W72" s="24"/>
      <c r="X72" s="24"/>
      <c r="Y72" s="24"/>
      <c r="Z72" s="4"/>
      <c r="AA72" s="4"/>
      <c r="AB72" s="4">
        <v>2080</v>
      </c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</row>
    <row r="73" s="3" customFormat="1" spans="1:39">
      <c r="A73" s="3">
        <v>71</v>
      </c>
      <c r="B73" s="15"/>
      <c r="D73" s="3" t="s">
        <v>97</v>
      </c>
      <c r="E73" s="16" t="s">
        <v>98</v>
      </c>
      <c r="F73" s="1">
        <f t="shared" si="6"/>
        <v>3000</v>
      </c>
      <c r="G73" s="1">
        <f t="shared" si="5"/>
        <v>3120</v>
      </c>
      <c r="H73" s="14">
        <v>0</v>
      </c>
      <c r="I73" s="4"/>
      <c r="J73" s="4"/>
      <c r="K73" s="4"/>
      <c r="L73" s="4"/>
      <c r="M73" s="4"/>
      <c r="N73" s="4"/>
      <c r="O73" s="19">
        <v>3120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</row>
    <row r="74" s="3" customFormat="1" spans="1:39">
      <c r="A74" s="3">
        <v>72</v>
      </c>
      <c r="B74" s="15"/>
      <c r="E74" s="16" t="s">
        <v>99</v>
      </c>
      <c r="F74" s="1">
        <f t="shared" si="6"/>
        <v>0</v>
      </c>
      <c r="G74" s="1">
        <f t="shared" ref="G69:G95" si="7">SUM(I74:AM74)</f>
        <v>0</v>
      </c>
      <c r="H74" s="14">
        <v>0</v>
      </c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</row>
    <row r="75" s="3" customFormat="1" spans="1:39">
      <c r="A75" s="3">
        <v>73</v>
      </c>
      <c r="B75" s="15"/>
      <c r="D75" s="3" t="s">
        <v>100</v>
      </c>
      <c r="E75" s="16" t="s">
        <v>101</v>
      </c>
      <c r="F75" s="1">
        <f t="shared" si="6"/>
        <v>4000</v>
      </c>
      <c r="G75" s="1">
        <f t="shared" si="7"/>
        <v>4160</v>
      </c>
      <c r="H75" s="14">
        <v>0</v>
      </c>
      <c r="I75" s="4"/>
      <c r="J75" s="4"/>
      <c r="K75" s="4"/>
      <c r="L75" s="4"/>
      <c r="M75" s="19">
        <v>1040</v>
      </c>
      <c r="N75" s="4">
        <v>1040</v>
      </c>
      <c r="O75" s="4"/>
      <c r="P75" s="4">
        <v>2080</v>
      </c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s="3" customFormat="1" spans="1:39">
      <c r="A76" s="3">
        <v>74</v>
      </c>
      <c r="B76" s="15"/>
      <c r="E76" s="16" t="s">
        <v>102</v>
      </c>
      <c r="F76" s="1">
        <f t="shared" si="6"/>
        <v>0</v>
      </c>
      <c r="G76" s="1">
        <f t="shared" si="7"/>
        <v>0</v>
      </c>
      <c r="H76" s="14">
        <v>0</v>
      </c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s="3" customFormat="1" spans="1:39">
      <c r="A77" s="3">
        <v>75</v>
      </c>
      <c r="B77" s="15"/>
      <c r="C77" s="3">
        <v>683879115</v>
      </c>
      <c r="E77" s="16" t="s">
        <v>103</v>
      </c>
      <c r="F77" s="1">
        <f t="shared" si="6"/>
        <v>4000</v>
      </c>
      <c r="G77" s="1">
        <f t="shared" si="7"/>
        <v>4160</v>
      </c>
      <c r="H77" s="14">
        <v>0</v>
      </c>
      <c r="I77" s="4"/>
      <c r="J77" s="4"/>
      <c r="K77" s="4"/>
      <c r="L77" s="4"/>
      <c r="M77" s="4"/>
      <c r="N77" s="4">
        <v>2080</v>
      </c>
      <c r="O77" s="4"/>
      <c r="P77" s="4"/>
      <c r="Q77" s="4"/>
      <c r="R77" s="4"/>
      <c r="S77" s="4"/>
      <c r="T77" s="4"/>
      <c r="U77" s="4"/>
      <c r="V77" s="4"/>
      <c r="W77" s="4"/>
      <c r="X77" s="4">
        <v>2080</v>
      </c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</row>
    <row r="78" s="3" customFormat="1" spans="1:39">
      <c r="A78" s="3">
        <v>76</v>
      </c>
      <c r="B78" s="15"/>
      <c r="D78" s="3" t="s">
        <v>61</v>
      </c>
      <c r="E78" s="16" t="s">
        <v>104</v>
      </c>
      <c r="F78" s="1">
        <f t="shared" si="6"/>
        <v>2000</v>
      </c>
      <c r="G78" s="1">
        <f t="shared" si="7"/>
        <v>2080</v>
      </c>
      <c r="H78" s="14">
        <v>0</v>
      </c>
      <c r="I78" s="4"/>
      <c r="J78" s="4"/>
      <c r="K78" s="4"/>
      <c r="L78" s="4"/>
      <c r="M78" s="4"/>
      <c r="N78" s="4"/>
      <c r="O78" s="4"/>
      <c r="P78" s="19">
        <v>2080</v>
      </c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</row>
    <row r="79" s="3" customFormat="1" spans="1:39">
      <c r="A79" s="3">
        <v>77</v>
      </c>
      <c r="B79" s="15"/>
      <c r="E79" s="16" t="s">
        <v>105</v>
      </c>
      <c r="F79" s="1">
        <f t="shared" si="6"/>
        <v>4000</v>
      </c>
      <c r="G79" s="1">
        <f t="shared" si="7"/>
        <v>4160</v>
      </c>
      <c r="H79" s="14">
        <v>0</v>
      </c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>
        <v>1040</v>
      </c>
      <c r="W79" s="4"/>
      <c r="X79" s="4"/>
      <c r="Y79" s="4"/>
      <c r="Z79" s="4"/>
      <c r="AA79" s="4"/>
      <c r="AB79" s="4">
        <v>3120</v>
      </c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</row>
    <row r="80" s="3" customFormat="1" spans="1:39">
      <c r="A80" s="3">
        <v>78</v>
      </c>
      <c r="B80" s="15"/>
      <c r="D80" s="3" t="s">
        <v>61</v>
      </c>
      <c r="E80" s="16" t="s">
        <v>106</v>
      </c>
      <c r="F80" s="1">
        <f t="shared" si="6"/>
        <v>5000</v>
      </c>
      <c r="G80" s="1">
        <f t="shared" si="7"/>
        <v>5200</v>
      </c>
      <c r="H80" s="14">
        <v>0</v>
      </c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19">
        <v>2080</v>
      </c>
      <c r="V80" s="4"/>
      <c r="W80" s="4">
        <v>1040</v>
      </c>
      <c r="X80" s="4">
        <v>1040</v>
      </c>
      <c r="Y80" s="4"/>
      <c r="Z80" s="4"/>
      <c r="AA80" s="4"/>
      <c r="AB80" s="4">
        <v>1040</v>
      </c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</row>
    <row r="81" s="3" customFormat="1" spans="1:39">
      <c r="A81" s="3">
        <v>79</v>
      </c>
      <c r="B81" s="15"/>
      <c r="D81" s="3" t="s">
        <v>107</v>
      </c>
      <c r="E81" s="16" t="s">
        <v>108</v>
      </c>
      <c r="F81" s="1">
        <f t="shared" si="6"/>
        <v>6000</v>
      </c>
      <c r="G81" s="1">
        <f t="shared" si="7"/>
        <v>6240</v>
      </c>
      <c r="H81" s="14">
        <v>0</v>
      </c>
      <c r="I81" s="24"/>
      <c r="J81" s="24"/>
      <c r="K81" s="24"/>
      <c r="L81" s="24"/>
      <c r="M81" s="24"/>
      <c r="N81" s="24"/>
      <c r="O81" s="22">
        <v>2080</v>
      </c>
      <c r="P81" s="24"/>
      <c r="Q81" s="24"/>
      <c r="R81" s="24"/>
      <c r="S81" s="24"/>
      <c r="T81" s="24"/>
      <c r="U81" s="24"/>
      <c r="V81" s="24"/>
      <c r="W81" s="22">
        <v>2080</v>
      </c>
      <c r="X81" s="24"/>
      <c r="Y81" s="24"/>
      <c r="Z81" s="24"/>
      <c r="AA81" s="4"/>
      <c r="AB81" s="4">
        <v>2080</v>
      </c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</row>
    <row r="82" s="3" customFormat="1" spans="1:39">
      <c r="A82" s="3">
        <v>80</v>
      </c>
      <c r="B82" s="15"/>
      <c r="D82" s="3" t="s">
        <v>109</v>
      </c>
      <c r="E82" s="16" t="s">
        <v>110</v>
      </c>
      <c r="F82" s="1">
        <f t="shared" si="6"/>
        <v>25000</v>
      </c>
      <c r="G82" s="1">
        <f t="shared" si="7"/>
        <v>26000</v>
      </c>
      <c r="H82" s="14">
        <v>0</v>
      </c>
      <c r="I82" s="4">
        <v>5200</v>
      </c>
      <c r="J82" s="4"/>
      <c r="K82" s="4"/>
      <c r="L82" s="4">
        <v>5200</v>
      </c>
      <c r="M82" s="4"/>
      <c r="N82" s="4"/>
      <c r="O82" s="4"/>
      <c r="P82" s="4">
        <v>5200</v>
      </c>
      <c r="Q82" s="4"/>
      <c r="R82" s="4"/>
      <c r="S82" s="4"/>
      <c r="T82" s="4">
        <v>5200</v>
      </c>
      <c r="U82" s="4"/>
      <c r="V82" s="4"/>
      <c r="W82" s="4"/>
      <c r="X82" s="4">
        <v>5200</v>
      </c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</row>
    <row r="83" s="3" customFormat="1" spans="1:39">
      <c r="A83" s="3">
        <v>81</v>
      </c>
      <c r="B83" s="15"/>
      <c r="E83" s="16" t="s">
        <v>111</v>
      </c>
      <c r="F83" s="1">
        <f t="shared" si="6"/>
        <v>0</v>
      </c>
      <c r="G83" s="1">
        <f t="shared" si="7"/>
        <v>0</v>
      </c>
      <c r="H83" s="14">
        <v>0</v>
      </c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 s="3" customFormat="1" spans="1:39">
      <c r="A84" s="3">
        <v>82</v>
      </c>
      <c r="B84" s="15"/>
      <c r="E84" s="16" t="s">
        <v>112</v>
      </c>
      <c r="F84" s="1">
        <f t="shared" si="6"/>
        <v>0</v>
      </c>
      <c r="G84" s="1">
        <f t="shared" si="7"/>
        <v>0</v>
      </c>
      <c r="H84" s="14">
        <v>0</v>
      </c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s="3" customFormat="1" spans="1:39">
      <c r="A85" s="3">
        <v>83</v>
      </c>
      <c r="B85" s="15"/>
      <c r="C85" s="3">
        <v>683909556</v>
      </c>
      <c r="D85" s="3" t="s">
        <v>109</v>
      </c>
      <c r="E85" s="16" t="s">
        <v>113</v>
      </c>
      <c r="F85" s="1">
        <f t="shared" si="6"/>
        <v>0</v>
      </c>
      <c r="G85" s="1">
        <f t="shared" si="7"/>
        <v>0</v>
      </c>
      <c r="H85" s="14">
        <v>0</v>
      </c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s="3" customFormat="1" spans="1:39">
      <c r="A86" s="3">
        <v>84</v>
      </c>
      <c r="B86" s="15"/>
      <c r="E86" s="16" t="s">
        <v>114</v>
      </c>
      <c r="F86" s="1">
        <f t="shared" si="6"/>
        <v>0</v>
      </c>
      <c r="G86" s="1">
        <f t="shared" si="7"/>
        <v>0</v>
      </c>
      <c r="H86" s="14">
        <v>0</v>
      </c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s="3" customFormat="1" spans="1:39">
      <c r="A87" s="3">
        <v>85</v>
      </c>
      <c r="E87" s="13" t="s">
        <v>115</v>
      </c>
      <c r="F87" s="1">
        <f t="shared" si="6"/>
        <v>1000</v>
      </c>
      <c r="G87" s="1">
        <f t="shared" si="7"/>
        <v>1040</v>
      </c>
      <c r="H87" s="14">
        <v>0</v>
      </c>
      <c r="I87" s="4"/>
      <c r="J87" s="4"/>
      <c r="K87" s="4"/>
      <c r="L87" s="4">
        <v>1040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s="3" customFormat="1" spans="1:39">
      <c r="A88" s="3">
        <v>86</v>
      </c>
      <c r="E88" s="13" t="s">
        <v>116</v>
      </c>
      <c r="F88" s="1">
        <f t="shared" si="6"/>
        <v>0</v>
      </c>
      <c r="G88" s="1">
        <f t="shared" si="7"/>
        <v>0</v>
      </c>
      <c r="H88" s="14">
        <v>0</v>
      </c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s="3" customFormat="1" spans="1:39">
      <c r="A89" s="3">
        <v>87</v>
      </c>
      <c r="E89" s="13" t="s">
        <v>117</v>
      </c>
      <c r="F89" s="1">
        <f t="shared" si="6"/>
        <v>0</v>
      </c>
      <c r="G89" s="1">
        <f t="shared" si="7"/>
        <v>0</v>
      </c>
      <c r="H89" s="14">
        <v>0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s="3" customFormat="1" spans="1:39">
      <c r="A90" s="3">
        <v>88</v>
      </c>
      <c r="E90" s="13" t="s">
        <v>118</v>
      </c>
      <c r="F90" s="1">
        <f t="shared" si="6"/>
        <v>1000</v>
      </c>
      <c r="G90" s="1">
        <f t="shared" si="7"/>
        <v>1040</v>
      </c>
      <c r="H90" s="14">
        <v>0</v>
      </c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>
        <v>1040</v>
      </c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</row>
    <row r="91" s="3" customFormat="1" spans="1:39">
      <c r="A91" s="3">
        <v>89</v>
      </c>
      <c r="E91" s="13" t="s">
        <v>119</v>
      </c>
      <c r="F91" s="1">
        <f t="shared" si="6"/>
        <v>0</v>
      </c>
      <c r="G91" s="1">
        <f t="shared" si="7"/>
        <v>0</v>
      </c>
      <c r="H91" s="14">
        <v>0</v>
      </c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</row>
    <row r="92" s="3" customFormat="1" spans="1:39">
      <c r="A92" s="3">
        <v>90</v>
      </c>
      <c r="C92" s="3">
        <v>683909558</v>
      </c>
      <c r="E92" s="13" t="s">
        <v>120</v>
      </c>
      <c r="F92" s="1">
        <f t="shared" si="6"/>
        <v>0</v>
      </c>
      <c r="G92" s="1">
        <f t="shared" si="7"/>
        <v>0</v>
      </c>
      <c r="H92" s="14">
        <v>0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s="3" customFormat="1" spans="1:39">
      <c r="A93" s="3">
        <v>91</v>
      </c>
      <c r="E93" s="13" t="s">
        <v>121</v>
      </c>
      <c r="F93" s="1">
        <f t="shared" si="6"/>
        <v>0</v>
      </c>
      <c r="G93" s="1">
        <f t="shared" si="7"/>
        <v>0</v>
      </c>
      <c r="H93" s="14">
        <v>0</v>
      </c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spans="1:39">
      <c r="A94" s="3">
        <v>92</v>
      </c>
      <c r="E94" s="21" t="s">
        <v>122</v>
      </c>
      <c r="F94" s="1">
        <f t="shared" si="6"/>
        <v>0</v>
      </c>
      <c r="G94" s="1">
        <f t="shared" si="7"/>
        <v>0</v>
      </c>
      <c r="H94" s="14">
        <v>0</v>
      </c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spans="1:39">
      <c r="A95" s="3">
        <v>93</v>
      </c>
      <c r="C95" s="3">
        <v>685671039</v>
      </c>
      <c r="D95" s="3" t="s">
        <v>79</v>
      </c>
      <c r="E95" s="3" t="s">
        <v>123</v>
      </c>
      <c r="F95" s="1">
        <f t="shared" si="6"/>
        <v>7000</v>
      </c>
      <c r="G95" s="1">
        <f t="shared" si="7"/>
        <v>7280</v>
      </c>
      <c r="H95" s="5">
        <v>0</v>
      </c>
      <c r="I95" s="4"/>
      <c r="J95" s="4"/>
      <c r="K95" s="4"/>
      <c r="L95" s="4"/>
      <c r="M95" s="19">
        <v>2080</v>
      </c>
      <c r="N95" s="4"/>
      <c r="O95" s="4"/>
      <c r="P95" s="4"/>
      <c r="Q95" s="19">
        <v>2080</v>
      </c>
      <c r="R95" s="4"/>
      <c r="S95" s="4"/>
      <c r="T95" s="4"/>
      <c r="U95" s="4"/>
      <c r="V95" s="4"/>
      <c r="W95" s="4"/>
      <c r="X95" s="4"/>
      <c r="Y95" s="19">
        <v>1040</v>
      </c>
      <c r="Z95" s="4"/>
      <c r="AA95" s="4"/>
      <c r="AB95" s="4">
        <v>2080</v>
      </c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spans="9:39"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spans="9:39"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spans="9:39"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spans="9:39"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spans="9:39"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spans="9:39"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spans="9:39"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spans="9:39"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spans="9:39"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spans="9:39"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spans="9:39"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spans="9:39"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spans="9:39"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2021-01-21T02:55:05Z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