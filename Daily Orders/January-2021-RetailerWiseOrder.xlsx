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<sst xmlns="http://schemas.openxmlformats.org/spreadsheetml/2006/main" count="189" uniqueCount="125">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</sst>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3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6" borderId="4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7" fillId="28" borderId="8" applyNumberForma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9" fillId="28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6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I27" activePane="bottomRight" state="frozen"/>
      <selection/>
      <selection pane="topRight"/>
      <selection pane="bottomLeft"/>
      <selection pane="bottomRight" activeCell="B43" sqref="B43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1461500</v>
      </c>
      <c r="C2" s="1"/>
      <c r="D2" s="10">
        <f>SUM(G3:G120)</f>
        <v>1396200</v>
      </c>
      <c r="E2" s="11" t="s">
        <v>8</v>
      </c>
      <c r="F2" s="9">
        <f>G2/1.04+H2</f>
        <v>1461500</v>
      </c>
      <c r="G2" s="10">
        <f t="shared" ref="G2:G16" si="0">SUM(I2:AM2)</f>
        <v>1396200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58240</v>
      </c>
      <c r="AJ2" s="2">
        <f t="shared" si="1"/>
        <v>57200</v>
      </c>
      <c r="AK2" s="2">
        <f t="shared" si="1"/>
        <v>35360</v>
      </c>
      <c r="AL2" s="2">
        <f t="shared" si="1"/>
        <v>10400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5500</v>
      </c>
      <c r="G4" s="1">
        <f t="shared" si="0"/>
        <v>5720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>
        <v>1040</v>
      </c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13000</v>
      </c>
      <c r="G5" s="1">
        <f t="shared" si="0"/>
        <v>13520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>
        <v>1040</v>
      </c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75000</v>
      </c>
      <c r="G7" s="1">
        <f t="shared" si="0"/>
        <v>67600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>
        <v>4160</v>
      </c>
      <c r="AJ7" s="4"/>
      <c r="AK7" s="4">
        <v>4160</v>
      </c>
      <c r="AL7" s="4">
        <v>2080</v>
      </c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35000</v>
      </c>
      <c r="G10" s="1">
        <f t="shared" si="0"/>
        <v>36400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>
        <v>5200</v>
      </c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18000</v>
      </c>
      <c r="G11" s="1">
        <f t="shared" si="0"/>
        <v>16640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>
        <v>2080</v>
      </c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8000</v>
      </c>
      <c r="G12" s="1">
        <f t="shared" si="0"/>
        <v>8320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>
        <v>1040</v>
      </c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35000</v>
      </c>
      <c r="G13" s="1">
        <f t="shared" si="0"/>
        <v>36400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>
        <v>5200</v>
      </c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60000</v>
      </c>
      <c r="G14" s="1">
        <f t="shared" si="0"/>
        <v>57200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>
        <v>5200</v>
      </c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14000</v>
      </c>
      <c r="G15" s="1">
        <f t="shared" si="0"/>
        <v>14560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>
        <v>2080</v>
      </c>
      <c r="AK15" s="4">
        <v>2080</v>
      </c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4500</v>
      </c>
      <c r="G16" s="1">
        <f t="shared" si="0"/>
        <v>4160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>
        <v>1040</v>
      </c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21000</v>
      </c>
      <c r="G17" s="1">
        <f t="shared" ref="G17:G35" si="3">SUM(I17:AM17)</f>
        <v>21840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14000</v>
      </c>
      <c r="G19" s="1">
        <f t="shared" si="3"/>
        <v>14560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>
        <v>2080</v>
      </c>
      <c r="AI19" s="4">
        <v>2080</v>
      </c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8000</v>
      </c>
      <c r="G20" s="1">
        <f t="shared" si="3"/>
        <v>8320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>
        <v>1040</v>
      </c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30000</v>
      </c>
      <c r="G21" s="1">
        <f t="shared" si="3"/>
        <v>26000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>
        <v>5200</v>
      </c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9000</v>
      </c>
      <c r="G22" s="1">
        <f t="shared" si="3"/>
        <v>9360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>
        <v>1040</v>
      </c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18000</v>
      </c>
      <c r="G23" s="1">
        <f t="shared" si="3"/>
        <v>18720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>
        <v>3120</v>
      </c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35000</v>
      </c>
      <c r="G24" s="1">
        <f t="shared" si="3"/>
        <v>31200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>
        <v>5200</v>
      </c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30000</v>
      </c>
      <c r="G25" s="1">
        <f t="shared" si="3"/>
        <v>28080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>
        <v>3120</v>
      </c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12500</v>
      </c>
      <c r="G26" s="1">
        <f t="shared" si="3"/>
        <v>12480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>
        <v>2080</v>
      </c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21000</v>
      </c>
      <c r="G29" s="1">
        <f t="shared" si="3"/>
        <v>21840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19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55000</v>
      </c>
      <c r="G30" s="1">
        <f t="shared" si="3"/>
        <v>52000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>
        <v>5200</v>
      </c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10000</v>
      </c>
      <c r="G31" s="1">
        <f t="shared" si="3"/>
        <v>10400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>
        <v>2080</v>
      </c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8000</v>
      </c>
      <c r="G32" s="1">
        <f t="shared" si="3"/>
        <v>7280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>
        <v>1040</v>
      </c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6000</v>
      </c>
      <c r="G33" s="1">
        <f t="shared" si="3"/>
        <v>6240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>
        <v>1040</v>
      </c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9000</v>
      </c>
      <c r="G34" s="1">
        <f t="shared" si="3"/>
        <v>8320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33000</v>
      </c>
      <c r="G35" s="1">
        <f t="shared" si="3"/>
        <v>34320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>
        <v>3120</v>
      </c>
      <c r="AK35" s="4">
        <v>3120</v>
      </c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4000</v>
      </c>
      <c r="G36" s="1">
        <f t="shared" ref="G36:G73" si="5">SUM(I36:AM36)</f>
        <v>4160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>
        <v>1040</v>
      </c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24000</v>
      </c>
      <c r="G37" s="1">
        <f t="shared" si="5"/>
        <v>21840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>
        <v>3120</v>
      </c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16000</v>
      </c>
      <c r="G39" s="1">
        <f t="shared" si="5"/>
        <v>16640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>
        <v>2080</v>
      </c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10000</v>
      </c>
      <c r="G40" s="1">
        <f>SUM(J40:AM40)</f>
        <v>10400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>
        <v>2080</v>
      </c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36000</v>
      </c>
      <c r="G41" s="1">
        <f t="shared" si="5"/>
        <v>34320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>
        <v>3120</v>
      </c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6000</v>
      </c>
      <c r="G42" s="1">
        <f t="shared" si="5"/>
        <v>6240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>
        <v>2080</v>
      </c>
      <c r="AL42" s="4"/>
      <c r="AM42" s="4"/>
    </row>
    <row r="43" s="3" customFormat="1" spans="1:39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1040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>
        <v>1040</v>
      </c>
      <c r="AM43" s="4"/>
    </row>
    <row r="44" s="3" customFormat="1" spans="1:39">
      <c r="A44" s="3">
        <v>42</v>
      </c>
      <c r="D44" s="3" t="s">
        <v>47</v>
      </c>
      <c r="E44" s="13" t="s">
        <v>61</v>
      </c>
      <c r="F44" s="1">
        <f t="shared" si="4"/>
        <v>27000</v>
      </c>
      <c r="G44" s="1">
        <f t="shared" si="5"/>
        <v>24960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>
        <v>3120</v>
      </c>
      <c r="AK44" s="4"/>
      <c r="AL44" s="4"/>
      <c r="AM44" s="4"/>
    </row>
    <row r="45" s="3" customFormat="1" spans="1:39">
      <c r="A45" s="3">
        <v>43</v>
      </c>
      <c r="D45" s="3" t="s">
        <v>62</v>
      </c>
      <c r="E45" s="13" t="s">
        <v>63</v>
      </c>
      <c r="F45" s="1">
        <f t="shared" si="4"/>
        <v>24000</v>
      </c>
      <c r="G45" s="1">
        <f t="shared" si="5"/>
        <v>21840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>
        <v>3120</v>
      </c>
      <c r="AJ45" s="4"/>
      <c r="AK45" s="4"/>
      <c r="AL45" s="4"/>
      <c r="AM45" s="4"/>
    </row>
    <row r="46" s="3" customFormat="1" spans="1:39">
      <c r="A46" s="3">
        <v>44</v>
      </c>
      <c r="D46" s="3" t="s">
        <v>62</v>
      </c>
      <c r="E46" s="13" t="s">
        <v>64</v>
      </c>
      <c r="F46" s="1">
        <f t="shared" si="4"/>
        <v>18000</v>
      </c>
      <c r="G46" s="1">
        <f t="shared" si="5"/>
        <v>18720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>
        <v>3120</v>
      </c>
      <c r="AJ46" s="4"/>
      <c r="AK46" s="4"/>
      <c r="AL46" s="4"/>
      <c r="AM46" s="4"/>
    </row>
    <row r="47" s="3" customFormat="1" spans="1:39">
      <c r="A47" s="3">
        <v>45</v>
      </c>
      <c r="D47" s="3" t="s">
        <v>62</v>
      </c>
      <c r="E47" s="13" t="s">
        <v>65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62</v>
      </c>
      <c r="E48" s="13" t="s">
        <v>66</v>
      </c>
      <c r="F48" s="1">
        <f t="shared" si="4"/>
        <v>27000</v>
      </c>
      <c r="G48" s="1">
        <f t="shared" si="5"/>
        <v>24960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>
        <v>3120</v>
      </c>
      <c r="AK48" s="4"/>
      <c r="AL48" s="4"/>
      <c r="AM48" s="4"/>
    </row>
    <row r="49" s="3" customFormat="1" spans="1:39">
      <c r="A49" s="3">
        <v>47</v>
      </c>
      <c r="D49" s="3" t="s">
        <v>62</v>
      </c>
      <c r="E49" s="13" t="s">
        <v>67</v>
      </c>
      <c r="F49" s="1">
        <f t="shared" si="4"/>
        <v>27000</v>
      </c>
      <c r="G49" s="1">
        <f t="shared" si="5"/>
        <v>24960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>
        <v>3120</v>
      </c>
      <c r="AJ49" s="4"/>
      <c r="AK49" s="4"/>
      <c r="AL49" s="4"/>
      <c r="AM49" s="4"/>
    </row>
    <row r="50" s="3" customFormat="1" spans="1:39">
      <c r="A50" s="3">
        <v>48</v>
      </c>
      <c r="D50" s="3" t="s">
        <v>62</v>
      </c>
      <c r="E50" s="13" t="s">
        <v>68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62</v>
      </c>
      <c r="E51" s="13" t="s">
        <v>69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62</v>
      </c>
      <c r="E52" s="13" t="s">
        <v>70</v>
      </c>
      <c r="F52" s="1">
        <f t="shared" si="4"/>
        <v>21000</v>
      </c>
      <c r="G52" s="1">
        <f t="shared" si="5"/>
        <v>18720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>
        <v>1040</v>
      </c>
      <c r="AJ52" s="4"/>
      <c r="AK52" s="4"/>
      <c r="AL52" s="4">
        <v>1040</v>
      </c>
      <c r="AM52" s="4"/>
    </row>
    <row r="53" s="3" customFormat="1" spans="1:39">
      <c r="A53" s="3">
        <v>51</v>
      </c>
      <c r="B53" s="16"/>
      <c r="D53" s="3" t="s">
        <v>62</v>
      </c>
      <c r="E53" s="17" t="s">
        <v>71</v>
      </c>
      <c r="F53" s="1">
        <f t="shared" si="4"/>
        <v>19000</v>
      </c>
      <c r="G53" s="1">
        <f t="shared" si="5"/>
        <v>18720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>
        <v>1040</v>
      </c>
      <c r="AJ53" s="4"/>
      <c r="AK53" s="4"/>
      <c r="AL53" s="4">
        <v>1040</v>
      </c>
      <c r="AM53" s="4"/>
    </row>
    <row r="54" s="3" customFormat="1" spans="1:39">
      <c r="A54" s="3">
        <v>52</v>
      </c>
      <c r="D54" s="3" t="s">
        <v>72</v>
      </c>
      <c r="E54" s="13" t="s">
        <v>73</v>
      </c>
      <c r="F54" s="1">
        <f t="shared" si="4"/>
        <v>12000</v>
      </c>
      <c r="G54" s="1">
        <f t="shared" si="5"/>
        <v>10400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>
        <v>2080</v>
      </c>
      <c r="AJ54" s="4"/>
      <c r="AK54" s="4"/>
      <c r="AL54" s="4"/>
      <c r="AM54" s="4"/>
    </row>
    <row r="55" s="3" customFormat="1" spans="1:39">
      <c r="A55" s="3">
        <v>53</v>
      </c>
      <c r="D55" s="3" t="s">
        <v>72</v>
      </c>
      <c r="E55" s="13" t="s">
        <v>74</v>
      </c>
      <c r="F55" s="1">
        <f t="shared" si="4"/>
        <v>40000</v>
      </c>
      <c r="G55" s="1">
        <f t="shared" si="5"/>
        <v>41600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>
        <v>5200</v>
      </c>
      <c r="AH55" s="4"/>
      <c r="AI55" s="4"/>
      <c r="AJ55" s="4"/>
      <c r="AK55" s="4">
        <v>5200</v>
      </c>
      <c r="AL55" s="4"/>
      <c r="AM55" s="4"/>
    </row>
    <row r="56" s="3" customFormat="1" spans="1:39">
      <c r="A56" s="3">
        <v>54</v>
      </c>
      <c r="D56" s="3" t="s">
        <v>72</v>
      </c>
      <c r="E56" s="13" t="s">
        <v>75</v>
      </c>
      <c r="F56" s="1">
        <f t="shared" si="4"/>
        <v>8000</v>
      </c>
      <c r="G56" s="1">
        <f t="shared" si="5"/>
        <v>8320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>
        <v>2080</v>
      </c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6"/>
      <c r="D57" s="3" t="s">
        <v>76</v>
      </c>
      <c r="E57" s="17" t="s">
        <v>77</v>
      </c>
      <c r="F57" s="1">
        <f t="shared" si="4"/>
        <v>40000</v>
      </c>
      <c r="G57" s="1">
        <f t="shared" si="5"/>
        <v>36400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>
        <v>5200</v>
      </c>
      <c r="AJ57" s="4"/>
      <c r="AK57" s="4"/>
      <c r="AL57" s="4"/>
      <c r="AM57" s="4"/>
    </row>
    <row r="58" s="3" customFormat="1" spans="1:39">
      <c r="A58" s="3">
        <v>56</v>
      </c>
      <c r="C58" s="15" t="s">
        <v>78</v>
      </c>
      <c r="D58" s="3" t="s">
        <v>76</v>
      </c>
      <c r="E58" s="13" t="s">
        <v>79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6"/>
      <c r="D59" s="3" t="s">
        <v>80</v>
      </c>
      <c r="E59" s="17" t="s">
        <v>81</v>
      </c>
      <c r="F59" s="1">
        <f t="shared" si="4"/>
        <v>21000</v>
      </c>
      <c r="G59" s="1">
        <f t="shared" si="5"/>
        <v>20800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>
        <v>2080</v>
      </c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6"/>
      <c r="D60" s="3" t="s">
        <v>82</v>
      </c>
      <c r="E60" s="17" t="s">
        <v>83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84</v>
      </c>
      <c r="E61" s="13" t="s">
        <v>85</v>
      </c>
      <c r="F61" s="1">
        <f t="shared" si="4"/>
        <v>16000</v>
      </c>
      <c r="G61" s="1">
        <f t="shared" si="5"/>
        <v>16640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>
        <v>2080</v>
      </c>
      <c r="AH61" s="4"/>
      <c r="AI61" s="4"/>
      <c r="AJ61" s="4"/>
      <c r="AK61" s="4">
        <v>2080</v>
      </c>
      <c r="AL61" s="4"/>
      <c r="AM61" s="4"/>
    </row>
    <row r="62" s="3" customFormat="1" spans="1:39">
      <c r="A62" s="3">
        <v>60</v>
      </c>
      <c r="D62" s="3" t="s">
        <v>84</v>
      </c>
      <c r="E62" s="13" t="s">
        <v>86</v>
      </c>
      <c r="F62" s="1">
        <f t="shared" si="4"/>
        <v>12000</v>
      </c>
      <c r="G62" s="1">
        <f t="shared" si="5"/>
        <v>12480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>
        <v>2080</v>
      </c>
      <c r="AK62" s="4"/>
      <c r="AL62" s="4"/>
      <c r="AM62" s="4"/>
    </row>
    <row r="63" s="3" customFormat="1" spans="1:39">
      <c r="A63" s="3">
        <v>61</v>
      </c>
      <c r="D63" s="3" t="s">
        <v>84</v>
      </c>
      <c r="E63" s="13" t="s">
        <v>87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84</v>
      </c>
      <c r="E64" s="13" t="s">
        <v>88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84</v>
      </c>
      <c r="E65" s="13" t="s">
        <v>89</v>
      </c>
      <c r="F65" s="1">
        <f t="shared" si="4"/>
        <v>55000</v>
      </c>
      <c r="G65" s="1">
        <f t="shared" si="5"/>
        <v>57200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>
        <v>5200</v>
      </c>
      <c r="AI65" s="4"/>
      <c r="AJ65" s="4">
        <v>5200</v>
      </c>
      <c r="AK65" s="4"/>
      <c r="AL65" s="4"/>
      <c r="AM65" s="4"/>
    </row>
    <row r="66" s="3" customFormat="1" spans="1:39">
      <c r="A66" s="3">
        <v>64</v>
      </c>
      <c r="D66" s="3" t="s">
        <v>84</v>
      </c>
      <c r="E66" s="13" t="s">
        <v>90</v>
      </c>
      <c r="F66" s="1">
        <f t="shared" si="4"/>
        <v>30000</v>
      </c>
      <c r="G66" s="1">
        <f t="shared" si="5"/>
        <v>28080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>
        <v>3120</v>
      </c>
      <c r="AI66" s="4"/>
      <c r="AJ66" s="4"/>
      <c r="AK66" s="4">
        <v>3120</v>
      </c>
      <c r="AL66" s="4"/>
      <c r="AM66" s="4"/>
    </row>
    <row r="67" s="3" customFormat="1" spans="1:39">
      <c r="A67" s="3">
        <v>65</v>
      </c>
      <c r="B67" s="16"/>
      <c r="D67" s="3" t="s">
        <v>84</v>
      </c>
      <c r="E67" s="17" t="s">
        <v>91</v>
      </c>
      <c r="F67" s="1">
        <f t="shared" ref="F67:F95" si="6">G67/1.04+H67</f>
        <v>18000</v>
      </c>
      <c r="G67" s="1">
        <f t="shared" si="5"/>
        <v>16640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>
        <v>2080</v>
      </c>
      <c r="AI67" s="4"/>
      <c r="AJ67" s="4">
        <v>2080</v>
      </c>
      <c r="AK67" s="4"/>
      <c r="AL67" s="4"/>
      <c r="AM67" s="4"/>
    </row>
    <row r="68" s="3" customFormat="1" spans="1:39">
      <c r="A68" s="3">
        <v>66</v>
      </c>
      <c r="B68" s="16"/>
      <c r="D68" s="3" t="s">
        <v>84</v>
      </c>
      <c r="E68" s="17" t="s">
        <v>92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93</v>
      </c>
      <c r="E69" s="13" t="s">
        <v>94</v>
      </c>
      <c r="F69" s="1">
        <f t="shared" si="6"/>
        <v>17500</v>
      </c>
      <c r="G69" s="1">
        <f t="shared" si="5"/>
        <v>16640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>
        <v>1040</v>
      </c>
      <c r="AJ69" s="4"/>
      <c r="AK69" s="4">
        <v>1040</v>
      </c>
      <c r="AL69" s="4"/>
      <c r="AM69" s="4"/>
    </row>
    <row r="70" s="3" customFormat="1" spans="1:39">
      <c r="A70" s="3">
        <v>68</v>
      </c>
      <c r="D70" s="3" t="s">
        <v>93</v>
      </c>
      <c r="E70" s="13" t="s">
        <v>95</v>
      </c>
      <c r="F70" s="1">
        <f t="shared" si="6"/>
        <v>30000</v>
      </c>
      <c r="G70" s="1">
        <f t="shared" si="5"/>
        <v>31200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>
        <v>3120</v>
      </c>
      <c r="AH70" s="4"/>
      <c r="AI70" s="4"/>
      <c r="AJ70" s="4">
        <v>3120</v>
      </c>
      <c r="AK70" s="4"/>
      <c r="AL70" s="4"/>
      <c r="AM70" s="4"/>
    </row>
    <row r="71" s="3" customFormat="1" spans="1:39">
      <c r="A71" s="3">
        <v>69</v>
      </c>
      <c r="D71" s="3" t="s">
        <v>93</v>
      </c>
      <c r="E71" s="13" t="s">
        <v>96</v>
      </c>
      <c r="F71" s="1">
        <f t="shared" si="6"/>
        <v>24000</v>
      </c>
      <c r="G71" s="1">
        <f t="shared" si="5"/>
        <v>22880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>
        <v>2080</v>
      </c>
      <c r="AI71" s="4"/>
      <c r="AJ71" s="4"/>
      <c r="AK71" s="4"/>
      <c r="AL71" s="4"/>
      <c r="AM71" s="4"/>
    </row>
    <row r="72" s="3" customFormat="1" spans="1:39">
      <c r="A72" s="3">
        <v>70</v>
      </c>
      <c r="B72" s="16"/>
      <c r="E72" s="17" t="s">
        <v>97</v>
      </c>
      <c r="F72" s="1">
        <f t="shared" si="6"/>
        <v>49000</v>
      </c>
      <c r="G72" s="1">
        <f t="shared" si="5"/>
        <v>22880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>
        <v>2080</v>
      </c>
      <c r="AK72" s="4"/>
      <c r="AL72" s="4"/>
      <c r="AM72" s="4"/>
    </row>
    <row r="73" s="3" customFormat="1" spans="1:39">
      <c r="A73" s="3">
        <v>71</v>
      </c>
      <c r="B73" s="16"/>
      <c r="D73" s="3" t="s">
        <v>98</v>
      </c>
      <c r="E73" s="17" t="s">
        <v>99</v>
      </c>
      <c r="F73" s="1">
        <f t="shared" si="6"/>
        <v>6000</v>
      </c>
      <c r="G73" s="1">
        <f t="shared" si="5"/>
        <v>6240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>
        <v>1040</v>
      </c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6"/>
      <c r="E74" s="17" t="s">
        <v>100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6"/>
      <c r="D75" s="3" t="s">
        <v>101</v>
      </c>
      <c r="E75" s="17" t="s">
        <v>102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6"/>
      <c r="E76" s="17" t="s">
        <v>103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6"/>
      <c r="C77" s="3">
        <v>683879115</v>
      </c>
      <c r="D77" s="3" t="s">
        <v>104</v>
      </c>
      <c r="E77" s="17" t="s">
        <v>105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6"/>
      <c r="D78" s="3" t="s">
        <v>62</v>
      </c>
      <c r="E78" s="17" t="s">
        <v>106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6"/>
      <c r="E79" s="17" t="s">
        <v>107</v>
      </c>
      <c r="F79" s="1">
        <f t="shared" si="6"/>
        <v>7000</v>
      </c>
      <c r="G79" s="1">
        <f t="shared" si="7"/>
        <v>7280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>
        <v>3120</v>
      </c>
      <c r="AJ79" s="4"/>
      <c r="AK79" s="4"/>
      <c r="AL79" s="4"/>
      <c r="AM79" s="4"/>
    </row>
    <row r="80" s="3" customFormat="1" spans="1:39">
      <c r="A80" s="3">
        <v>78</v>
      </c>
      <c r="B80" s="16"/>
      <c r="D80" s="3" t="s">
        <v>62</v>
      </c>
      <c r="E80" s="17" t="s">
        <v>108</v>
      </c>
      <c r="F80" s="1">
        <f t="shared" si="6"/>
        <v>7000</v>
      </c>
      <c r="G80" s="1">
        <f t="shared" si="7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>
        <v>1040</v>
      </c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6"/>
      <c r="D81" s="3" t="s">
        <v>109</v>
      </c>
      <c r="E81" s="17" t="s">
        <v>110</v>
      </c>
      <c r="F81" s="1">
        <f t="shared" si="6"/>
        <v>8000</v>
      </c>
      <c r="G81" s="1">
        <f t="shared" si="7"/>
        <v>8320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>
        <v>2080</v>
      </c>
      <c r="AM81" s="4"/>
    </row>
    <row r="82" s="3" customFormat="1" spans="1:39">
      <c r="A82" s="3">
        <v>80</v>
      </c>
      <c r="B82" s="16"/>
      <c r="D82" s="3" t="s">
        <v>104</v>
      </c>
      <c r="E82" s="17" t="s">
        <v>111</v>
      </c>
      <c r="F82" s="1">
        <f t="shared" si="6"/>
        <v>35000</v>
      </c>
      <c r="G82" s="1">
        <f t="shared" si="7"/>
        <v>36400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>
        <v>5200</v>
      </c>
      <c r="AK82" s="4"/>
      <c r="AL82" s="4"/>
      <c r="AM82" s="4"/>
    </row>
    <row r="83" s="3" customFormat="1" spans="1:39">
      <c r="A83" s="3">
        <v>81</v>
      </c>
      <c r="B83" s="16"/>
      <c r="E83" s="17" t="s">
        <v>112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6"/>
      <c r="E84" s="17" t="s">
        <v>113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6"/>
      <c r="C85" s="3">
        <v>683909556</v>
      </c>
      <c r="E85" s="17" t="s">
        <v>114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6"/>
      <c r="E86" s="17" t="s">
        <v>115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116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117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118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104</v>
      </c>
      <c r="E90" s="13" t="s">
        <v>119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72</v>
      </c>
      <c r="E91" s="13" t="s">
        <v>120</v>
      </c>
      <c r="F91" s="1">
        <f t="shared" si="6"/>
        <v>15000</v>
      </c>
      <c r="G91" s="1">
        <f t="shared" si="7"/>
        <v>15600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>
        <v>5200</v>
      </c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121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122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123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80</v>
      </c>
      <c r="E95" s="3" t="s">
        <v>124</v>
      </c>
      <c r="F95" s="1">
        <f t="shared" si="6"/>
        <v>9000</v>
      </c>
      <c r="G95" s="1">
        <f t="shared" si="7"/>
        <v>9360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>
        <v>2080</v>
      </c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2021-01-30T01:47:58Z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