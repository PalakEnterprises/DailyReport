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'January-2021'!$A$1:$AM$94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L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H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5200-Auto</t>
        </r>
      </text>
    </comment>
    <comment ref="AC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F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F7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sharedStrings.xml><?xml version="1.0" encoding="utf-8"?>
<sst xmlns="http://schemas.openxmlformats.org/spreadsheetml/2006/main" count="192" uniqueCount="126">
  <si>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</si>
  <si>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</si>
  <si>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</si>
  <si>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</si>
  <si>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</si>
  <si>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</si>
  <si>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</si>
  <si>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</si>
  <si>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</si>
  <si>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</si>
  <si>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</si>
  <si>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</si>
  <si>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</si>
  <si>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</si>
  <si>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</si>
  <si>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</si>
  <si>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</si>
  <si>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</si>
  <si>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</si>
  <si>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</si>
  <si>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</si>
  <si>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</si>
  <si>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</si>
  <si>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</si>
  <si>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</si>
  <si>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</si>
  <si>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</si>
  <si>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</si>
  <si>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</si>
  <si>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</si>
  <si>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</si>
  <si>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</si>
  <si>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</si>
  <si>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</si>
  <si>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</si>
  <si>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</si>
  <si>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</si>
  <si>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</si>
  <si>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</si>
  <si>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</si>
  <si>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</si>
  <si>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</si>
  <si>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</si>
  <si>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</si>
  <si>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</si>
  <si>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</si>
  <si>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</si>
  <si>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</si>
  <si>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</si>
  <si>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</si>
  <si>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</si>
  <si>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</si>
  <si>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</si>
  <si>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</si>
  <si>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</si>
  <si>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</si>
  <si>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</si>
  <si>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</si>
  <si>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</si>
  <si>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Amit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</si>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</sst>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d\-mmm;@"/>
    <numFmt numFmtId="178" formatCode="_ * #,##0_ ;_ * \-#,##0_ ;_ * &quot;-&quot;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8" borderId="7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26" borderId="2" applyNumberForma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8" fillId="13" borderId="2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7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7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9"/>
  <sheetViews>
    <sheetView tabSelected="1" workbookViewId="0">
      <pane xSplit="7" ySplit="2" topLeftCell="AK62" activePane="bottomRight" state="frozen"/>
      <selection/>
      <selection pane="topRight"/>
      <selection pane="bottomLeft"/>
      <selection pane="bottomRight" activeCell="AO82" sqref="AO82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SUM(F3:F121)</f>
        <v>1515500</v>
      </c>
      <c r="C2" s="1"/>
      <c r="D2" s="10">
        <f>SUM(G3:G121)</f>
        <v>1452360</v>
      </c>
      <c r="E2" s="11" t="s">
        <v>8</v>
      </c>
      <c r="F2" s="9">
        <f>G2/1.04+H2</f>
        <v>1515500</v>
      </c>
      <c r="G2" s="10">
        <f t="shared" ref="G2:G16" si="0">SUM(I2:AM2)</f>
        <v>1452360</v>
      </c>
      <c r="H2" s="12">
        <f>SUM(H3:H121)</f>
        <v>119000</v>
      </c>
      <c r="I2" s="2">
        <f>SUM(I3:I121)</f>
        <v>48880</v>
      </c>
      <c r="J2" s="2">
        <f>SUM(J3:J121)</f>
        <v>52000</v>
      </c>
      <c r="K2" s="2">
        <f>SUM(K3:K121)</f>
        <v>29120</v>
      </c>
      <c r="L2" s="2">
        <f t="shared" ref="L2:AM2" si="1">SUM(L3:L121)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47840</v>
      </c>
      <c r="AG2" s="2">
        <f t="shared" si="1"/>
        <v>46800</v>
      </c>
      <c r="AH2" s="2">
        <f t="shared" si="1"/>
        <v>33280</v>
      </c>
      <c r="AI2" s="2">
        <f t="shared" si="1"/>
        <v>58240</v>
      </c>
      <c r="AJ2" s="2">
        <f t="shared" si="1"/>
        <v>57200</v>
      </c>
      <c r="AK2" s="2">
        <f t="shared" si="1"/>
        <v>35360</v>
      </c>
      <c r="AL2" s="2">
        <f t="shared" si="1"/>
        <v>42640</v>
      </c>
      <c r="AM2" s="2">
        <f t="shared" si="1"/>
        <v>23920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15000</v>
      </c>
      <c r="G3" s="1">
        <f t="shared" si="0"/>
        <v>12480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>
        <v>3120</v>
      </c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5500</v>
      </c>
      <c r="G4" s="1">
        <f t="shared" si="0"/>
        <v>5720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>
        <v>1040</v>
      </c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14000</v>
      </c>
      <c r="G5" s="1">
        <f t="shared" si="0"/>
        <v>14560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>
        <v>1040</v>
      </c>
      <c r="AI5" s="4">
        <v>1040</v>
      </c>
      <c r="AJ5" s="4"/>
      <c r="AK5" s="4"/>
      <c r="AL5" s="4">
        <v>1040</v>
      </c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28000</v>
      </c>
      <c r="G6" s="1">
        <f t="shared" si="0"/>
        <v>26000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>
        <v>5200</v>
      </c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77000</v>
      </c>
      <c r="G7" s="1">
        <f t="shared" si="0"/>
        <v>69680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>
        <v>2080</v>
      </c>
      <c r="AH7" s="4">
        <v>2080</v>
      </c>
      <c r="AI7" s="4">
        <v>4160</v>
      </c>
      <c r="AJ7" s="4"/>
      <c r="AK7" s="4">
        <v>4160</v>
      </c>
      <c r="AL7" s="4">
        <v>4160</v>
      </c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6000</v>
      </c>
      <c r="G8" s="1">
        <f t="shared" si="0"/>
        <v>6240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8000</v>
      </c>
      <c r="G9" s="1">
        <f t="shared" si="0"/>
        <v>8320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>
        <v>2080</v>
      </c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40000</v>
      </c>
      <c r="G10" s="1">
        <f t="shared" si="0"/>
        <v>41600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>
        <v>5200</v>
      </c>
      <c r="AG10" s="4"/>
      <c r="AH10" s="4"/>
      <c r="AI10" s="4"/>
      <c r="AJ10" s="4">
        <v>5200</v>
      </c>
      <c r="AK10" s="4"/>
      <c r="AL10" s="4">
        <v>5200</v>
      </c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18000</v>
      </c>
      <c r="G11" s="1">
        <f t="shared" si="0"/>
        <v>16640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>
        <v>2080</v>
      </c>
      <c r="AI11" s="4"/>
      <c r="AJ11" s="4"/>
      <c r="AK11" s="4"/>
      <c r="AL11" s="4">
        <v>2080</v>
      </c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8000</v>
      </c>
      <c r="G12" s="1">
        <f t="shared" si="0"/>
        <v>8320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>
        <v>1040</v>
      </c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35000</v>
      </c>
      <c r="G13" s="1">
        <f t="shared" si="0"/>
        <v>36400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>
        <v>5200</v>
      </c>
      <c r="AH13" s="4"/>
      <c r="AI13" s="4"/>
      <c r="AJ13" s="4"/>
      <c r="AK13" s="4">
        <v>5200</v>
      </c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60000</v>
      </c>
      <c r="G14" s="1">
        <f t="shared" si="0"/>
        <v>57200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>
        <v>5200</v>
      </c>
      <c r="AH14" s="4"/>
      <c r="AI14" s="4">
        <v>5200</v>
      </c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14000</v>
      </c>
      <c r="G15" s="1">
        <f t="shared" si="0"/>
        <v>14560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>
        <v>2080</v>
      </c>
      <c r="AH15" s="4"/>
      <c r="AI15" s="4"/>
      <c r="AJ15" s="4">
        <v>2080</v>
      </c>
      <c r="AK15" s="4">
        <v>2080</v>
      </c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5500</v>
      </c>
      <c r="G16" s="1">
        <f t="shared" si="0"/>
        <v>5200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>
        <v>1040</v>
      </c>
      <c r="AG16" s="4"/>
      <c r="AH16" s="4"/>
      <c r="AI16" s="4"/>
      <c r="AJ16" s="4">
        <v>1040</v>
      </c>
      <c r="AK16" s="4"/>
      <c r="AL16" s="4">
        <v>1040</v>
      </c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21000</v>
      </c>
      <c r="G17" s="1">
        <f t="shared" ref="G17:G39" si="3">SUM(I17:AM17)</f>
        <v>21840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>
        <v>3120</v>
      </c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25000</v>
      </c>
      <c r="G18" s="1">
        <f t="shared" si="3"/>
        <v>20800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>
        <v>5200</v>
      </c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14000</v>
      </c>
      <c r="G19" s="1">
        <f t="shared" si="3"/>
        <v>14560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>
        <v>2080</v>
      </c>
      <c r="AE19" s="4"/>
      <c r="AF19" s="4"/>
      <c r="AG19" s="4"/>
      <c r="AH19" s="4">
        <v>2080</v>
      </c>
      <c r="AI19" s="4">
        <v>2080</v>
      </c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8000</v>
      </c>
      <c r="G20" s="1">
        <f t="shared" si="3"/>
        <v>8320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>
        <v>1040</v>
      </c>
      <c r="AI20" s="4"/>
      <c r="AJ20" s="4"/>
      <c r="AK20" s="4"/>
      <c r="AL20" s="4">
        <v>1040</v>
      </c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30000</v>
      </c>
      <c r="G21" s="1">
        <f t="shared" si="3"/>
        <v>26000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>
        <v>5200</v>
      </c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10000</v>
      </c>
      <c r="G22" s="1">
        <f t="shared" si="3"/>
        <v>10400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>
        <v>1040</v>
      </c>
      <c r="AJ22" s="4"/>
      <c r="AK22" s="4"/>
      <c r="AL22" s="4">
        <v>1040</v>
      </c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18000</v>
      </c>
      <c r="G23" s="1">
        <f t="shared" si="3"/>
        <v>18720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>
        <v>3120</v>
      </c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35000</v>
      </c>
      <c r="G24" s="1">
        <f t="shared" si="3"/>
        <v>31200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>
        <v>5200</v>
      </c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30000</v>
      </c>
      <c r="G25" s="1">
        <f t="shared" si="3"/>
        <v>28080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>
        <v>3120</v>
      </c>
      <c r="AI25" s="4">
        <v>3120</v>
      </c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14500</v>
      </c>
      <c r="G26" s="1">
        <f t="shared" si="3"/>
        <v>14560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>
        <v>2080</v>
      </c>
      <c r="AJ26" s="4"/>
      <c r="AK26" s="4"/>
      <c r="AL26" s="4">
        <v>2080</v>
      </c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6000</v>
      </c>
      <c r="G27" s="1">
        <f t="shared" si="3"/>
        <v>6240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8000</v>
      </c>
      <c r="G28" s="1">
        <f t="shared" si="3"/>
        <v>8320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>
        <v>2080</v>
      </c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21000</v>
      </c>
      <c r="G29" s="1">
        <f t="shared" si="3"/>
        <v>21840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19">
        <v>6240</v>
      </c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55000</v>
      </c>
      <c r="G30" s="1">
        <f t="shared" si="3"/>
        <v>52000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>
        <v>5200</v>
      </c>
      <c r="AH30" s="4"/>
      <c r="AI30" s="4"/>
      <c r="AJ30" s="4">
        <v>5200</v>
      </c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10000</v>
      </c>
      <c r="G31" s="1">
        <f t="shared" si="3"/>
        <v>10400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>
        <v>2080</v>
      </c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9000</v>
      </c>
      <c r="G32" s="1">
        <f t="shared" si="3"/>
        <v>8320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>
        <v>1040</v>
      </c>
      <c r="AL32" s="4">
        <v>1040</v>
      </c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6000</v>
      </c>
      <c r="G33" s="1">
        <f t="shared" si="3"/>
        <v>6240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>
        <v>1040</v>
      </c>
      <c r="AH33" s="4"/>
      <c r="AI33" s="4"/>
      <c r="AJ33" s="4"/>
      <c r="AK33" s="4">
        <v>1040</v>
      </c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11000</v>
      </c>
      <c r="G34" s="1">
        <f t="shared" si="3"/>
        <v>10400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>
        <v>2080</v>
      </c>
      <c r="AG34" s="4"/>
      <c r="AH34" s="4"/>
      <c r="AI34" s="4"/>
      <c r="AJ34" s="4"/>
      <c r="AK34" s="4"/>
      <c r="AL34" s="4">
        <v>2080</v>
      </c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7" si="4">G35/1.04+H35</f>
        <v>33000</v>
      </c>
      <c r="G35" s="1">
        <f t="shared" si="3"/>
        <v>34320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>
        <v>3120</v>
      </c>
      <c r="AG35" s="4"/>
      <c r="AH35" s="4"/>
      <c r="AI35" s="4">
        <v>3120</v>
      </c>
      <c r="AK35" s="4">
        <v>3120</v>
      </c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4000</v>
      </c>
      <c r="G36" s="1">
        <f t="shared" si="3"/>
        <v>4160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>
        <v>1040</v>
      </c>
      <c r="AG36" s="4"/>
      <c r="AH36" s="4"/>
      <c r="AI36" s="4"/>
      <c r="AJ36" s="4"/>
      <c r="AK36" s="4">
        <v>1040</v>
      </c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24000</v>
      </c>
      <c r="G37" s="1">
        <f t="shared" si="3"/>
        <v>21840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>
        <v>3120</v>
      </c>
      <c r="AH37" s="4"/>
      <c r="AI37" s="4">
        <v>3120</v>
      </c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6000</v>
      </c>
      <c r="G38" s="1">
        <f t="shared" si="3"/>
        <v>6240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19">
        <v>2080</v>
      </c>
      <c r="AF38" s="4"/>
      <c r="AG38" s="4"/>
      <c r="AH38" s="4"/>
      <c r="AI38" s="4"/>
      <c r="AJ38" s="4"/>
      <c r="AK38" s="4"/>
      <c r="AL38" s="4"/>
      <c r="AM38" s="4">
        <v>2080</v>
      </c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16000</v>
      </c>
      <c r="G39" s="1">
        <f t="shared" si="3"/>
        <v>16640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>
        <v>2080</v>
      </c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10000</v>
      </c>
      <c r="G40" s="1">
        <f>SUM(J40:AM40)</f>
        <v>10400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>
        <v>2080</v>
      </c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36000</v>
      </c>
      <c r="G41" s="1">
        <f t="shared" ref="G41:G53" si="5">SUM(I41:AM41)</f>
        <v>34320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>
        <v>3120</v>
      </c>
      <c r="AH41" s="4"/>
      <c r="AI41" s="4"/>
      <c r="AJ41" s="4">
        <v>3120</v>
      </c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6000</v>
      </c>
      <c r="G42" s="1">
        <f t="shared" si="5"/>
        <v>6240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>
        <v>2080</v>
      </c>
      <c r="AL42" s="4"/>
      <c r="AM42" s="4"/>
    </row>
    <row r="43" s="3" customFormat="1" spans="1:39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1040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>
        <v>1040</v>
      </c>
      <c r="AM43" s="4"/>
    </row>
    <row r="44" s="3" customFormat="1" spans="1:39">
      <c r="A44" s="3">
        <v>42</v>
      </c>
      <c r="D44" s="3" t="s">
        <v>47</v>
      </c>
      <c r="E44" s="13" t="s">
        <v>61</v>
      </c>
      <c r="F44" s="1">
        <f t="shared" si="4"/>
        <v>27000</v>
      </c>
      <c r="G44" s="1">
        <f t="shared" si="5"/>
        <v>24960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>
        <v>3120</v>
      </c>
      <c r="AG44" s="4"/>
      <c r="AH44" s="4"/>
      <c r="AI44" s="4"/>
      <c r="AJ44" s="4">
        <v>3120</v>
      </c>
      <c r="AK44" s="4"/>
      <c r="AL44" s="4"/>
      <c r="AM44" s="4"/>
    </row>
    <row r="45" s="3" customFormat="1" spans="1:39">
      <c r="A45" s="3">
        <v>43</v>
      </c>
      <c r="D45" s="3" t="s">
        <v>62</v>
      </c>
      <c r="E45" s="13" t="s">
        <v>63</v>
      </c>
      <c r="F45" s="1">
        <f t="shared" si="4"/>
        <v>27000</v>
      </c>
      <c r="G45" s="1">
        <f t="shared" si="5"/>
        <v>24960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>
        <v>3120</v>
      </c>
      <c r="AJ45" s="4"/>
      <c r="AK45" s="4"/>
      <c r="AL45" s="4"/>
      <c r="AM45" s="4">
        <v>3120</v>
      </c>
    </row>
    <row r="46" s="3" customFormat="1" spans="1:39">
      <c r="A46" s="3">
        <v>44</v>
      </c>
      <c r="D46" s="3" t="s">
        <v>62</v>
      </c>
      <c r="E46" s="13" t="s">
        <v>64</v>
      </c>
      <c r="F46" s="1">
        <f t="shared" si="4"/>
        <v>18000</v>
      </c>
      <c r="G46" s="1">
        <f t="shared" si="5"/>
        <v>18720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>
        <v>3120</v>
      </c>
      <c r="AJ46" s="4"/>
      <c r="AK46" s="4"/>
      <c r="AL46" s="4"/>
      <c r="AM46" s="4"/>
    </row>
    <row r="47" s="3" customFormat="1" spans="1:39">
      <c r="A47" s="3">
        <v>45</v>
      </c>
      <c r="D47" s="3" t="s">
        <v>62</v>
      </c>
      <c r="E47" s="13" t="s">
        <v>65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62</v>
      </c>
      <c r="E48" s="13" t="s">
        <v>66</v>
      </c>
      <c r="F48" s="1">
        <f t="shared" si="4"/>
        <v>30000</v>
      </c>
      <c r="G48" s="1">
        <f t="shared" si="5"/>
        <v>28080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>
        <v>3120</v>
      </c>
      <c r="AH48" s="4"/>
      <c r="AI48" s="4"/>
      <c r="AJ48" s="4">
        <v>3120</v>
      </c>
      <c r="AK48" s="4"/>
      <c r="AL48" s="4"/>
      <c r="AM48" s="4">
        <v>3120</v>
      </c>
    </row>
    <row r="49" s="3" customFormat="1" spans="1:39">
      <c r="A49" s="3">
        <v>47</v>
      </c>
      <c r="D49" s="3" t="s">
        <v>62</v>
      </c>
      <c r="E49" s="13" t="s">
        <v>67</v>
      </c>
      <c r="F49" s="1">
        <f t="shared" si="4"/>
        <v>30000</v>
      </c>
      <c r="G49" s="1">
        <f t="shared" si="5"/>
        <v>28080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>
        <v>3120</v>
      </c>
      <c r="AG49" s="4"/>
      <c r="AH49" s="4"/>
      <c r="AI49" s="4">
        <v>3120</v>
      </c>
      <c r="AJ49" s="4"/>
      <c r="AK49" s="4"/>
      <c r="AL49" s="4"/>
      <c r="AM49" s="4">
        <v>3120</v>
      </c>
    </row>
    <row r="50" s="3" customFormat="1" spans="1:39">
      <c r="A50" s="3">
        <v>48</v>
      </c>
      <c r="D50" s="3" t="s">
        <v>62</v>
      </c>
      <c r="E50" s="13" t="s">
        <v>68</v>
      </c>
      <c r="F50" s="1">
        <f t="shared" si="4"/>
        <v>8000</v>
      </c>
      <c r="G50" s="1">
        <f t="shared" si="5"/>
        <v>6240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62</v>
      </c>
      <c r="E51" s="13" t="s">
        <v>69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62</v>
      </c>
      <c r="E52" s="13" t="s">
        <v>70</v>
      </c>
      <c r="F52" s="1">
        <f t="shared" si="4"/>
        <v>21000</v>
      </c>
      <c r="G52" s="1">
        <f t="shared" si="5"/>
        <v>18720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>
        <v>1040</v>
      </c>
      <c r="AG52" s="4"/>
      <c r="AH52" s="4"/>
      <c r="AI52" s="4">
        <v>1040</v>
      </c>
      <c r="AJ52" s="4"/>
      <c r="AK52" s="4"/>
      <c r="AL52" s="4">
        <v>1040</v>
      </c>
      <c r="AM52" s="4"/>
    </row>
    <row r="53" s="3" customFormat="1" spans="1:38">
      <c r="A53" s="3">
        <v>51</v>
      </c>
      <c r="D53" s="3" t="s">
        <v>62</v>
      </c>
      <c r="E53" s="13" t="s">
        <v>71</v>
      </c>
      <c r="F53" s="1">
        <f t="shared" si="4"/>
        <v>2000</v>
      </c>
      <c r="G53" s="1">
        <f t="shared" si="5"/>
        <v>2080</v>
      </c>
      <c r="H53" s="14">
        <v>0</v>
      </c>
      <c r="AL53" s="19">
        <v>2080</v>
      </c>
    </row>
    <row r="54" s="3" customFormat="1" spans="1:39">
      <c r="A54" s="3">
        <v>52</v>
      </c>
      <c r="B54" s="16"/>
      <c r="D54" s="3" t="s">
        <v>62</v>
      </c>
      <c r="E54" s="17" t="s">
        <v>72</v>
      </c>
      <c r="F54" s="1">
        <f t="shared" si="4"/>
        <v>19000</v>
      </c>
      <c r="G54" s="1">
        <f t="shared" ref="G54:G74" si="6">SUM(I54:AM54)</f>
        <v>18720</v>
      </c>
      <c r="H54" s="14">
        <v>1000</v>
      </c>
      <c r="I54" s="4"/>
      <c r="J54" s="4"/>
      <c r="K54" s="4">
        <v>1040</v>
      </c>
      <c r="L54" s="4"/>
      <c r="M54" s="4">
        <v>1040</v>
      </c>
      <c r="N54" s="4"/>
      <c r="O54" s="4">
        <v>1040</v>
      </c>
      <c r="P54" s="4"/>
      <c r="Q54" s="4"/>
      <c r="R54" s="4">
        <v>1040</v>
      </c>
      <c r="S54" s="4"/>
      <c r="T54" s="4"/>
      <c r="U54" s="4">
        <v>1040</v>
      </c>
      <c r="V54" s="4">
        <v>1040</v>
      </c>
      <c r="W54" s="4"/>
      <c r="X54" s="4">
        <v>1040</v>
      </c>
      <c r="Y54" s="4"/>
      <c r="Z54" s="4">
        <v>1040</v>
      </c>
      <c r="AA54" s="4">
        <v>1040</v>
      </c>
      <c r="AB54" s="4">
        <v>1040</v>
      </c>
      <c r="AC54" s="4">
        <v>2080</v>
      </c>
      <c r="AD54" s="4">
        <v>1040</v>
      </c>
      <c r="AE54" s="4">
        <v>1040</v>
      </c>
      <c r="AF54" s="4">
        <v>2080</v>
      </c>
      <c r="AG54" s="4"/>
      <c r="AH54" s="4"/>
      <c r="AI54" s="4">
        <v>1040</v>
      </c>
      <c r="AJ54" s="4"/>
      <c r="AK54" s="4"/>
      <c r="AL54" s="4">
        <v>1040</v>
      </c>
      <c r="AM54" s="4"/>
    </row>
    <row r="55" s="3" customFormat="1" spans="1:39">
      <c r="A55" s="3">
        <v>53</v>
      </c>
      <c r="D55" s="3" t="s">
        <v>73</v>
      </c>
      <c r="E55" s="13" t="s">
        <v>74</v>
      </c>
      <c r="F55" s="1">
        <f t="shared" si="4"/>
        <v>12000</v>
      </c>
      <c r="G55" s="1">
        <f t="shared" si="6"/>
        <v>10400</v>
      </c>
      <c r="H55" s="14">
        <v>2000</v>
      </c>
      <c r="I55" s="4"/>
      <c r="J55" s="4"/>
      <c r="K55" s="4"/>
      <c r="L55" s="4">
        <v>2080</v>
      </c>
      <c r="M55" s="4"/>
      <c r="N55" s="4"/>
      <c r="O55" s="4"/>
      <c r="P55" s="4"/>
      <c r="Q55" s="4"/>
      <c r="R55" s="4"/>
      <c r="S55" s="4">
        <v>2080</v>
      </c>
      <c r="T55" s="4"/>
      <c r="U55" s="4"/>
      <c r="V55" s="4"/>
      <c r="W55" s="4"/>
      <c r="X55" s="4"/>
      <c r="Y55" s="4">
        <v>2080</v>
      </c>
      <c r="Z55" s="4"/>
      <c r="AA55" s="4"/>
      <c r="AB55" s="4"/>
      <c r="AC55" s="4"/>
      <c r="AD55" s="4"/>
      <c r="AE55" s="4"/>
      <c r="AF55" s="4">
        <v>2080</v>
      </c>
      <c r="AG55" s="4"/>
      <c r="AH55" s="4"/>
      <c r="AI55" s="4">
        <v>2080</v>
      </c>
      <c r="AJ55" s="4"/>
      <c r="AK55" s="4"/>
      <c r="AL55" s="4"/>
      <c r="AM55" s="4"/>
    </row>
    <row r="56" s="3" customFormat="1" spans="1:39">
      <c r="A56" s="3">
        <v>54</v>
      </c>
      <c r="D56" s="3" t="s">
        <v>73</v>
      </c>
      <c r="E56" s="13" t="s">
        <v>75</v>
      </c>
      <c r="F56" s="1">
        <f t="shared" si="4"/>
        <v>40000</v>
      </c>
      <c r="G56" s="1">
        <f t="shared" si="6"/>
        <v>41600</v>
      </c>
      <c r="H56" s="14">
        <v>0</v>
      </c>
      <c r="I56" s="4"/>
      <c r="J56" s="4">
        <v>5200</v>
      </c>
      <c r="K56" s="4"/>
      <c r="L56" s="4"/>
      <c r="M56" s="4">
        <v>5200</v>
      </c>
      <c r="N56" s="4"/>
      <c r="O56" s="4"/>
      <c r="P56" s="4"/>
      <c r="Q56" s="4"/>
      <c r="R56" s="4">
        <v>5200</v>
      </c>
      <c r="S56" s="4"/>
      <c r="T56" s="4"/>
      <c r="U56" s="4"/>
      <c r="V56" s="4">
        <v>5200</v>
      </c>
      <c r="W56" s="4"/>
      <c r="X56" s="4"/>
      <c r="Y56" s="4"/>
      <c r="Z56" s="4">
        <v>5200</v>
      </c>
      <c r="AA56" s="4"/>
      <c r="AB56" s="4"/>
      <c r="AC56" s="4">
        <v>5200</v>
      </c>
      <c r="AD56" s="4"/>
      <c r="AE56" s="4"/>
      <c r="AF56" s="4"/>
      <c r="AG56" s="4">
        <v>5200</v>
      </c>
      <c r="AH56" s="4"/>
      <c r="AI56" s="4"/>
      <c r="AJ56" s="4"/>
      <c r="AK56" s="4">
        <v>5200</v>
      </c>
      <c r="AL56" s="4"/>
      <c r="AM56" s="4"/>
    </row>
    <row r="57" s="3" customFormat="1" spans="1:39">
      <c r="A57" s="3">
        <v>55</v>
      </c>
      <c r="D57" s="3" t="s">
        <v>73</v>
      </c>
      <c r="E57" s="13" t="s">
        <v>76</v>
      </c>
      <c r="F57" s="1">
        <f t="shared" si="4"/>
        <v>8000</v>
      </c>
      <c r="G57" s="1">
        <f t="shared" si="6"/>
        <v>8320</v>
      </c>
      <c r="H57" s="14">
        <v>0</v>
      </c>
      <c r="I57" s="4"/>
      <c r="J57" s="4"/>
      <c r="K57" s="4"/>
      <c r="L57" s="4"/>
      <c r="M57" s="4"/>
      <c r="N57" s="4">
        <v>2080</v>
      </c>
      <c r="O57" s="4"/>
      <c r="P57" s="4"/>
      <c r="Q57" s="4"/>
      <c r="R57" s="4"/>
      <c r="S57" s="4"/>
      <c r="T57" s="4"/>
      <c r="U57" s="4"/>
      <c r="V57" s="4">
        <v>2080</v>
      </c>
      <c r="W57" s="4"/>
      <c r="X57" s="4"/>
      <c r="Y57" s="4"/>
      <c r="Z57" s="4"/>
      <c r="AA57" s="4"/>
      <c r="AB57" s="4">
        <v>2080</v>
      </c>
      <c r="AC57" s="4"/>
      <c r="AD57" s="4"/>
      <c r="AE57" s="4"/>
      <c r="AF57" s="4"/>
      <c r="AG57" s="4">
        <v>2080</v>
      </c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B58" s="16"/>
      <c r="D58" s="3" t="s">
        <v>77</v>
      </c>
      <c r="E58" s="17" t="s">
        <v>78</v>
      </c>
      <c r="F58" s="1">
        <f t="shared" si="4"/>
        <v>45000</v>
      </c>
      <c r="G58" s="1">
        <f t="shared" si="6"/>
        <v>41600</v>
      </c>
      <c r="H58" s="14">
        <v>5000</v>
      </c>
      <c r="I58" s="4"/>
      <c r="J58" s="4">
        <v>5200</v>
      </c>
      <c r="K58" s="4"/>
      <c r="L58" s="4"/>
      <c r="M58" s="4"/>
      <c r="N58" s="4">
        <v>5200</v>
      </c>
      <c r="O58" s="4"/>
      <c r="P58" s="4"/>
      <c r="Q58" s="4"/>
      <c r="R58" s="4"/>
      <c r="S58" s="4">
        <v>5200</v>
      </c>
      <c r="T58" s="4"/>
      <c r="U58" s="4"/>
      <c r="V58" s="4">
        <v>5200</v>
      </c>
      <c r="W58" s="4"/>
      <c r="X58" s="4"/>
      <c r="Y58" s="4"/>
      <c r="Z58" s="4">
        <v>5200</v>
      </c>
      <c r="AA58" s="4"/>
      <c r="AB58" s="4"/>
      <c r="AC58" s="4">
        <v>5200</v>
      </c>
      <c r="AD58" s="4"/>
      <c r="AE58" s="4"/>
      <c r="AF58" s="4"/>
      <c r="AG58" s="4"/>
      <c r="AH58" s="4"/>
      <c r="AI58" s="4">
        <v>5200</v>
      </c>
      <c r="AJ58" s="4"/>
      <c r="AK58" s="4"/>
      <c r="AL58" s="4"/>
      <c r="AM58" s="4">
        <v>5200</v>
      </c>
    </row>
    <row r="59" s="3" customFormat="1" spans="1:39">
      <c r="A59" s="3">
        <v>57</v>
      </c>
      <c r="C59" s="15" t="s">
        <v>79</v>
      </c>
      <c r="D59" s="3" t="s">
        <v>77</v>
      </c>
      <c r="E59" s="13" t="s">
        <v>80</v>
      </c>
      <c r="F59" s="1">
        <f t="shared" si="4"/>
        <v>10000</v>
      </c>
      <c r="G59" s="1">
        <f t="shared" si="6"/>
        <v>10400</v>
      </c>
      <c r="H59" s="14">
        <v>0</v>
      </c>
      <c r="I59" s="4"/>
      <c r="J59" s="4"/>
      <c r="K59" s="4"/>
      <c r="L59" s="19">
        <v>5200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>
        <v>5200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6"/>
      <c r="D60" s="3" t="s">
        <v>81</v>
      </c>
      <c r="E60" s="17" t="s">
        <v>82</v>
      </c>
      <c r="F60" s="1">
        <f t="shared" si="4"/>
        <v>23000</v>
      </c>
      <c r="G60" s="1">
        <f t="shared" si="6"/>
        <v>22880</v>
      </c>
      <c r="H60" s="14">
        <v>1000</v>
      </c>
      <c r="I60" s="4">
        <v>2080</v>
      </c>
      <c r="J60" s="4"/>
      <c r="K60" s="4">
        <v>2080</v>
      </c>
      <c r="L60" s="4"/>
      <c r="M60" s="4">
        <v>2080</v>
      </c>
      <c r="N60" s="4"/>
      <c r="O60" s="4"/>
      <c r="P60" s="4">
        <v>2080</v>
      </c>
      <c r="Q60" s="4"/>
      <c r="R60" s="4"/>
      <c r="S60" s="4">
        <v>2080</v>
      </c>
      <c r="T60" s="4"/>
      <c r="U60" s="4"/>
      <c r="V60" s="4"/>
      <c r="W60" s="4">
        <v>2080</v>
      </c>
      <c r="X60" s="4"/>
      <c r="Y60" s="4"/>
      <c r="Z60" s="4"/>
      <c r="AA60" s="4">
        <v>2080</v>
      </c>
      <c r="AB60" s="4"/>
      <c r="AC60" s="4">
        <v>2080</v>
      </c>
      <c r="AD60" s="4">
        <v>2080</v>
      </c>
      <c r="AE60" s="4"/>
      <c r="AF60" s="4"/>
      <c r="AG60" s="4">
        <v>2080</v>
      </c>
      <c r="AH60" s="4"/>
      <c r="AI60" s="4"/>
      <c r="AJ60" s="4"/>
      <c r="AK60" s="4"/>
      <c r="AL60" s="4">
        <v>2080</v>
      </c>
      <c r="AM60" s="4"/>
    </row>
    <row r="61" s="3" customFormat="1" spans="1:39">
      <c r="A61" s="3">
        <v>59</v>
      </c>
      <c r="B61" s="16"/>
      <c r="D61" s="3" t="s">
        <v>83</v>
      </c>
      <c r="E61" s="17" t="s">
        <v>84</v>
      </c>
      <c r="F61" s="1">
        <f t="shared" si="4"/>
        <v>8000</v>
      </c>
      <c r="G61" s="1">
        <f t="shared" si="6"/>
        <v>6240</v>
      </c>
      <c r="H61" s="14">
        <v>2000</v>
      </c>
      <c r="I61" s="4"/>
      <c r="J61" s="4"/>
      <c r="K61" s="4"/>
      <c r="L61" s="4"/>
      <c r="M61" s="4"/>
      <c r="N61" s="4"/>
      <c r="O61" s="4">
        <v>2080</v>
      </c>
      <c r="P61" s="4"/>
      <c r="Q61" s="4"/>
      <c r="R61" s="4"/>
      <c r="S61" s="4"/>
      <c r="T61" s="4"/>
      <c r="U61" s="4"/>
      <c r="V61" s="4"/>
      <c r="W61" s="4">
        <v>2080</v>
      </c>
      <c r="X61" s="4"/>
      <c r="Y61" s="4"/>
      <c r="Z61" s="4"/>
      <c r="AA61" s="4"/>
      <c r="AB61" s="4"/>
      <c r="AC61" s="4"/>
      <c r="AD61" s="4"/>
      <c r="AE61" s="4">
        <v>2080</v>
      </c>
      <c r="AF61" s="4"/>
      <c r="AG61" s="4"/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85</v>
      </c>
      <c r="E62" s="13" t="s">
        <v>86</v>
      </c>
      <c r="F62" s="1">
        <f t="shared" si="4"/>
        <v>16000</v>
      </c>
      <c r="G62" s="1">
        <f t="shared" si="6"/>
        <v>16640</v>
      </c>
      <c r="H62" s="14">
        <v>0</v>
      </c>
      <c r="I62" s="4"/>
      <c r="J62" s="4"/>
      <c r="K62" s="4">
        <v>2080</v>
      </c>
      <c r="L62" s="4"/>
      <c r="M62" s="4"/>
      <c r="N62" s="4"/>
      <c r="O62" s="4">
        <v>2080</v>
      </c>
      <c r="P62" s="4"/>
      <c r="Q62" s="4"/>
      <c r="R62" s="4">
        <v>2080</v>
      </c>
      <c r="T62" s="4"/>
      <c r="U62" s="4"/>
      <c r="V62" s="4"/>
      <c r="W62" s="4">
        <v>2080</v>
      </c>
      <c r="X62" s="4"/>
      <c r="Y62" s="4">
        <v>2080</v>
      </c>
      <c r="Z62" s="4"/>
      <c r="AA62" s="4"/>
      <c r="AB62" s="4"/>
      <c r="AC62" s="4"/>
      <c r="AD62" s="4"/>
      <c r="AE62" s="19">
        <v>2080</v>
      </c>
      <c r="AF62" s="4"/>
      <c r="AG62" s="4">
        <v>2080</v>
      </c>
      <c r="AH62" s="4"/>
      <c r="AI62" s="4"/>
      <c r="AJ62" s="4"/>
      <c r="AK62" s="4">
        <v>2080</v>
      </c>
      <c r="AL62" s="4"/>
      <c r="AM62" s="4"/>
    </row>
    <row r="63" s="3" customFormat="1" spans="1:39">
      <c r="A63" s="3">
        <v>61</v>
      </c>
      <c r="D63" s="3" t="s">
        <v>85</v>
      </c>
      <c r="E63" s="13" t="s">
        <v>87</v>
      </c>
      <c r="F63" s="1">
        <f t="shared" si="4"/>
        <v>12000</v>
      </c>
      <c r="G63" s="1">
        <f t="shared" si="6"/>
        <v>12480</v>
      </c>
      <c r="H63" s="14">
        <v>0</v>
      </c>
      <c r="I63" s="4"/>
      <c r="J63" s="4">
        <v>2080</v>
      </c>
      <c r="K63" s="4"/>
      <c r="L63" s="4"/>
      <c r="M63" s="4"/>
      <c r="N63" s="4">
        <v>2080</v>
      </c>
      <c r="O63" s="4"/>
      <c r="P63" s="4"/>
      <c r="Q63" s="4"/>
      <c r="R63" s="4"/>
      <c r="S63" s="4">
        <v>2080</v>
      </c>
      <c r="T63" s="4"/>
      <c r="U63" s="4"/>
      <c r="V63" s="4">
        <v>2080</v>
      </c>
      <c r="W63" s="4"/>
      <c r="X63" s="4"/>
      <c r="Y63" s="4"/>
      <c r="Z63" s="4"/>
      <c r="AA63" s="4"/>
      <c r="AB63" s="4">
        <v>2080</v>
      </c>
      <c r="AC63" s="4"/>
      <c r="AD63" s="4"/>
      <c r="AE63" s="4"/>
      <c r="AF63" s="4"/>
      <c r="AG63" s="4"/>
      <c r="AH63" s="4"/>
      <c r="AI63" s="4"/>
      <c r="AJ63" s="4">
        <v>2080</v>
      </c>
      <c r="AK63" s="4"/>
      <c r="AL63" s="4"/>
      <c r="AM63" s="4"/>
    </row>
    <row r="64" s="3" customFormat="1" spans="1:39">
      <c r="A64" s="3">
        <v>62</v>
      </c>
      <c r="D64" s="3" t="s">
        <v>85</v>
      </c>
      <c r="E64" s="13" t="s">
        <v>88</v>
      </c>
      <c r="F64" s="1">
        <f t="shared" si="4"/>
        <v>6000</v>
      </c>
      <c r="G64" s="1">
        <f t="shared" si="6"/>
        <v>6240</v>
      </c>
      <c r="H64" s="14">
        <v>0</v>
      </c>
      <c r="I64" s="4"/>
      <c r="J64" s="4"/>
      <c r="K64" s="4"/>
      <c r="L64" s="4">
        <v>2080</v>
      </c>
      <c r="M64" s="4"/>
      <c r="N64" s="4"/>
      <c r="O64" s="4"/>
      <c r="P64" s="4"/>
      <c r="Q64" s="4"/>
      <c r="R64" s="4"/>
      <c r="S64" s="4"/>
      <c r="T64" s="4">
        <v>2080</v>
      </c>
      <c r="U64" s="4"/>
      <c r="V64" s="4"/>
      <c r="W64" s="4"/>
      <c r="X64" s="4"/>
      <c r="Y64" s="4"/>
      <c r="Z64" s="4"/>
      <c r="AA64" s="4"/>
      <c r="AB64" s="4"/>
      <c r="AC64" s="4"/>
      <c r="AD64" s="4">
        <v>2080</v>
      </c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85</v>
      </c>
      <c r="E65" s="13" t="s">
        <v>89</v>
      </c>
      <c r="F65" s="1">
        <f t="shared" si="4"/>
        <v>3000</v>
      </c>
      <c r="G65" s="1">
        <f t="shared" si="6"/>
        <v>3120</v>
      </c>
      <c r="H65" s="14">
        <v>0</v>
      </c>
      <c r="I65" s="4"/>
      <c r="J65" s="4"/>
      <c r="K65" s="4"/>
      <c r="L65" s="4"/>
      <c r="M65" s="4"/>
      <c r="N65" s="4"/>
      <c r="O65" s="4">
        <v>1040</v>
      </c>
      <c r="P65" s="4"/>
      <c r="Q65" s="4"/>
      <c r="R65" s="4"/>
      <c r="S65" s="4"/>
      <c r="T65" s="4"/>
      <c r="U65" s="4"/>
      <c r="V65" s="4"/>
      <c r="W65" s="4">
        <v>1040</v>
      </c>
      <c r="X65" s="4"/>
      <c r="Y65" s="4"/>
      <c r="Z65" s="4"/>
      <c r="AA65" s="4"/>
      <c r="AB65" s="4"/>
      <c r="AC65" s="4">
        <v>1040</v>
      </c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85</v>
      </c>
      <c r="E66" s="13" t="s">
        <v>90</v>
      </c>
      <c r="F66" s="1">
        <f t="shared" si="4"/>
        <v>55000</v>
      </c>
      <c r="G66" s="1">
        <f t="shared" si="6"/>
        <v>57200</v>
      </c>
      <c r="H66" s="14">
        <v>0</v>
      </c>
      <c r="I66" s="4">
        <v>5200</v>
      </c>
      <c r="J66" s="4">
        <v>5200</v>
      </c>
      <c r="K66" s="4"/>
      <c r="L66" s="4"/>
      <c r="M66" s="4">
        <v>5200</v>
      </c>
      <c r="N66" s="4"/>
      <c r="O66" s="4"/>
      <c r="P66" s="4">
        <v>5200</v>
      </c>
      <c r="Q66" s="4"/>
      <c r="R66" s="4">
        <v>5200</v>
      </c>
      <c r="S66" s="4"/>
      <c r="T66" s="4"/>
      <c r="U66" s="4"/>
      <c r="V66" s="4">
        <v>5200</v>
      </c>
      <c r="W66" s="4"/>
      <c r="X66" s="4"/>
      <c r="Y66" s="4">
        <v>5200</v>
      </c>
      <c r="Z66" s="4"/>
      <c r="AA66" s="4"/>
      <c r="AB66" s="4"/>
      <c r="AC66" s="4">
        <v>5200</v>
      </c>
      <c r="AD66" s="4"/>
      <c r="AE66" s="4">
        <v>5200</v>
      </c>
      <c r="AF66" s="4"/>
      <c r="AG66" s="4"/>
      <c r="AH66" s="4">
        <v>5200</v>
      </c>
      <c r="AI66" s="4"/>
      <c r="AJ66" s="4">
        <v>5200</v>
      </c>
      <c r="AK66" s="4"/>
      <c r="AL66" s="4"/>
      <c r="AM66" s="4"/>
    </row>
    <row r="67" s="3" customFormat="1" spans="1:39">
      <c r="A67" s="3">
        <v>65</v>
      </c>
      <c r="D67" s="3" t="s">
        <v>85</v>
      </c>
      <c r="E67" s="13" t="s">
        <v>91</v>
      </c>
      <c r="F67" s="1">
        <f t="shared" si="4"/>
        <v>30000</v>
      </c>
      <c r="G67" s="1">
        <f t="shared" si="6"/>
        <v>28080</v>
      </c>
      <c r="H67" s="14">
        <v>3000</v>
      </c>
      <c r="I67" s="4"/>
      <c r="J67" s="4">
        <v>3120</v>
      </c>
      <c r="K67" s="4"/>
      <c r="L67" s="4"/>
      <c r="M67" s="4"/>
      <c r="O67" s="4">
        <v>3120</v>
      </c>
      <c r="P67" s="4"/>
      <c r="Q67" s="4"/>
      <c r="R67" s="4">
        <v>3120</v>
      </c>
      <c r="S67" s="4"/>
      <c r="T67" s="4"/>
      <c r="U67" s="4"/>
      <c r="V67" s="4">
        <v>3120</v>
      </c>
      <c r="W67" s="4"/>
      <c r="X67" s="4"/>
      <c r="Y67" s="4"/>
      <c r="Z67" s="4">
        <v>3120</v>
      </c>
      <c r="AA67" s="4"/>
      <c r="AB67" s="4">
        <v>3120</v>
      </c>
      <c r="AC67" s="4"/>
      <c r="AD67" s="4"/>
      <c r="AE67" s="4">
        <v>3120</v>
      </c>
      <c r="AF67" s="4"/>
      <c r="AG67" s="4"/>
      <c r="AH67" s="4">
        <v>3120</v>
      </c>
      <c r="AI67" s="4"/>
      <c r="AJ67" s="4"/>
      <c r="AK67" s="4">
        <v>3120</v>
      </c>
      <c r="AL67" s="4"/>
      <c r="AM67" s="4"/>
    </row>
    <row r="68" s="3" customFormat="1" spans="1:39">
      <c r="A68" s="3">
        <v>66</v>
      </c>
      <c r="B68" s="16"/>
      <c r="D68" s="3" t="s">
        <v>85</v>
      </c>
      <c r="E68" s="17" t="s">
        <v>92</v>
      </c>
      <c r="F68" s="1">
        <f t="shared" ref="F68:F96" si="7">G68/1.04+H68</f>
        <v>18000</v>
      </c>
      <c r="G68" s="1">
        <f t="shared" si="6"/>
        <v>16640</v>
      </c>
      <c r="H68" s="14">
        <v>2000</v>
      </c>
      <c r="I68" s="4">
        <v>2080</v>
      </c>
      <c r="J68" s="4"/>
      <c r="K68" s="4"/>
      <c r="L68" s="4"/>
      <c r="M68" s="4"/>
      <c r="N68" s="4">
        <v>2080</v>
      </c>
      <c r="O68" s="4"/>
      <c r="P68" s="4"/>
      <c r="Q68" s="4"/>
      <c r="R68" s="4">
        <v>2080</v>
      </c>
      <c r="S68" s="4"/>
      <c r="T68" s="4"/>
      <c r="U68" s="4"/>
      <c r="V68" s="4">
        <v>2080</v>
      </c>
      <c r="W68" s="4"/>
      <c r="X68" s="4"/>
      <c r="Y68" s="4">
        <v>2080</v>
      </c>
      <c r="Z68" s="4"/>
      <c r="AA68" s="4"/>
      <c r="AB68" s="4"/>
      <c r="AC68" s="4">
        <v>2080</v>
      </c>
      <c r="AD68" s="4"/>
      <c r="AE68" s="4"/>
      <c r="AF68" s="4"/>
      <c r="AG68" s="4"/>
      <c r="AH68" s="4">
        <v>2080</v>
      </c>
      <c r="AI68" s="4"/>
      <c r="AJ68" s="4">
        <v>2080</v>
      </c>
      <c r="AK68" s="4"/>
      <c r="AL68" s="4"/>
      <c r="AM68" s="4"/>
    </row>
    <row r="69" s="3" customFormat="1" spans="1:39">
      <c r="A69" s="3">
        <v>67</v>
      </c>
      <c r="B69" s="16"/>
      <c r="D69" s="3" t="s">
        <v>85</v>
      </c>
      <c r="E69" s="17" t="s">
        <v>93</v>
      </c>
      <c r="F69" s="1">
        <f t="shared" si="7"/>
        <v>4500</v>
      </c>
      <c r="G69" s="1">
        <f t="shared" si="6"/>
        <v>4160</v>
      </c>
      <c r="H69" s="14">
        <v>500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>
        <v>2080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>
        <v>2080</v>
      </c>
    </row>
    <row r="70" s="3" customFormat="1" spans="1:39">
      <c r="A70" s="3">
        <v>68</v>
      </c>
      <c r="D70" s="3" t="s">
        <v>94</v>
      </c>
      <c r="E70" s="13" t="s">
        <v>95</v>
      </c>
      <c r="F70" s="1">
        <f t="shared" si="7"/>
        <v>17500</v>
      </c>
      <c r="G70" s="1">
        <f t="shared" si="6"/>
        <v>16640</v>
      </c>
      <c r="H70" s="14">
        <v>1500</v>
      </c>
      <c r="I70" s="4">
        <v>3120</v>
      </c>
      <c r="J70" s="4"/>
      <c r="K70" s="4"/>
      <c r="L70" s="4"/>
      <c r="M70" s="4"/>
      <c r="N70" s="4">
        <v>3120</v>
      </c>
      <c r="O70" s="4"/>
      <c r="P70" s="4"/>
      <c r="Q70" s="4"/>
      <c r="R70" s="4"/>
      <c r="S70" s="4"/>
      <c r="T70" s="4"/>
      <c r="U70" s="4">
        <v>1040</v>
      </c>
      <c r="V70" s="4">
        <v>1040</v>
      </c>
      <c r="W70" s="4">
        <v>1040</v>
      </c>
      <c r="X70" s="4"/>
      <c r="Y70" s="4">
        <v>2080</v>
      </c>
      <c r="Z70" s="4"/>
      <c r="AA70" s="4"/>
      <c r="AB70" s="4"/>
      <c r="AC70" s="4"/>
      <c r="AD70" s="4">
        <v>1040</v>
      </c>
      <c r="AE70" s="4">
        <v>1040</v>
      </c>
      <c r="AF70" s="4">
        <v>1040</v>
      </c>
      <c r="AG70" s="4"/>
      <c r="AH70" s="4"/>
      <c r="AI70" s="4">
        <v>1040</v>
      </c>
      <c r="AJ70" s="4"/>
      <c r="AK70" s="4">
        <v>1040</v>
      </c>
      <c r="AL70" s="4"/>
      <c r="AM70" s="4"/>
    </row>
    <row r="71" s="3" customFormat="1" spans="1:39">
      <c r="A71" s="3">
        <v>69</v>
      </c>
      <c r="D71" s="3" t="s">
        <v>94</v>
      </c>
      <c r="E71" s="13" t="s">
        <v>96</v>
      </c>
      <c r="F71" s="1">
        <f t="shared" si="7"/>
        <v>33000</v>
      </c>
      <c r="G71" s="1">
        <f t="shared" si="6"/>
        <v>34320</v>
      </c>
      <c r="H71" s="14">
        <v>0</v>
      </c>
      <c r="I71" s="4"/>
      <c r="J71" s="4">
        <v>3120</v>
      </c>
      <c r="K71" s="4"/>
      <c r="L71" s="4"/>
      <c r="M71" s="4"/>
      <c r="N71" s="4">
        <v>3120</v>
      </c>
      <c r="O71" s="4"/>
      <c r="P71" s="4">
        <v>3120</v>
      </c>
      <c r="Q71" s="4"/>
      <c r="R71" s="4"/>
      <c r="S71" s="4">
        <v>3120</v>
      </c>
      <c r="T71" s="4"/>
      <c r="U71" s="4">
        <v>3120</v>
      </c>
      <c r="V71" s="4"/>
      <c r="W71" s="4"/>
      <c r="X71" s="4">
        <v>3120</v>
      </c>
      <c r="Y71" s="4"/>
      <c r="Z71" s="4"/>
      <c r="AA71" s="4">
        <v>3120</v>
      </c>
      <c r="AB71" s="4"/>
      <c r="AC71" s="4"/>
      <c r="AD71" s="4">
        <v>3120</v>
      </c>
      <c r="AE71" s="4"/>
      <c r="AF71" s="4"/>
      <c r="AG71" s="4">
        <v>3120</v>
      </c>
      <c r="AH71" s="4"/>
      <c r="AI71" s="4"/>
      <c r="AJ71" s="4">
        <v>3120</v>
      </c>
      <c r="AK71" s="4"/>
      <c r="AL71" s="19">
        <v>3120</v>
      </c>
      <c r="AM71" s="4"/>
    </row>
    <row r="72" s="3" customFormat="1" spans="1:39">
      <c r="A72" s="3">
        <v>70</v>
      </c>
      <c r="D72" s="3" t="s">
        <v>94</v>
      </c>
      <c r="E72" s="13" t="s">
        <v>97</v>
      </c>
      <c r="F72" s="1">
        <f t="shared" si="7"/>
        <v>26000</v>
      </c>
      <c r="G72" s="1">
        <f t="shared" si="6"/>
        <v>24960</v>
      </c>
      <c r="H72" s="14">
        <v>2000</v>
      </c>
      <c r="I72" s="4"/>
      <c r="J72" s="4">
        <v>2080</v>
      </c>
      <c r="K72" s="4"/>
      <c r="L72" s="4"/>
      <c r="M72" s="4"/>
      <c r="N72" s="4">
        <v>2080</v>
      </c>
      <c r="O72" s="4"/>
      <c r="P72" s="4">
        <v>2080</v>
      </c>
      <c r="Q72" s="4"/>
      <c r="R72" s="4"/>
      <c r="S72" s="4"/>
      <c r="T72" s="4">
        <v>2080</v>
      </c>
      <c r="U72" s="4">
        <v>2080</v>
      </c>
      <c r="V72" s="4"/>
      <c r="W72" s="4">
        <v>2080</v>
      </c>
      <c r="X72" s="4">
        <v>2080</v>
      </c>
      <c r="Y72" s="4"/>
      <c r="Z72" s="4"/>
      <c r="AA72" s="4">
        <v>2080</v>
      </c>
      <c r="AB72" s="4">
        <v>2080</v>
      </c>
      <c r="AC72" s="4"/>
      <c r="AD72" s="4"/>
      <c r="AE72" s="4"/>
      <c r="AF72" s="4">
        <v>2080</v>
      </c>
      <c r="AG72" s="4"/>
      <c r="AH72" s="4">
        <v>2080</v>
      </c>
      <c r="AI72" s="4"/>
      <c r="AJ72" s="4"/>
      <c r="AK72" s="4"/>
      <c r="AL72" s="4">
        <v>2080</v>
      </c>
      <c r="AM72" s="4"/>
    </row>
    <row r="73" s="3" customFormat="1" spans="1:39">
      <c r="A73" s="3">
        <v>71</v>
      </c>
      <c r="B73" s="16"/>
      <c r="E73" s="17" t="s">
        <v>98</v>
      </c>
      <c r="F73" s="1">
        <f t="shared" si="7"/>
        <v>49000</v>
      </c>
      <c r="G73" s="1">
        <f t="shared" si="6"/>
        <v>22880</v>
      </c>
      <c r="H73" s="14">
        <v>27000</v>
      </c>
      <c r="I73" s="22"/>
      <c r="J73" s="22"/>
      <c r="K73" s="22"/>
      <c r="L73" s="22">
        <v>2080</v>
      </c>
      <c r="M73" s="23">
        <v>4160</v>
      </c>
      <c r="N73" s="22">
        <v>2080</v>
      </c>
      <c r="O73" s="22"/>
      <c r="P73" s="22"/>
      <c r="Q73" s="22">
        <v>2080</v>
      </c>
      <c r="R73" s="22"/>
      <c r="S73" s="22">
        <v>2080</v>
      </c>
      <c r="T73" s="22">
        <v>2080</v>
      </c>
      <c r="U73" s="4">
        <v>2080</v>
      </c>
      <c r="V73" s="24"/>
      <c r="W73" s="24"/>
      <c r="X73" s="24"/>
      <c r="Y73" s="24"/>
      <c r="Z73" s="4"/>
      <c r="AA73" s="4"/>
      <c r="AB73" s="4">
        <v>2080</v>
      </c>
      <c r="AC73" s="4"/>
      <c r="AD73" s="4">
        <v>2080</v>
      </c>
      <c r="AE73" s="4"/>
      <c r="AF73" s="4"/>
      <c r="AG73" s="4"/>
      <c r="AH73" s="4"/>
      <c r="AI73" s="4"/>
      <c r="AJ73" s="4">
        <v>2080</v>
      </c>
      <c r="AK73" s="4"/>
      <c r="AL73" s="4"/>
      <c r="AM73" s="4"/>
    </row>
    <row r="74" s="3" customFormat="1" spans="1:39">
      <c r="A74" s="3">
        <v>72</v>
      </c>
      <c r="B74" s="16"/>
      <c r="D74" s="3" t="s">
        <v>99</v>
      </c>
      <c r="E74" s="17" t="s">
        <v>100</v>
      </c>
      <c r="F74" s="1">
        <f t="shared" si="7"/>
        <v>6000</v>
      </c>
      <c r="G74" s="1">
        <f t="shared" si="6"/>
        <v>6240</v>
      </c>
      <c r="H74" s="14">
        <v>0</v>
      </c>
      <c r="I74" s="4"/>
      <c r="J74" s="4"/>
      <c r="K74" s="4"/>
      <c r="L74" s="4"/>
      <c r="M74" s="4"/>
      <c r="N74" s="4"/>
      <c r="O74" s="19">
        <v>3120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>
        <v>2080</v>
      </c>
      <c r="AG74" s="4">
        <v>1040</v>
      </c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6"/>
      <c r="E75" s="17" t="s">
        <v>101</v>
      </c>
      <c r="F75" s="1">
        <f t="shared" si="7"/>
        <v>0</v>
      </c>
      <c r="G75" s="1">
        <f t="shared" ref="G70:G96" si="8">SUM(I75:AM75)</f>
        <v>0</v>
      </c>
      <c r="H75" s="14"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6"/>
      <c r="D76" s="3" t="s">
        <v>102</v>
      </c>
      <c r="E76" s="17" t="s">
        <v>103</v>
      </c>
      <c r="F76" s="1">
        <f t="shared" si="7"/>
        <v>6000</v>
      </c>
      <c r="G76" s="1">
        <f t="shared" si="8"/>
        <v>6240</v>
      </c>
      <c r="H76" s="14">
        <v>0</v>
      </c>
      <c r="I76" s="4"/>
      <c r="J76" s="4"/>
      <c r="K76" s="4"/>
      <c r="L76" s="4"/>
      <c r="M76" s="19">
        <v>1040</v>
      </c>
      <c r="N76" s="4">
        <v>1040</v>
      </c>
      <c r="O76" s="4"/>
      <c r="P76" s="4">
        <v>2080</v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>
        <v>2080</v>
      </c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6"/>
      <c r="E77" s="17" t="s">
        <v>104</v>
      </c>
      <c r="F77" s="1">
        <f t="shared" si="7"/>
        <v>0</v>
      </c>
      <c r="G77" s="1">
        <f t="shared" si="8"/>
        <v>0</v>
      </c>
      <c r="H77" s="14">
        <v>0</v>
      </c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6"/>
      <c r="C78" s="3">
        <v>683879115</v>
      </c>
      <c r="D78" s="3" t="s">
        <v>105</v>
      </c>
      <c r="E78" s="17" t="s">
        <v>106</v>
      </c>
      <c r="F78" s="1">
        <f t="shared" si="7"/>
        <v>6000</v>
      </c>
      <c r="G78" s="1">
        <f t="shared" si="8"/>
        <v>6240</v>
      </c>
      <c r="H78" s="14">
        <v>0</v>
      </c>
      <c r="I78" s="4"/>
      <c r="J78" s="4"/>
      <c r="K78" s="4"/>
      <c r="L78" s="4"/>
      <c r="M78" s="4"/>
      <c r="N78" s="4">
        <v>2080</v>
      </c>
      <c r="O78" s="4"/>
      <c r="P78" s="4"/>
      <c r="Q78" s="4"/>
      <c r="R78" s="4"/>
      <c r="S78" s="4"/>
      <c r="T78" s="4"/>
      <c r="U78" s="4"/>
      <c r="V78" s="4"/>
      <c r="W78" s="4"/>
      <c r="X78" s="4">
        <v>2080</v>
      </c>
      <c r="Y78" s="4"/>
      <c r="Z78" s="4"/>
      <c r="AA78" s="4"/>
      <c r="AB78" s="4"/>
      <c r="AC78" s="4"/>
      <c r="AD78" s="4"/>
      <c r="AE78" s="19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6"/>
      <c r="D79" s="3" t="s">
        <v>62</v>
      </c>
      <c r="E79" s="17" t="s">
        <v>107</v>
      </c>
      <c r="F79" s="1">
        <f t="shared" si="7"/>
        <v>4000</v>
      </c>
      <c r="G79" s="1">
        <f t="shared" si="8"/>
        <v>4160</v>
      </c>
      <c r="H79" s="14">
        <v>0</v>
      </c>
      <c r="I79" s="4"/>
      <c r="J79" s="4"/>
      <c r="K79" s="4"/>
      <c r="L79" s="4"/>
      <c r="M79" s="4"/>
      <c r="N79" s="4"/>
      <c r="O79" s="4"/>
      <c r="P79" s="19">
        <v>2080</v>
      </c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19">
        <v>2080</v>
      </c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6"/>
      <c r="D80" s="3" t="s">
        <v>77</v>
      </c>
      <c r="E80" s="17" t="s">
        <v>108</v>
      </c>
      <c r="F80" s="1">
        <f t="shared" si="7"/>
        <v>7000</v>
      </c>
      <c r="G80" s="1">
        <f t="shared" si="8"/>
        <v>7280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>
        <v>1040</v>
      </c>
      <c r="W80" s="4"/>
      <c r="X80" s="4"/>
      <c r="Y80" s="4"/>
      <c r="Z80" s="4"/>
      <c r="AA80" s="4"/>
      <c r="AB80" s="4">
        <v>3120</v>
      </c>
      <c r="AC80" s="4"/>
      <c r="AD80" s="4"/>
      <c r="AE80" s="4"/>
      <c r="AF80" s="4"/>
      <c r="AG80" s="4"/>
      <c r="AH80" s="4"/>
      <c r="AI80" s="4">
        <v>3120</v>
      </c>
      <c r="AJ80" s="4"/>
      <c r="AK80" s="4"/>
      <c r="AL80" s="4"/>
      <c r="AM80" s="4"/>
    </row>
    <row r="81" s="3" customFormat="1" spans="1:39">
      <c r="A81" s="3">
        <v>79</v>
      </c>
      <c r="B81" s="16"/>
      <c r="D81" s="3" t="s">
        <v>62</v>
      </c>
      <c r="E81" s="17" t="s">
        <v>109</v>
      </c>
      <c r="F81" s="1">
        <f t="shared" si="7"/>
        <v>7000</v>
      </c>
      <c r="G81" s="1">
        <f t="shared" si="8"/>
        <v>7280</v>
      </c>
      <c r="H81" s="14">
        <v>0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19">
        <v>2080</v>
      </c>
      <c r="V81" s="4"/>
      <c r="W81" s="4">
        <v>1040</v>
      </c>
      <c r="X81" s="4">
        <v>1040</v>
      </c>
      <c r="Y81" s="4"/>
      <c r="Z81" s="4"/>
      <c r="AA81" s="4"/>
      <c r="AB81" s="4">
        <v>1040</v>
      </c>
      <c r="AC81" s="4"/>
      <c r="AD81" s="4">
        <v>1040</v>
      </c>
      <c r="AE81" s="4"/>
      <c r="AF81" s="4"/>
      <c r="AG81" s="4">
        <v>1040</v>
      </c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6"/>
      <c r="D82" s="3" t="s">
        <v>110</v>
      </c>
      <c r="E82" s="17" t="s">
        <v>111</v>
      </c>
      <c r="F82" s="1">
        <f t="shared" si="7"/>
        <v>8000</v>
      </c>
      <c r="G82" s="1">
        <f t="shared" si="8"/>
        <v>8320</v>
      </c>
      <c r="H82" s="14">
        <v>0</v>
      </c>
      <c r="I82" s="24"/>
      <c r="J82" s="24"/>
      <c r="K82" s="24"/>
      <c r="L82" s="24"/>
      <c r="M82" s="24"/>
      <c r="N82" s="24"/>
      <c r="O82" s="22">
        <v>2080</v>
      </c>
      <c r="P82" s="24"/>
      <c r="Q82" s="24"/>
      <c r="R82" s="24"/>
      <c r="S82" s="24"/>
      <c r="T82" s="24"/>
      <c r="U82" s="24"/>
      <c r="V82" s="24"/>
      <c r="W82" s="22">
        <v>2080</v>
      </c>
      <c r="X82" s="24"/>
      <c r="Y82" s="24"/>
      <c r="Z82" s="24"/>
      <c r="AA82" s="4"/>
      <c r="AB82" s="4">
        <v>2080</v>
      </c>
      <c r="AC82" s="4"/>
      <c r="AD82" s="4"/>
      <c r="AE82" s="4"/>
      <c r="AF82" s="4"/>
      <c r="AG82" s="4"/>
      <c r="AH82" s="4"/>
      <c r="AI82" s="4"/>
      <c r="AJ82" s="4"/>
      <c r="AK82" s="4"/>
      <c r="AL82" s="4">
        <v>2080</v>
      </c>
      <c r="AM82" s="4"/>
    </row>
    <row r="83" s="3" customFormat="1" spans="1:39">
      <c r="A83" s="3">
        <v>81</v>
      </c>
      <c r="B83" s="16"/>
      <c r="D83" s="3" t="s">
        <v>105</v>
      </c>
      <c r="E83" s="17" t="s">
        <v>112</v>
      </c>
      <c r="F83" s="1">
        <f t="shared" si="7"/>
        <v>35000</v>
      </c>
      <c r="G83" s="1">
        <f t="shared" si="8"/>
        <v>36400</v>
      </c>
      <c r="H83" s="14">
        <v>0</v>
      </c>
      <c r="I83" s="4">
        <v>5200</v>
      </c>
      <c r="J83" s="4"/>
      <c r="K83" s="4"/>
      <c r="L83" s="4">
        <v>5200</v>
      </c>
      <c r="M83" s="4"/>
      <c r="N83" s="4"/>
      <c r="O83" s="4"/>
      <c r="P83" s="4">
        <v>5200</v>
      </c>
      <c r="Q83" s="4"/>
      <c r="R83" s="4"/>
      <c r="S83" s="4"/>
      <c r="T83" s="4">
        <v>5200</v>
      </c>
      <c r="U83" s="4"/>
      <c r="V83" s="4"/>
      <c r="W83" s="4"/>
      <c r="X83" s="4">
        <v>5200</v>
      </c>
      <c r="Y83" s="4"/>
      <c r="Z83" s="4"/>
      <c r="AA83" s="4"/>
      <c r="AB83" s="4"/>
      <c r="AC83" s="4">
        <v>5200</v>
      </c>
      <c r="AD83" s="4"/>
      <c r="AE83" s="4"/>
      <c r="AF83" s="4"/>
      <c r="AG83" s="4"/>
      <c r="AH83" s="4"/>
      <c r="AI83" s="4"/>
      <c r="AJ83" s="4">
        <v>5200</v>
      </c>
      <c r="AK83" s="4"/>
      <c r="AL83" s="4"/>
      <c r="AM83" s="4"/>
    </row>
    <row r="84" s="3" customFormat="1" spans="1:39">
      <c r="A84" s="3">
        <v>82</v>
      </c>
      <c r="B84" s="16"/>
      <c r="E84" s="17" t="s">
        <v>113</v>
      </c>
      <c r="F84" s="1">
        <f t="shared" si="7"/>
        <v>0</v>
      </c>
      <c r="G84" s="1">
        <f t="shared" si="8"/>
        <v>0</v>
      </c>
      <c r="H84" s="14"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6"/>
      <c r="E85" s="17" t="s">
        <v>114</v>
      </c>
      <c r="F85" s="1">
        <f t="shared" si="7"/>
        <v>0</v>
      </c>
      <c r="G85" s="1">
        <f t="shared" si="8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6"/>
      <c r="C86" s="3">
        <v>683909556</v>
      </c>
      <c r="E86" s="17" t="s">
        <v>115</v>
      </c>
      <c r="F86" s="1">
        <f t="shared" si="7"/>
        <v>0</v>
      </c>
      <c r="G86" s="1">
        <f t="shared" si="8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B87" s="16"/>
      <c r="E87" s="17" t="s">
        <v>116</v>
      </c>
      <c r="F87" s="1">
        <f t="shared" si="7"/>
        <v>0</v>
      </c>
      <c r="G87" s="1">
        <f t="shared" si="8"/>
        <v>0</v>
      </c>
      <c r="H87" s="14">
        <v>0</v>
      </c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117</v>
      </c>
      <c r="F88" s="1">
        <f t="shared" si="7"/>
        <v>1000</v>
      </c>
      <c r="G88" s="1">
        <f t="shared" si="8"/>
        <v>1040</v>
      </c>
      <c r="H88" s="14">
        <v>0</v>
      </c>
      <c r="I88" s="4"/>
      <c r="J88" s="4"/>
      <c r="K88" s="4"/>
      <c r="L88" s="4">
        <v>1040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118</v>
      </c>
      <c r="F89" s="1">
        <f t="shared" si="7"/>
        <v>0</v>
      </c>
      <c r="G89" s="1">
        <f t="shared" si="8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E90" s="13" t="s">
        <v>119</v>
      </c>
      <c r="F90" s="1">
        <f t="shared" si="7"/>
        <v>0</v>
      </c>
      <c r="G90" s="1">
        <f t="shared" si="8"/>
        <v>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105</v>
      </c>
      <c r="E91" s="13" t="s">
        <v>120</v>
      </c>
      <c r="F91" s="1">
        <f t="shared" si="7"/>
        <v>6000</v>
      </c>
      <c r="G91" s="1">
        <f t="shared" si="8"/>
        <v>6240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>
        <v>1040</v>
      </c>
      <c r="AB91" s="4"/>
      <c r="AC91" s="4"/>
      <c r="AD91" s="4">
        <v>5200</v>
      </c>
      <c r="AE91" s="4"/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D92" s="3" t="s">
        <v>73</v>
      </c>
      <c r="E92" s="13" t="s">
        <v>121</v>
      </c>
      <c r="F92" s="1">
        <f t="shared" si="7"/>
        <v>15000</v>
      </c>
      <c r="G92" s="1">
        <f t="shared" si="8"/>
        <v>15600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>
        <v>5200</v>
      </c>
      <c r="AE92" s="4">
        <v>5200</v>
      </c>
      <c r="AF92" s="4"/>
      <c r="AG92" s="4"/>
      <c r="AH92" s="4"/>
      <c r="AI92" s="4"/>
      <c r="AJ92" s="4">
        <v>5200</v>
      </c>
      <c r="AK92" s="4"/>
      <c r="AL92" s="4"/>
      <c r="AM92" s="4"/>
    </row>
    <row r="93" s="3" customFormat="1" spans="1:39">
      <c r="A93" s="3">
        <v>91</v>
      </c>
      <c r="C93" s="3">
        <v>683909558</v>
      </c>
      <c r="E93" s="13" t="s">
        <v>122</v>
      </c>
      <c r="F93" s="1">
        <f t="shared" si="7"/>
        <v>0</v>
      </c>
      <c r="G93" s="1">
        <f t="shared" si="8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="3" customFormat="1" spans="1:39">
      <c r="A94" s="3">
        <v>92</v>
      </c>
      <c r="E94" s="13" t="s">
        <v>123</v>
      </c>
      <c r="F94" s="1">
        <f t="shared" si="7"/>
        <v>0</v>
      </c>
      <c r="G94" s="1">
        <f t="shared" si="8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E95" s="21" t="s">
        <v>124</v>
      </c>
      <c r="F95" s="1">
        <f t="shared" si="7"/>
        <v>0</v>
      </c>
      <c r="G95" s="1">
        <f t="shared" si="8"/>
        <v>0</v>
      </c>
      <c r="H95" s="14">
        <v>0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1:39">
      <c r="A96" s="3">
        <v>94</v>
      </c>
      <c r="C96" s="3">
        <v>685671039</v>
      </c>
      <c r="D96" s="3" t="s">
        <v>81</v>
      </c>
      <c r="E96" s="3" t="s">
        <v>125</v>
      </c>
      <c r="F96" s="1">
        <f t="shared" si="7"/>
        <v>9000</v>
      </c>
      <c r="G96" s="1">
        <f t="shared" si="8"/>
        <v>9360</v>
      </c>
      <c r="H96" s="5">
        <v>0</v>
      </c>
      <c r="I96" s="4"/>
      <c r="J96" s="4"/>
      <c r="K96" s="4"/>
      <c r="L96" s="4"/>
      <c r="M96" s="19">
        <v>2080</v>
      </c>
      <c r="N96" s="4"/>
      <c r="O96" s="4"/>
      <c r="P96" s="4"/>
      <c r="Q96" s="19">
        <v>2080</v>
      </c>
      <c r="R96" s="4"/>
      <c r="S96" s="4"/>
      <c r="T96" s="4"/>
      <c r="U96" s="4"/>
      <c r="V96" s="4"/>
      <c r="W96" s="4"/>
      <c r="X96" s="4"/>
      <c r="Y96" s="19">
        <v>1040</v>
      </c>
      <c r="Z96" s="4"/>
      <c r="AA96" s="4"/>
      <c r="AB96" s="4">
        <v>2080</v>
      </c>
      <c r="AC96" s="4"/>
      <c r="AD96" s="4"/>
      <c r="AE96" s="4"/>
      <c r="AF96" s="4"/>
      <c r="AG96" s="4"/>
      <c r="AH96" s="4"/>
      <c r="AI96" s="4">
        <v>2080</v>
      </c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spans="9:39"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2021-01-31T04:57:01Z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