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2020'!$A$1:$AK$92</definedName>
  </definedNames>
  <calcPr calcId="144525"/>
</workbook>
</file>

<file path=xl/sharedStrings.xml><?xml version="1.0" encoding="utf-8"?>
<sst xmlns="http://schemas.openxmlformats.org/spreadsheetml/2006/main" count="159" uniqueCount="107">
  <si>
    <t>S.No.</t>
  </si>
  <si>
    <t>Area</t>
  </si>
  <si>
    <t>Alias Name</t>
  </si>
  <si>
    <t>Retailer Name</t>
  </si>
  <si>
    <t>Amount To be Collect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</si>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</sst>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.00_ ;_ * \-#,##0.00_ ;_ * &quot;-&quot;??_ ;_ @_ "/>
    <numFmt numFmtId="178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5" fillId="34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16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0" fillId="26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10" borderId="1" applyNumberFormat="0" applyAlignment="0" applyProtection="0">
      <alignment vertical="center"/>
    </xf>
    <xf numFmtId="0" fontId="2" fillId="3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2" fillId="9" borderId="4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9" borderId="1" applyNumberFormat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2"/>
  <sheetViews>
    <sheetView tabSelected="1" workbookViewId="0">
      <pane xSplit="6" ySplit="2" topLeftCell="L36" activePane="bottomRight" state="frozen"/>
      <selection/>
      <selection pane="topRight"/>
      <selection pane="bottomLeft"/>
      <selection pane="bottomRight" activeCell="L42" sqref="L42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21.8571428571429" style="4" customWidth="1"/>
    <col min="6" max="6" width="11" style="3" customWidth="1"/>
    <col min="7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44166</v>
      </c>
      <c r="H1" s="5">
        <v>44167</v>
      </c>
      <c r="I1" s="5">
        <v>44168</v>
      </c>
      <c r="J1" s="5">
        <v>44169</v>
      </c>
      <c r="K1" s="5">
        <v>44170</v>
      </c>
      <c r="L1" s="5">
        <v>44171</v>
      </c>
      <c r="M1" s="5">
        <v>44172</v>
      </c>
      <c r="N1" s="5">
        <v>44173</v>
      </c>
      <c r="O1" s="5">
        <v>44174</v>
      </c>
      <c r="P1" s="5">
        <v>44175</v>
      </c>
      <c r="Q1" s="5">
        <v>44176</v>
      </c>
      <c r="R1" s="5">
        <v>44177</v>
      </c>
      <c r="S1" s="5">
        <v>44178</v>
      </c>
      <c r="T1" s="5">
        <v>44179</v>
      </c>
      <c r="U1" s="5">
        <v>44180</v>
      </c>
      <c r="V1" s="5">
        <v>44181</v>
      </c>
      <c r="W1" s="5">
        <v>44182</v>
      </c>
      <c r="X1" s="5">
        <v>44183</v>
      </c>
      <c r="Y1" s="5">
        <v>44184</v>
      </c>
      <c r="Z1" s="5">
        <v>44185</v>
      </c>
      <c r="AA1" s="5">
        <v>44186</v>
      </c>
      <c r="AB1" s="5">
        <v>44187</v>
      </c>
      <c r="AC1" s="5">
        <v>44188</v>
      </c>
      <c r="AD1" s="5">
        <v>44189</v>
      </c>
      <c r="AE1" s="5">
        <v>44190</v>
      </c>
      <c r="AF1" s="5">
        <v>44191</v>
      </c>
      <c r="AG1" s="5">
        <v>44192</v>
      </c>
      <c r="AH1" s="5">
        <v>44193</v>
      </c>
      <c r="AI1" s="5">
        <v>44194</v>
      </c>
      <c r="AJ1" s="5">
        <v>44195</v>
      </c>
      <c r="AK1" s="5">
        <v>44196</v>
      </c>
    </row>
    <row r="2" s="2" customFormat="1" spans="4:37">
      <c r="D2" s="6" t="s">
        <v>6</v>
      </c>
      <c r="E2" s="7">
        <f>F2/1.04</f>
        <v>518500</v>
      </c>
      <c r="F2" s="8">
        <f>SUM(G2:AK2)</f>
        <v>539240</v>
      </c>
      <c r="G2" s="2">
        <f>SUM(G3:G92)</f>
        <v>0</v>
      </c>
      <c r="H2" s="2">
        <f>SUM(H3:H92)</f>
        <v>42640</v>
      </c>
      <c r="I2" s="2">
        <f t="shared" ref="I2:O2" si="0">SUM(I3:I92)</f>
        <v>29120</v>
      </c>
      <c r="J2" s="2">
        <f t="shared" si="0"/>
        <v>56160</v>
      </c>
      <c r="K2" s="2">
        <f t="shared" si="0"/>
        <v>34320</v>
      </c>
      <c r="L2" s="2">
        <f t="shared" si="0"/>
        <v>74880</v>
      </c>
      <c r="M2" s="2">
        <f t="shared" si="0"/>
        <v>54600</v>
      </c>
      <c r="N2" s="2">
        <f t="shared" si="0"/>
        <v>45760</v>
      </c>
      <c r="O2" s="2">
        <f t="shared" si="0"/>
        <v>38480</v>
      </c>
      <c r="P2" s="2">
        <f t="shared" ref="P2:AK2" si="1">SUM(P3:P92)</f>
        <v>31200</v>
      </c>
      <c r="Q2" s="2">
        <f t="shared" si="1"/>
        <v>38480</v>
      </c>
      <c r="R2" s="2">
        <f t="shared" si="1"/>
        <v>56160</v>
      </c>
      <c r="S2" s="2">
        <f t="shared" si="1"/>
        <v>37440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  <c r="AK2" s="2">
        <f t="shared" si="1"/>
        <v>0</v>
      </c>
    </row>
    <row r="3" spans="1:18">
      <c r="A3" s="3">
        <v>1</v>
      </c>
      <c r="B3" s="3" t="s">
        <v>7</v>
      </c>
      <c r="D3" s="4" t="s">
        <v>8</v>
      </c>
      <c r="E3" s="9">
        <f t="shared" ref="E3:E34" si="2">F3/1.04</f>
        <v>19000</v>
      </c>
      <c r="F3" s="2">
        <f t="shared" ref="F3:F34" si="3">SUM(G3:AK3)</f>
        <v>19760</v>
      </c>
      <c r="H3" s="3">
        <v>3120</v>
      </c>
      <c r="K3" s="3">
        <v>3120</v>
      </c>
      <c r="L3" s="3">
        <v>3120</v>
      </c>
      <c r="M3" s="3">
        <v>5200</v>
      </c>
      <c r="R3" s="3">
        <v>5200</v>
      </c>
    </row>
    <row r="4" spans="1:18">
      <c r="A4" s="3">
        <v>2</v>
      </c>
      <c r="B4" s="3" t="s">
        <v>9</v>
      </c>
      <c r="D4" s="4" t="s">
        <v>10</v>
      </c>
      <c r="E4" s="9">
        <f t="shared" si="2"/>
        <v>8000</v>
      </c>
      <c r="F4" s="2">
        <f t="shared" si="3"/>
        <v>8320</v>
      </c>
      <c r="H4" s="3">
        <v>2080</v>
      </c>
      <c r="J4" s="3">
        <v>3120</v>
      </c>
      <c r="R4" s="3">
        <v>3120</v>
      </c>
    </row>
    <row r="5" spans="1:18">
      <c r="A5" s="3">
        <v>3</v>
      </c>
      <c r="B5" s="3" t="s">
        <v>7</v>
      </c>
      <c r="D5" s="4" t="s">
        <v>11</v>
      </c>
      <c r="E5" s="9">
        <f t="shared" si="2"/>
        <v>1000</v>
      </c>
      <c r="F5" s="2">
        <f t="shared" si="3"/>
        <v>1040</v>
      </c>
      <c r="R5" s="3">
        <v>1040</v>
      </c>
    </row>
    <row r="6" spans="1:18">
      <c r="A6" s="3">
        <v>4</v>
      </c>
      <c r="B6" s="3" t="s">
        <v>12</v>
      </c>
      <c r="D6" s="4" t="s">
        <v>13</v>
      </c>
      <c r="E6" s="9">
        <f t="shared" si="2"/>
        <v>5000</v>
      </c>
      <c r="F6" s="2">
        <f t="shared" si="3"/>
        <v>5200</v>
      </c>
      <c r="O6" s="3">
        <v>1040</v>
      </c>
      <c r="P6" s="3">
        <v>2080</v>
      </c>
      <c r="R6" s="3">
        <v>2080</v>
      </c>
    </row>
    <row r="7" spans="1:18">
      <c r="A7" s="3">
        <v>5</v>
      </c>
      <c r="B7" s="3" t="s">
        <v>14</v>
      </c>
      <c r="D7" s="4" t="s">
        <v>15</v>
      </c>
      <c r="E7" s="9">
        <f t="shared" si="2"/>
        <v>3000</v>
      </c>
      <c r="F7" s="2">
        <f t="shared" si="3"/>
        <v>3120</v>
      </c>
      <c r="P7" s="3">
        <v>1040</v>
      </c>
      <c r="R7" s="3">
        <v>2080</v>
      </c>
    </row>
    <row r="8" spans="1:14">
      <c r="A8" s="3">
        <v>6</v>
      </c>
      <c r="B8" s="3" t="s">
        <v>16</v>
      </c>
      <c r="D8" s="4" t="s">
        <v>17</v>
      </c>
      <c r="E8" s="9">
        <f t="shared" si="2"/>
        <v>6000</v>
      </c>
      <c r="F8" s="2">
        <f t="shared" si="3"/>
        <v>6240</v>
      </c>
      <c r="I8" s="3">
        <v>2080</v>
      </c>
      <c r="K8" s="3">
        <v>1040</v>
      </c>
      <c r="N8" s="3">
        <v>3120</v>
      </c>
    </row>
    <row r="9" spans="1:6">
      <c r="A9" s="3">
        <v>7</v>
      </c>
      <c r="B9" s="3" t="s">
        <v>18</v>
      </c>
      <c r="D9" s="4" t="s">
        <v>19</v>
      </c>
      <c r="E9" s="9">
        <f t="shared" si="2"/>
        <v>0</v>
      </c>
      <c r="F9" s="2">
        <f t="shared" si="3"/>
        <v>0</v>
      </c>
    </row>
    <row r="10" spans="1:13">
      <c r="A10" s="3">
        <v>8</v>
      </c>
      <c r="B10" s="3" t="s">
        <v>20</v>
      </c>
      <c r="D10" s="4" t="s">
        <v>21</v>
      </c>
      <c r="E10" s="9">
        <f t="shared" si="2"/>
        <v>6000</v>
      </c>
      <c r="F10" s="2">
        <f t="shared" si="3"/>
        <v>6240</v>
      </c>
      <c r="I10" s="3">
        <v>1040</v>
      </c>
      <c r="L10" s="3">
        <v>2080</v>
      </c>
      <c r="M10" s="3">
        <v>3120</v>
      </c>
    </row>
    <row r="11" spans="1:6">
      <c r="A11" s="3">
        <v>9</v>
      </c>
      <c r="D11" s="4" t="s">
        <v>22</v>
      </c>
      <c r="E11" s="9">
        <f t="shared" si="2"/>
        <v>0</v>
      </c>
      <c r="F11" s="2">
        <f t="shared" si="3"/>
        <v>0</v>
      </c>
    </row>
    <row r="12" spans="1:6">
      <c r="A12" s="3">
        <v>10</v>
      </c>
      <c r="D12" s="4" t="s">
        <v>23</v>
      </c>
      <c r="E12" s="9">
        <f t="shared" si="2"/>
        <v>0</v>
      </c>
      <c r="F12" s="2">
        <f t="shared" si="3"/>
        <v>0</v>
      </c>
    </row>
    <row r="13" spans="1:19">
      <c r="A13" s="3">
        <v>11</v>
      </c>
      <c r="B13" s="3" t="s">
        <v>9</v>
      </c>
      <c r="D13" s="4" t="s">
        <v>24</v>
      </c>
      <c r="E13" s="9">
        <f t="shared" si="2"/>
        <v>10000</v>
      </c>
      <c r="F13" s="2">
        <f t="shared" si="3"/>
        <v>10400</v>
      </c>
      <c r="J13" s="3">
        <v>2080</v>
      </c>
      <c r="L13" s="3">
        <v>2080</v>
      </c>
      <c r="N13" s="3">
        <v>3120</v>
      </c>
      <c r="S13" s="3">
        <v>3120</v>
      </c>
    </row>
    <row r="14" spans="1:10">
      <c r="A14" s="3">
        <v>12</v>
      </c>
      <c r="B14" s="3" t="s">
        <v>9</v>
      </c>
      <c r="D14" s="4" t="s">
        <v>25</v>
      </c>
      <c r="E14" s="9">
        <f t="shared" si="2"/>
        <v>2000</v>
      </c>
      <c r="F14" s="2">
        <f t="shared" si="3"/>
        <v>2080</v>
      </c>
      <c r="J14" s="3">
        <v>2080</v>
      </c>
    </row>
    <row r="15" spans="1:6">
      <c r="A15" s="3">
        <v>13</v>
      </c>
      <c r="D15" s="4" t="s">
        <v>26</v>
      </c>
      <c r="E15" s="9">
        <f t="shared" si="2"/>
        <v>0</v>
      </c>
      <c r="F15" s="2">
        <f t="shared" si="3"/>
        <v>0</v>
      </c>
    </row>
    <row r="16" spans="1:16">
      <c r="A16" s="3">
        <v>14</v>
      </c>
      <c r="B16" s="3" t="s">
        <v>7</v>
      </c>
      <c r="D16" s="4" t="s">
        <v>27</v>
      </c>
      <c r="E16" s="9">
        <f t="shared" si="2"/>
        <v>6000</v>
      </c>
      <c r="F16" s="2">
        <f t="shared" si="3"/>
        <v>6240</v>
      </c>
      <c r="J16" s="3">
        <v>1040</v>
      </c>
      <c r="K16" s="3">
        <v>1040</v>
      </c>
      <c r="L16" s="3">
        <v>1040</v>
      </c>
      <c r="P16" s="3">
        <v>3120</v>
      </c>
    </row>
    <row r="17" spans="1:6">
      <c r="A17" s="3">
        <v>15</v>
      </c>
      <c r="D17" s="4" t="s">
        <v>28</v>
      </c>
      <c r="E17" s="9">
        <f t="shared" si="2"/>
        <v>0</v>
      </c>
      <c r="F17" s="2">
        <f t="shared" si="3"/>
        <v>0</v>
      </c>
    </row>
    <row r="18" spans="1:19">
      <c r="A18" s="3">
        <v>16</v>
      </c>
      <c r="B18" s="3" t="s">
        <v>7</v>
      </c>
      <c r="D18" s="4" t="s">
        <v>29</v>
      </c>
      <c r="E18" s="9">
        <f t="shared" si="2"/>
        <v>12000</v>
      </c>
      <c r="F18" s="2">
        <f t="shared" si="3"/>
        <v>12480</v>
      </c>
      <c r="O18" s="3">
        <v>2080</v>
      </c>
      <c r="R18" s="3">
        <v>5200</v>
      </c>
      <c r="S18" s="3">
        <v>5200</v>
      </c>
    </row>
    <row r="19" spans="1:6">
      <c r="A19" s="3">
        <v>17</v>
      </c>
      <c r="D19" s="4" t="s">
        <v>30</v>
      </c>
      <c r="E19" s="9">
        <f t="shared" si="2"/>
        <v>0</v>
      </c>
      <c r="F19" s="2">
        <f t="shared" si="3"/>
        <v>0</v>
      </c>
    </row>
    <row r="20" spans="1:6">
      <c r="A20" s="3">
        <v>18</v>
      </c>
      <c r="D20" s="4" t="s">
        <v>31</v>
      </c>
      <c r="E20" s="9">
        <f t="shared" si="2"/>
        <v>0</v>
      </c>
      <c r="F20" s="2">
        <f t="shared" si="3"/>
        <v>0</v>
      </c>
    </row>
    <row r="21" spans="1:19">
      <c r="A21" s="3">
        <v>19</v>
      </c>
      <c r="B21" s="3" t="s">
        <v>7</v>
      </c>
      <c r="D21" s="4" t="s">
        <v>32</v>
      </c>
      <c r="E21" s="9">
        <f t="shared" si="2"/>
        <v>5000</v>
      </c>
      <c r="F21" s="2">
        <f t="shared" si="3"/>
        <v>5200</v>
      </c>
      <c r="J21" s="3">
        <v>2080</v>
      </c>
      <c r="O21" s="3">
        <v>1040</v>
      </c>
      <c r="R21" s="3">
        <v>1040</v>
      </c>
      <c r="S21" s="3">
        <v>1040</v>
      </c>
    </row>
    <row r="22" spans="1:6">
      <c r="A22" s="3">
        <v>20</v>
      </c>
      <c r="D22" s="4" t="s">
        <v>33</v>
      </c>
      <c r="E22" s="9">
        <f t="shared" si="2"/>
        <v>0</v>
      </c>
      <c r="F22" s="2">
        <f t="shared" si="3"/>
        <v>0</v>
      </c>
    </row>
    <row r="23" spans="1:15">
      <c r="A23" s="3">
        <v>21</v>
      </c>
      <c r="B23" s="3" t="s">
        <v>16</v>
      </c>
      <c r="D23" s="4" t="s">
        <v>34</v>
      </c>
      <c r="E23" s="9">
        <f t="shared" si="2"/>
        <v>3000</v>
      </c>
      <c r="F23" s="2">
        <f t="shared" si="3"/>
        <v>3120</v>
      </c>
      <c r="I23" s="3">
        <v>1040</v>
      </c>
      <c r="M23" s="3">
        <v>1040</v>
      </c>
      <c r="O23" s="3">
        <v>1040</v>
      </c>
    </row>
    <row r="24" spans="1:6">
      <c r="A24" s="3">
        <v>22</v>
      </c>
      <c r="D24" s="4" t="s">
        <v>35</v>
      </c>
      <c r="E24" s="9">
        <f t="shared" si="2"/>
        <v>0</v>
      </c>
      <c r="F24" s="2">
        <f t="shared" si="3"/>
        <v>0</v>
      </c>
    </row>
    <row r="25" spans="1:18">
      <c r="A25" s="3">
        <v>23</v>
      </c>
      <c r="B25" s="3" t="s">
        <v>20</v>
      </c>
      <c r="D25" s="4" t="s">
        <v>36</v>
      </c>
      <c r="E25" s="9">
        <f t="shared" si="2"/>
        <v>12000</v>
      </c>
      <c r="F25" s="2">
        <f t="shared" si="3"/>
        <v>12480</v>
      </c>
      <c r="H25" s="3">
        <v>3120</v>
      </c>
      <c r="K25" s="3">
        <v>1040</v>
      </c>
      <c r="L25" s="3">
        <v>2080</v>
      </c>
      <c r="O25" s="3">
        <v>3120</v>
      </c>
      <c r="R25" s="3">
        <v>3120</v>
      </c>
    </row>
    <row r="26" spans="1:6">
      <c r="A26" s="3">
        <v>24</v>
      </c>
      <c r="D26" s="4" t="s">
        <v>37</v>
      </c>
      <c r="E26" s="9">
        <f t="shared" si="2"/>
        <v>0</v>
      </c>
      <c r="F26" s="2">
        <f t="shared" si="3"/>
        <v>0</v>
      </c>
    </row>
    <row r="27" spans="1:12">
      <c r="A27" s="3">
        <v>25</v>
      </c>
      <c r="B27" s="3" t="s">
        <v>18</v>
      </c>
      <c r="D27" s="4" t="s">
        <v>38</v>
      </c>
      <c r="E27" s="9">
        <f t="shared" si="2"/>
        <v>2000</v>
      </c>
      <c r="F27" s="2">
        <f t="shared" si="3"/>
        <v>2080</v>
      </c>
      <c r="L27" s="3">
        <v>2080</v>
      </c>
    </row>
    <row r="28" spans="1:12">
      <c r="A28" s="3">
        <v>26</v>
      </c>
      <c r="B28" s="3" t="s">
        <v>16</v>
      </c>
      <c r="D28" s="4" t="s">
        <v>39</v>
      </c>
      <c r="E28" s="9">
        <f t="shared" si="2"/>
        <v>3000</v>
      </c>
      <c r="F28" s="2">
        <f t="shared" si="3"/>
        <v>3120</v>
      </c>
      <c r="I28" s="3">
        <v>1040</v>
      </c>
      <c r="L28" s="3">
        <v>2080</v>
      </c>
    </row>
    <row r="29" spans="1:14">
      <c r="A29" s="3">
        <v>27</v>
      </c>
      <c r="B29" s="3" t="s">
        <v>40</v>
      </c>
      <c r="D29" s="4" t="s">
        <v>41</v>
      </c>
      <c r="E29" s="9">
        <f t="shared" si="2"/>
        <v>9000</v>
      </c>
      <c r="F29" s="2">
        <f t="shared" si="3"/>
        <v>9360</v>
      </c>
      <c r="H29" s="3">
        <v>2080</v>
      </c>
      <c r="J29" s="3">
        <v>1040</v>
      </c>
      <c r="K29" s="3">
        <v>1040</v>
      </c>
      <c r="L29" s="3">
        <v>2080</v>
      </c>
      <c r="N29" s="3">
        <v>3120</v>
      </c>
    </row>
    <row r="30" spans="1:19">
      <c r="A30" s="3">
        <v>28</v>
      </c>
      <c r="B30" s="3" t="s">
        <v>18</v>
      </c>
      <c r="D30" s="4" t="s">
        <v>42</v>
      </c>
      <c r="E30" s="9">
        <f t="shared" si="2"/>
        <v>7000</v>
      </c>
      <c r="F30" s="2">
        <f t="shared" si="3"/>
        <v>7280</v>
      </c>
      <c r="I30" s="3">
        <v>2080</v>
      </c>
      <c r="M30" s="3">
        <v>2080</v>
      </c>
      <c r="P30" s="3">
        <v>2080</v>
      </c>
      <c r="S30" s="3">
        <v>1040</v>
      </c>
    </row>
    <row r="31" spans="1:18">
      <c r="A31" s="3">
        <v>29</v>
      </c>
      <c r="D31" s="4" t="s">
        <v>43</v>
      </c>
      <c r="E31" s="9">
        <f t="shared" si="2"/>
        <v>12500</v>
      </c>
      <c r="F31" s="2">
        <f t="shared" si="3"/>
        <v>13000</v>
      </c>
      <c r="H31" s="3">
        <v>520</v>
      </c>
      <c r="I31" s="3">
        <v>2080</v>
      </c>
      <c r="J31" s="3">
        <v>5200</v>
      </c>
      <c r="R31" s="3">
        <v>5200</v>
      </c>
    </row>
    <row r="32" spans="1:6">
      <c r="A32" s="3">
        <v>30</v>
      </c>
      <c r="D32" s="4" t="s">
        <v>44</v>
      </c>
      <c r="E32" s="9">
        <f t="shared" si="2"/>
        <v>0</v>
      </c>
      <c r="F32" s="2">
        <f t="shared" si="3"/>
        <v>0</v>
      </c>
    </row>
    <row r="33" spans="1:19">
      <c r="A33" s="3">
        <v>31</v>
      </c>
      <c r="B33" s="3" t="s">
        <v>7</v>
      </c>
      <c r="D33" s="4" t="s">
        <v>45</v>
      </c>
      <c r="E33" s="9">
        <f t="shared" si="2"/>
        <v>9000</v>
      </c>
      <c r="F33" s="2">
        <f t="shared" si="3"/>
        <v>9360</v>
      </c>
      <c r="I33" s="3">
        <v>3120</v>
      </c>
      <c r="O33" s="3">
        <v>3120</v>
      </c>
      <c r="S33" s="3">
        <v>3120</v>
      </c>
    </row>
    <row r="34" spans="1:17">
      <c r="A34" s="3">
        <v>32</v>
      </c>
      <c r="B34" s="3" t="s">
        <v>16</v>
      </c>
      <c r="D34" s="4" t="s">
        <v>46</v>
      </c>
      <c r="E34" s="9">
        <f t="shared" si="2"/>
        <v>12000</v>
      </c>
      <c r="F34" s="2">
        <f t="shared" si="3"/>
        <v>12480</v>
      </c>
      <c r="I34" s="3">
        <v>2080</v>
      </c>
      <c r="J34" s="3">
        <v>1040</v>
      </c>
      <c r="K34" s="3">
        <v>1040</v>
      </c>
      <c r="L34" s="3">
        <v>2080</v>
      </c>
      <c r="N34" s="3">
        <v>3120</v>
      </c>
      <c r="Q34" s="3">
        <v>3120</v>
      </c>
    </row>
    <row r="35" spans="1:6">
      <c r="A35" s="3">
        <v>33</v>
      </c>
      <c r="B35" s="3" t="s">
        <v>7</v>
      </c>
      <c r="D35" s="4" t="s">
        <v>47</v>
      </c>
      <c r="E35" s="9">
        <f t="shared" ref="E35:E66" si="4">F35/1.04</f>
        <v>0</v>
      </c>
      <c r="F35" s="2">
        <f t="shared" ref="F35:F66" si="5">SUM(G35:AK35)</f>
        <v>0</v>
      </c>
    </row>
    <row r="36" spans="1:11">
      <c r="A36" s="3">
        <v>34</v>
      </c>
      <c r="B36" s="3" t="s">
        <v>12</v>
      </c>
      <c r="D36" s="4" t="s">
        <v>48</v>
      </c>
      <c r="E36" s="9">
        <f t="shared" si="4"/>
        <v>3000</v>
      </c>
      <c r="F36" s="2">
        <f t="shared" si="5"/>
        <v>3120</v>
      </c>
      <c r="K36" s="3">
        <v>3120</v>
      </c>
    </row>
    <row r="37" spans="1:6">
      <c r="A37" s="3">
        <v>35</v>
      </c>
      <c r="D37" s="4" t="s">
        <v>49</v>
      </c>
      <c r="E37" s="9">
        <f t="shared" si="4"/>
        <v>0</v>
      </c>
      <c r="F37" s="2">
        <f t="shared" si="5"/>
        <v>0</v>
      </c>
    </row>
    <row r="38" spans="1:6">
      <c r="A38" s="3">
        <v>36</v>
      </c>
      <c r="B38" s="3" t="s">
        <v>16</v>
      </c>
      <c r="D38" s="4" t="s">
        <v>50</v>
      </c>
      <c r="E38" s="9">
        <f t="shared" si="4"/>
        <v>0</v>
      </c>
      <c r="F38" s="2">
        <f t="shared" si="5"/>
        <v>0</v>
      </c>
    </row>
    <row r="39" spans="1:13">
      <c r="A39" s="3">
        <v>37</v>
      </c>
      <c r="B39" s="3" t="s">
        <v>7</v>
      </c>
      <c r="D39" s="4" t="s">
        <v>51</v>
      </c>
      <c r="E39" s="9">
        <f t="shared" si="4"/>
        <v>9000</v>
      </c>
      <c r="F39" s="2">
        <f t="shared" si="5"/>
        <v>9360</v>
      </c>
      <c r="H39" s="3">
        <v>3120</v>
      </c>
      <c r="M39" s="3">
        <v>6240</v>
      </c>
    </row>
    <row r="40" spans="1:15">
      <c r="A40" s="3">
        <v>38</v>
      </c>
      <c r="B40" s="3" t="s">
        <v>40</v>
      </c>
      <c r="D40" s="4" t="s">
        <v>52</v>
      </c>
      <c r="E40" s="9">
        <f t="shared" si="4"/>
        <v>3000</v>
      </c>
      <c r="F40" s="2">
        <f t="shared" si="5"/>
        <v>3120</v>
      </c>
      <c r="H40" s="3">
        <v>1040</v>
      </c>
      <c r="M40" s="3">
        <v>1040</v>
      </c>
      <c r="O40" s="3">
        <v>1040</v>
      </c>
    </row>
    <row r="41" spans="1:6">
      <c r="A41" s="3">
        <v>39</v>
      </c>
      <c r="D41" s="4" t="s">
        <v>53</v>
      </c>
      <c r="E41" s="9">
        <f t="shared" si="4"/>
        <v>0</v>
      </c>
      <c r="F41" s="2">
        <f t="shared" si="5"/>
        <v>0</v>
      </c>
    </row>
    <row r="42" spans="1:6">
      <c r="A42" s="3">
        <v>40</v>
      </c>
      <c r="D42" s="4" t="s">
        <v>54</v>
      </c>
      <c r="E42" s="9">
        <f t="shared" si="4"/>
        <v>0</v>
      </c>
      <c r="F42" s="2">
        <f t="shared" si="5"/>
        <v>0</v>
      </c>
    </row>
    <row r="43" spans="1:19">
      <c r="A43" s="3">
        <v>41</v>
      </c>
      <c r="B43" s="3" t="s">
        <v>7</v>
      </c>
      <c r="D43" s="4" t="s">
        <v>55</v>
      </c>
      <c r="E43" s="9">
        <f t="shared" si="4"/>
        <v>5000</v>
      </c>
      <c r="F43" s="2">
        <f t="shared" si="5"/>
        <v>5200</v>
      </c>
      <c r="H43" s="3">
        <v>1040</v>
      </c>
      <c r="I43" s="3">
        <v>1040</v>
      </c>
      <c r="L43" s="3">
        <v>2080</v>
      </c>
      <c r="S43" s="10">
        <v>1040</v>
      </c>
    </row>
    <row r="44" spans="1:6">
      <c r="A44" s="3">
        <v>42</v>
      </c>
      <c r="D44" s="4" t="s">
        <v>56</v>
      </c>
      <c r="E44" s="9">
        <f t="shared" si="4"/>
        <v>0</v>
      </c>
      <c r="F44" s="2">
        <f t="shared" si="5"/>
        <v>0</v>
      </c>
    </row>
    <row r="45" spans="1:6">
      <c r="A45" s="3">
        <v>43</v>
      </c>
      <c r="D45" s="4" t="s">
        <v>57</v>
      </c>
      <c r="E45" s="9">
        <f t="shared" si="4"/>
        <v>0</v>
      </c>
      <c r="F45" s="2">
        <f t="shared" si="5"/>
        <v>0</v>
      </c>
    </row>
    <row r="46" spans="1:17">
      <c r="A46" s="3">
        <v>44</v>
      </c>
      <c r="B46" s="3" t="s">
        <v>12</v>
      </c>
      <c r="D46" s="4" t="s">
        <v>58</v>
      </c>
      <c r="E46" s="9">
        <f t="shared" si="4"/>
        <v>3000</v>
      </c>
      <c r="F46" s="2">
        <f t="shared" si="5"/>
        <v>3120</v>
      </c>
      <c r="K46" s="3">
        <v>1040</v>
      </c>
      <c r="Q46" s="3">
        <v>2080</v>
      </c>
    </row>
    <row r="47" spans="1:11">
      <c r="A47" s="3">
        <v>45</v>
      </c>
      <c r="B47" s="3" t="s">
        <v>12</v>
      </c>
      <c r="D47" s="4" t="s">
        <v>59</v>
      </c>
      <c r="E47" s="9">
        <f t="shared" si="4"/>
        <v>2000</v>
      </c>
      <c r="F47" s="2">
        <f t="shared" si="5"/>
        <v>2080</v>
      </c>
      <c r="K47" s="3">
        <v>2080</v>
      </c>
    </row>
    <row r="48" spans="1:16">
      <c r="A48" s="3">
        <v>46</v>
      </c>
      <c r="B48" s="3" t="s">
        <v>60</v>
      </c>
      <c r="D48" s="4" t="s">
        <v>61</v>
      </c>
      <c r="E48" s="9">
        <f t="shared" si="4"/>
        <v>4000</v>
      </c>
      <c r="F48" s="2">
        <f t="shared" si="5"/>
        <v>4160</v>
      </c>
      <c r="P48" s="3">
        <v>4160</v>
      </c>
    </row>
    <row r="49" spans="1:6">
      <c r="A49" s="3">
        <v>47</v>
      </c>
      <c r="D49" s="4" t="s">
        <v>62</v>
      </c>
      <c r="E49" s="9">
        <f t="shared" si="4"/>
        <v>0</v>
      </c>
      <c r="F49" s="2">
        <f t="shared" si="5"/>
        <v>0</v>
      </c>
    </row>
    <row r="50" spans="1:17">
      <c r="A50" s="3">
        <v>48</v>
      </c>
      <c r="B50" s="3" t="s">
        <v>14</v>
      </c>
      <c r="D50" s="4" t="s">
        <v>63</v>
      </c>
      <c r="E50" s="9">
        <f t="shared" si="4"/>
        <v>13000</v>
      </c>
      <c r="F50" s="2">
        <f t="shared" si="5"/>
        <v>13520</v>
      </c>
      <c r="M50" s="3">
        <v>3120</v>
      </c>
      <c r="N50" s="3">
        <v>5200</v>
      </c>
      <c r="Q50" s="3">
        <v>5200</v>
      </c>
    </row>
    <row r="51" spans="1:14">
      <c r="A51" s="3">
        <v>49</v>
      </c>
      <c r="B51" s="3" t="s">
        <v>18</v>
      </c>
      <c r="D51" s="4" t="s">
        <v>64</v>
      </c>
      <c r="E51" s="9">
        <f t="shared" si="4"/>
        <v>14500</v>
      </c>
      <c r="F51" s="2">
        <f t="shared" si="5"/>
        <v>15080</v>
      </c>
      <c r="H51" s="3">
        <v>1560</v>
      </c>
      <c r="I51" s="3">
        <v>2080</v>
      </c>
      <c r="J51" s="3">
        <v>3120</v>
      </c>
      <c r="K51" s="3">
        <v>1040</v>
      </c>
      <c r="L51" s="3">
        <v>2080</v>
      </c>
      <c r="N51" s="3">
        <v>5200</v>
      </c>
    </row>
    <row r="52" spans="1:17">
      <c r="A52" s="3">
        <v>50</v>
      </c>
      <c r="D52" s="4" t="s">
        <v>65</v>
      </c>
      <c r="E52" s="9">
        <f t="shared" si="4"/>
        <v>2000</v>
      </c>
      <c r="F52" s="2">
        <f t="shared" si="5"/>
        <v>2080</v>
      </c>
      <c r="Q52" s="3">
        <v>2080</v>
      </c>
    </row>
    <row r="53" spans="1:18">
      <c r="A53" s="3">
        <v>51</v>
      </c>
      <c r="B53" s="3" t="s">
        <v>40</v>
      </c>
      <c r="D53" s="4" t="s">
        <v>66</v>
      </c>
      <c r="E53" s="9">
        <f t="shared" si="4"/>
        <v>18000</v>
      </c>
      <c r="F53" s="2">
        <f t="shared" si="5"/>
        <v>18720</v>
      </c>
      <c r="H53" s="3">
        <v>2080</v>
      </c>
      <c r="J53" s="3">
        <v>2080</v>
      </c>
      <c r="K53" s="3">
        <v>1040</v>
      </c>
      <c r="L53" s="3">
        <v>3120</v>
      </c>
      <c r="N53" s="3">
        <v>5200</v>
      </c>
      <c r="R53" s="3">
        <v>5200</v>
      </c>
    </row>
    <row r="54" spans="1:19">
      <c r="A54" s="3">
        <v>52</v>
      </c>
      <c r="B54" s="3" t="s">
        <v>16</v>
      </c>
      <c r="D54" s="4" t="s">
        <v>67</v>
      </c>
      <c r="E54" s="9">
        <f t="shared" si="4"/>
        <v>12000</v>
      </c>
      <c r="F54" s="2">
        <f t="shared" si="5"/>
        <v>12480</v>
      </c>
      <c r="H54" s="3">
        <v>3120</v>
      </c>
      <c r="J54" s="3">
        <v>1040</v>
      </c>
      <c r="L54" s="3">
        <v>2080</v>
      </c>
      <c r="O54" s="3">
        <v>3120</v>
      </c>
      <c r="S54" s="3">
        <v>3120</v>
      </c>
    </row>
    <row r="55" spans="1:6">
      <c r="A55" s="3">
        <v>53</v>
      </c>
      <c r="D55" s="4" t="s">
        <v>68</v>
      </c>
      <c r="E55" s="9">
        <f t="shared" si="4"/>
        <v>0</v>
      </c>
      <c r="F55" s="2">
        <f t="shared" si="5"/>
        <v>0</v>
      </c>
    </row>
    <row r="56" spans="1:6">
      <c r="A56" s="3">
        <v>54</v>
      </c>
      <c r="D56" s="4" t="s">
        <v>69</v>
      </c>
      <c r="E56" s="9">
        <f t="shared" si="4"/>
        <v>0</v>
      </c>
      <c r="F56" s="2">
        <f t="shared" si="5"/>
        <v>0</v>
      </c>
    </row>
    <row r="57" spans="1:18">
      <c r="A57" s="3">
        <v>55</v>
      </c>
      <c r="D57" s="4" t="s">
        <v>70</v>
      </c>
      <c r="E57" s="9">
        <f t="shared" si="4"/>
        <v>5000</v>
      </c>
      <c r="F57" s="2">
        <f t="shared" si="5"/>
        <v>5200</v>
      </c>
      <c r="J57" s="3">
        <v>1040</v>
      </c>
      <c r="Q57" s="3">
        <v>2080</v>
      </c>
      <c r="R57" s="3">
        <v>2080</v>
      </c>
    </row>
    <row r="58" spans="1:6">
      <c r="A58" s="3">
        <v>56</v>
      </c>
      <c r="D58" s="4" t="s">
        <v>71</v>
      </c>
      <c r="E58" s="9">
        <f t="shared" si="4"/>
        <v>0</v>
      </c>
      <c r="F58" s="2">
        <f t="shared" si="5"/>
        <v>0</v>
      </c>
    </row>
    <row r="59" spans="1:19">
      <c r="A59" s="3">
        <v>57</v>
      </c>
      <c r="B59" s="3" t="s">
        <v>18</v>
      </c>
      <c r="D59" s="4" t="s">
        <v>72</v>
      </c>
      <c r="E59" s="9">
        <f t="shared" si="4"/>
        <v>29000</v>
      </c>
      <c r="F59" s="2">
        <f t="shared" si="5"/>
        <v>30160</v>
      </c>
      <c r="H59" s="3">
        <v>2080</v>
      </c>
      <c r="I59" s="3">
        <v>2080</v>
      </c>
      <c r="J59" s="3">
        <v>5200</v>
      </c>
      <c r="K59" s="3">
        <v>2080</v>
      </c>
      <c r="L59" s="3">
        <v>3120</v>
      </c>
      <c r="M59" s="3">
        <v>5200</v>
      </c>
      <c r="Q59" s="3">
        <v>5200</v>
      </c>
      <c r="S59" s="3">
        <v>5200</v>
      </c>
    </row>
    <row r="60" spans="1:12">
      <c r="A60" s="3">
        <v>58</v>
      </c>
      <c r="D60" s="4" t="s">
        <v>73</v>
      </c>
      <c r="E60" s="9">
        <f t="shared" si="4"/>
        <v>1000</v>
      </c>
      <c r="F60" s="2">
        <f t="shared" si="5"/>
        <v>1040</v>
      </c>
      <c r="L60" s="3">
        <v>1040</v>
      </c>
    </row>
    <row r="61" spans="1:18">
      <c r="A61" s="3">
        <v>59</v>
      </c>
      <c r="B61" s="3" t="s">
        <v>7</v>
      </c>
      <c r="D61" s="4" t="s">
        <v>74</v>
      </c>
      <c r="E61" s="9">
        <f t="shared" si="4"/>
        <v>6000</v>
      </c>
      <c r="F61" s="2">
        <f t="shared" si="5"/>
        <v>6240</v>
      </c>
      <c r="J61" s="3">
        <v>1040</v>
      </c>
      <c r="M61" s="3">
        <v>2080</v>
      </c>
      <c r="Q61" s="3">
        <v>1040</v>
      </c>
      <c r="R61" s="3">
        <v>2080</v>
      </c>
    </row>
    <row r="62" spans="1:11">
      <c r="A62" s="3">
        <v>60</v>
      </c>
      <c r="B62" s="3" t="s">
        <v>16</v>
      </c>
      <c r="D62" s="4" t="s">
        <v>75</v>
      </c>
      <c r="E62" s="9">
        <f t="shared" si="4"/>
        <v>2000</v>
      </c>
      <c r="F62" s="2">
        <f t="shared" si="5"/>
        <v>2080</v>
      </c>
      <c r="K62" s="3">
        <v>2080</v>
      </c>
    </row>
    <row r="63" spans="1:17">
      <c r="A63" s="3">
        <v>61</v>
      </c>
      <c r="B63" s="3" t="s">
        <v>16</v>
      </c>
      <c r="D63" s="4" t="s">
        <v>76</v>
      </c>
      <c r="E63" s="9">
        <f t="shared" si="4"/>
        <v>6000</v>
      </c>
      <c r="F63" s="2">
        <f t="shared" si="5"/>
        <v>6240</v>
      </c>
      <c r="M63" s="3">
        <v>2080</v>
      </c>
      <c r="N63" s="3">
        <v>2080</v>
      </c>
      <c r="Q63" s="3">
        <v>2080</v>
      </c>
    </row>
    <row r="64" spans="1:16">
      <c r="A64" s="3">
        <v>62</v>
      </c>
      <c r="B64" s="3" t="s">
        <v>7</v>
      </c>
      <c r="D64" s="4" t="s">
        <v>77</v>
      </c>
      <c r="E64" s="9">
        <f t="shared" si="4"/>
        <v>12000</v>
      </c>
      <c r="F64" s="2">
        <f t="shared" si="5"/>
        <v>12480</v>
      </c>
      <c r="H64" s="3">
        <v>2080</v>
      </c>
      <c r="J64" s="3">
        <v>2080</v>
      </c>
      <c r="L64" s="3">
        <v>3120</v>
      </c>
      <c r="P64" s="3">
        <v>5200</v>
      </c>
    </row>
    <row r="65" spans="1:18">
      <c r="A65" s="3">
        <v>63</v>
      </c>
      <c r="B65" s="3" t="s">
        <v>40</v>
      </c>
      <c r="D65" s="4" t="s">
        <v>78</v>
      </c>
      <c r="E65" s="9">
        <f t="shared" si="4"/>
        <v>24000</v>
      </c>
      <c r="F65" s="2">
        <f t="shared" si="5"/>
        <v>24960</v>
      </c>
      <c r="H65" s="3">
        <v>2080</v>
      </c>
      <c r="J65" s="3">
        <v>2080</v>
      </c>
      <c r="K65" s="3">
        <v>3120</v>
      </c>
      <c r="L65" s="3">
        <v>2080</v>
      </c>
      <c r="M65" s="3">
        <v>5200</v>
      </c>
      <c r="O65" s="3">
        <v>5200</v>
      </c>
      <c r="R65" s="3">
        <v>5200</v>
      </c>
    </row>
    <row r="66" spans="1:19">
      <c r="A66" s="3">
        <v>64</v>
      </c>
      <c r="B66" s="3" t="s">
        <v>16</v>
      </c>
      <c r="D66" s="4" t="s">
        <v>79</v>
      </c>
      <c r="E66" s="9">
        <f t="shared" si="4"/>
        <v>7000</v>
      </c>
      <c r="F66" s="2">
        <f t="shared" si="5"/>
        <v>7280</v>
      </c>
      <c r="H66" s="3">
        <v>2080</v>
      </c>
      <c r="K66" s="3">
        <v>1040</v>
      </c>
      <c r="N66" s="3">
        <v>2080</v>
      </c>
      <c r="S66" s="3">
        <v>2080</v>
      </c>
    </row>
    <row r="67" spans="1:13">
      <c r="A67" s="3">
        <v>65</v>
      </c>
      <c r="B67" s="3" t="s">
        <v>14</v>
      </c>
      <c r="D67" s="4" t="s">
        <v>80</v>
      </c>
      <c r="E67" s="9">
        <f t="shared" ref="E67:E92" si="6">F67/1.04</f>
        <v>1500</v>
      </c>
      <c r="F67" s="2">
        <f t="shared" ref="F67:F92" si="7">SUM(G67:AK67)</f>
        <v>1560</v>
      </c>
      <c r="M67" s="3">
        <v>1560</v>
      </c>
    </row>
    <row r="68" spans="1:19">
      <c r="A68" s="3">
        <v>66</v>
      </c>
      <c r="B68" s="3" t="s">
        <v>9</v>
      </c>
      <c r="D68" s="4" t="s">
        <v>81</v>
      </c>
      <c r="E68" s="9">
        <f t="shared" si="6"/>
        <v>8000</v>
      </c>
      <c r="F68" s="2">
        <f t="shared" si="7"/>
        <v>8320</v>
      </c>
      <c r="O68" s="3">
        <v>2080</v>
      </c>
      <c r="P68" s="3">
        <v>3120</v>
      </c>
      <c r="S68" s="3">
        <v>3120</v>
      </c>
    </row>
    <row r="69" spans="1:6">
      <c r="A69" s="3">
        <v>67</v>
      </c>
      <c r="D69" s="4" t="s">
        <v>82</v>
      </c>
      <c r="E69" s="9">
        <f t="shared" si="6"/>
        <v>0</v>
      </c>
      <c r="F69" s="2">
        <f t="shared" si="7"/>
        <v>0</v>
      </c>
    </row>
    <row r="70" spans="1:17">
      <c r="A70" s="3">
        <v>68</v>
      </c>
      <c r="B70" s="3" t="s">
        <v>16</v>
      </c>
      <c r="D70" s="4" t="s">
        <v>83</v>
      </c>
      <c r="E70" s="9">
        <f t="shared" si="6"/>
        <v>15000</v>
      </c>
      <c r="F70" s="2">
        <f t="shared" si="7"/>
        <v>15600</v>
      </c>
      <c r="I70" s="3">
        <v>2080</v>
      </c>
      <c r="J70" s="3">
        <v>2080</v>
      </c>
      <c r="K70" s="3">
        <v>1040</v>
      </c>
      <c r="L70" s="3">
        <v>1040</v>
      </c>
      <c r="M70" s="3">
        <v>3120</v>
      </c>
      <c r="O70" s="3">
        <v>3120</v>
      </c>
      <c r="Q70" s="3">
        <v>3120</v>
      </c>
    </row>
    <row r="71" spans="1:19">
      <c r="A71" s="3">
        <v>69</v>
      </c>
      <c r="B71" s="3" t="s">
        <v>20</v>
      </c>
      <c r="D71" s="4" t="s">
        <v>84</v>
      </c>
      <c r="E71" s="9">
        <f t="shared" si="6"/>
        <v>9000</v>
      </c>
      <c r="F71" s="2">
        <f t="shared" si="7"/>
        <v>9360</v>
      </c>
      <c r="J71" s="3">
        <v>2080</v>
      </c>
      <c r="L71" s="3">
        <v>1040</v>
      </c>
      <c r="O71" s="3">
        <v>2080</v>
      </c>
      <c r="P71" s="3">
        <v>2080</v>
      </c>
      <c r="S71" s="3">
        <v>2080</v>
      </c>
    </row>
    <row r="72" spans="1:6">
      <c r="A72" s="3">
        <v>70</v>
      </c>
      <c r="D72" s="4" t="s">
        <v>85</v>
      </c>
      <c r="E72" s="9">
        <f t="shared" si="6"/>
        <v>0</v>
      </c>
      <c r="F72" s="2">
        <f t="shared" si="7"/>
        <v>0</v>
      </c>
    </row>
    <row r="73" spans="1:6">
      <c r="A73" s="3">
        <v>71</v>
      </c>
      <c r="D73" s="4" t="s">
        <v>86</v>
      </c>
      <c r="E73" s="9">
        <f t="shared" si="6"/>
        <v>0</v>
      </c>
      <c r="F73" s="2">
        <f t="shared" si="7"/>
        <v>0</v>
      </c>
    </row>
    <row r="74" spans="1:15">
      <c r="A74" s="3">
        <v>72</v>
      </c>
      <c r="B74" s="3" t="s">
        <v>18</v>
      </c>
      <c r="D74" s="4" t="s">
        <v>87</v>
      </c>
      <c r="E74" s="9">
        <f t="shared" si="6"/>
        <v>3000</v>
      </c>
      <c r="F74" s="2">
        <f t="shared" si="7"/>
        <v>3120</v>
      </c>
      <c r="L74" s="3">
        <v>1040</v>
      </c>
      <c r="O74" s="3">
        <v>2080</v>
      </c>
    </row>
    <row r="75" spans="1:6">
      <c r="A75" s="3">
        <v>73</v>
      </c>
      <c r="D75" s="4" t="s">
        <v>88</v>
      </c>
      <c r="E75" s="9">
        <f t="shared" si="6"/>
        <v>0</v>
      </c>
      <c r="F75" s="2">
        <f t="shared" si="7"/>
        <v>0</v>
      </c>
    </row>
    <row r="76" spans="1:6">
      <c r="A76" s="3">
        <v>74</v>
      </c>
      <c r="D76" s="4" t="s">
        <v>89</v>
      </c>
      <c r="E76" s="9">
        <f t="shared" si="6"/>
        <v>0</v>
      </c>
      <c r="F76" s="2">
        <f t="shared" si="7"/>
        <v>0</v>
      </c>
    </row>
    <row r="77" spans="1:19">
      <c r="A77" s="3">
        <v>75</v>
      </c>
      <c r="B77" s="3" t="s">
        <v>9</v>
      </c>
      <c r="D77" s="4" t="s">
        <v>90</v>
      </c>
      <c r="E77" s="9">
        <f t="shared" si="6"/>
        <v>12000</v>
      </c>
      <c r="F77" s="2">
        <f t="shared" si="7"/>
        <v>12480</v>
      </c>
      <c r="J77" s="3">
        <v>2080</v>
      </c>
      <c r="K77" s="3">
        <v>1040</v>
      </c>
      <c r="M77" s="3">
        <v>3120</v>
      </c>
      <c r="O77" s="3">
        <v>3120</v>
      </c>
      <c r="S77" s="3">
        <v>3120</v>
      </c>
    </row>
    <row r="78" spans="1:18">
      <c r="A78" s="3">
        <v>76</v>
      </c>
      <c r="B78" s="3" t="s">
        <v>7</v>
      </c>
      <c r="D78" s="4" t="s">
        <v>91</v>
      </c>
      <c r="E78" s="9">
        <f t="shared" si="6"/>
        <v>29000</v>
      </c>
      <c r="F78" s="2">
        <f t="shared" si="7"/>
        <v>30160</v>
      </c>
      <c r="I78" s="3">
        <v>2080</v>
      </c>
      <c r="J78" s="3">
        <v>5200</v>
      </c>
      <c r="K78" s="3">
        <v>2080</v>
      </c>
      <c r="L78" s="3">
        <v>5200</v>
      </c>
      <c r="N78" s="3">
        <v>5200</v>
      </c>
      <c r="P78" s="3">
        <v>5200</v>
      </c>
      <c r="R78" s="3">
        <v>5200</v>
      </c>
    </row>
    <row r="79" spans="1:19">
      <c r="A79" s="3">
        <v>77</v>
      </c>
      <c r="B79" s="3" t="s">
        <v>9</v>
      </c>
      <c r="D79" s="4" t="s">
        <v>92</v>
      </c>
      <c r="E79" s="9">
        <f t="shared" si="6"/>
        <v>5000</v>
      </c>
      <c r="F79" s="2">
        <f t="shared" si="7"/>
        <v>5200</v>
      </c>
      <c r="J79" s="3">
        <v>1040</v>
      </c>
      <c r="P79" s="3">
        <v>2080</v>
      </c>
      <c r="S79" s="3">
        <v>2080</v>
      </c>
    </row>
    <row r="80" spans="1:18">
      <c r="A80" s="3">
        <v>78</v>
      </c>
      <c r="B80" s="3" t="s">
        <v>12</v>
      </c>
      <c r="D80" s="4" t="s">
        <v>93</v>
      </c>
      <c r="E80" s="9">
        <f t="shared" si="6"/>
        <v>27000</v>
      </c>
      <c r="F80" s="2">
        <f t="shared" si="7"/>
        <v>28080</v>
      </c>
      <c r="K80" s="3">
        <v>2080</v>
      </c>
      <c r="L80" s="3">
        <v>15600</v>
      </c>
      <c r="O80" s="3">
        <v>5200</v>
      </c>
      <c r="R80" s="3">
        <v>5200</v>
      </c>
    </row>
    <row r="81" spans="1:6">
      <c r="A81" s="3">
        <v>79</v>
      </c>
      <c r="B81" s="3" t="s">
        <v>40</v>
      </c>
      <c r="C81" s="3" t="s">
        <v>94</v>
      </c>
      <c r="D81" s="4" t="s">
        <v>95</v>
      </c>
      <c r="E81" s="9">
        <f t="shared" si="6"/>
        <v>0</v>
      </c>
      <c r="F81" s="2">
        <f t="shared" si="7"/>
        <v>0</v>
      </c>
    </row>
    <row r="82" spans="1:18">
      <c r="A82" s="3">
        <v>80</v>
      </c>
      <c r="B82" s="3" t="s">
        <v>9</v>
      </c>
      <c r="D82" s="4" t="s">
        <v>96</v>
      </c>
      <c r="E82" s="9">
        <f t="shared" si="6"/>
        <v>6000</v>
      </c>
      <c r="F82" s="2">
        <f t="shared" si="7"/>
        <v>6240</v>
      </c>
      <c r="H82" s="3">
        <v>1040</v>
      </c>
      <c r="J82" s="3">
        <v>1040</v>
      </c>
      <c r="L82" s="3">
        <v>2080</v>
      </c>
      <c r="R82" s="3">
        <v>2080</v>
      </c>
    </row>
    <row r="83" spans="1:14">
      <c r="A83" s="3">
        <v>81</v>
      </c>
      <c r="B83" s="3" t="s">
        <v>9</v>
      </c>
      <c r="D83" s="4" t="s">
        <v>97</v>
      </c>
      <c r="E83" s="9">
        <f t="shared" si="6"/>
        <v>10000</v>
      </c>
      <c r="F83" s="2">
        <f t="shared" si="7"/>
        <v>10400</v>
      </c>
      <c r="H83" s="3">
        <v>2080</v>
      </c>
      <c r="J83" s="3">
        <v>2080</v>
      </c>
      <c r="M83" s="3">
        <v>3120</v>
      </c>
      <c r="N83" s="3">
        <v>3120</v>
      </c>
    </row>
    <row r="84" spans="1:17">
      <c r="A84" s="3">
        <v>82</v>
      </c>
      <c r="B84" s="3" t="s">
        <v>40</v>
      </c>
      <c r="D84" s="4" t="s">
        <v>98</v>
      </c>
      <c r="E84" s="9">
        <f t="shared" si="6"/>
        <v>6000</v>
      </c>
      <c r="F84" s="2">
        <f t="shared" si="7"/>
        <v>6240</v>
      </c>
      <c r="M84" s="3">
        <v>2080</v>
      </c>
      <c r="P84" s="3">
        <v>1040</v>
      </c>
      <c r="Q84" s="3">
        <v>3120</v>
      </c>
    </row>
    <row r="85" spans="1:12">
      <c r="A85" s="3">
        <v>83</v>
      </c>
      <c r="B85" s="3" t="s">
        <v>18</v>
      </c>
      <c r="D85" s="4" t="s">
        <v>99</v>
      </c>
      <c r="E85" s="9">
        <f t="shared" si="6"/>
        <v>4000</v>
      </c>
      <c r="F85" s="2">
        <f t="shared" si="7"/>
        <v>4160</v>
      </c>
      <c r="I85" s="3">
        <v>2080</v>
      </c>
      <c r="L85" s="3">
        <v>2080</v>
      </c>
    </row>
    <row r="86" spans="1:17">
      <c r="A86" s="3">
        <v>84</v>
      </c>
      <c r="B86" s="3" t="s">
        <v>12</v>
      </c>
      <c r="D86" s="4" t="s">
        <v>100</v>
      </c>
      <c r="E86" s="9">
        <f t="shared" si="6"/>
        <v>12000</v>
      </c>
      <c r="F86" s="2">
        <f t="shared" si="7"/>
        <v>12480</v>
      </c>
      <c r="H86" s="3">
        <v>2080</v>
      </c>
      <c r="J86" s="3">
        <v>2080</v>
      </c>
      <c r="K86" s="3">
        <v>1040</v>
      </c>
      <c r="L86" s="3">
        <v>1040</v>
      </c>
      <c r="M86" s="3">
        <v>3120</v>
      </c>
      <c r="Q86" s="3">
        <v>3120</v>
      </c>
    </row>
    <row r="87" spans="1:17">
      <c r="A87" s="3">
        <v>85</v>
      </c>
      <c r="B87" s="3" t="s">
        <v>16</v>
      </c>
      <c r="D87" s="4" t="s">
        <v>101</v>
      </c>
      <c r="E87" s="9">
        <f t="shared" si="6"/>
        <v>3000</v>
      </c>
      <c r="F87" s="2">
        <f t="shared" si="7"/>
        <v>3120</v>
      </c>
      <c r="L87" s="3">
        <v>2080</v>
      </c>
      <c r="Q87" s="3">
        <v>1040</v>
      </c>
    </row>
    <row r="88" spans="1:6">
      <c r="A88" s="3">
        <v>86</v>
      </c>
      <c r="B88" s="3" t="s">
        <v>16</v>
      </c>
      <c r="D88" s="4" t="s">
        <v>102</v>
      </c>
      <c r="E88" s="9">
        <f t="shared" si="6"/>
        <v>0</v>
      </c>
      <c r="F88" s="2">
        <f t="shared" si="7"/>
        <v>0</v>
      </c>
    </row>
    <row r="89" spans="1:17">
      <c r="A89" s="3">
        <v>87</v>
      </c>
      <c r="B89" s="3" t="s">
        <v>18</v>
      </c>
      <c r="D89" s="4" t="s">
        <v>103</v>
      </c>
      <c r="E89" s="9">
        <f t="shared" si="6"/>
        <v>20000</v>
      </c>
      <c r="F89" s="2">
        <f t="shared" si="7"/>
        <v>20800</v>
      </c>
      <c r="H89" s="3">
        <v>2080</v>
      </c>
      <c r="I89" s="3">
        <v>1040</v>
      </c>
      <c r="J89" s="3">
        <v>3120</v>
      </c>
      <c r="K89" s="3">
        <v>1040</v>
      </c>
      <c r="L89" s="3">
        <v>3120</v>
      </c>
      <c r="N89" s="3">
        <v>5200</v>
      </c>
      <c r="Q89" s="3">
        <v>5200</v>
      </c>
    </row>
    <row r="90" spans="1:19">
      <c r="A90" s="3">
        <v>88</v>
      </c>
      <c r="B90" s="3" t="s">
        <v>7</v>
      </c>
      <c r="D90" s="4" t="s">
        <v>104</v>
      </c>
      <c r="E90" s="9">
        <f t="shared" si="6"/>
        <v>6000</v>
      </c>
      <c r="F90" s="2">
        <f t="shared" si="7"/>
        <v>6240</v>
      </c>
      <c r="H90" s="3">
        <v>1040</v>
      </c>
      <c r="K90" s="3">
        <v>1040</v>
      </c>
      <c r="M90" s="3">
        <v>2080</v>
      </c>
      <c r="S90" s="3">
        <v>2080</v>
      </c>
    </row>
    <row r="91" spans="1:18">
      <c r="A91" s="3">
        <v>89</v>
      </c>
      <c r="B91" s="3" t="s">
        <v>16</v>
      </c>
      <c r="D91" s="4" t="s">
        <v>105</v>
      </c>
      <c r="E91" s="9">
        <f t="shared" si="6"/>
        <v>9000</v>
      </c>
      <c r="F91" s="2">
        <f t="shared" si="7"/>
        <v>9360</v>
      </c>
      <c r="H91" s="3">
        <v>3120</v>
      </c>
      <c r="I91" s="3">
        <v>2080</v>
      </c>
      <c r="L91" s="3">
        <v>3120</v>
      </c>
      <c r="R91" s="3">
        <v>1040</v>
      </c>
    </row>
    <row r="92" spans="1:6">
      <c r="A92" s="3">
        <v>90</v>
      </c>
      <c r="D92" s="4" t="s">
        <v>106</v>
      </c>
      <c r="E92" s="9">
        <f t="shared" si="6"/>
        <v>0</v>
      </c>
      <c r="F92" s="2">
        <f t="shared" si="7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2020-12-13T13:04:33Z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