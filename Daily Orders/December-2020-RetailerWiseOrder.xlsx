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C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H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H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C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E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<sst xmlns="http://schemas.openxmlformats.org/spreadsheetml/2006/main" count="173" uniqueCount="114">
  <si>
    <t>S.No.</t>
  </si>
  <si>
    <t>Alias Name</t>
  </si>
  <si>
    <t>Area</t>
  </si>
  <si>
    <t>Retailer Name</t>
  </si>
  <si>
    <t>Amount To be Collect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</si>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</sst>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[$-409]d\-mmm;@"/>
    <numFmt numFmtId="178" formatCode="_ * #,##0.00_ ;_ * \-#,##0.00_ ;_ * &quot;-&quot;??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4" borderId="2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0" fillId="22" borderId="6" applyNumberFormat="0" applyFon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0" fillId="31" borderId="7" applyNumberFormat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5" fillId="13" borderId="1" applyNumberForma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4"/>
  <sheetViews>
    <sheetView tabSelected="1" workbookViewId="0">
      <pane xSplit="6" ySplit="2" topLeftCell="AF46" activePane="bottomRight" state="frozen"/>
      <selection/>
      <selection pane="topRight"/>
      <selection pane="bottomLeft"/>
      <selection pane="bottomRight" activeCell="D66" sqref="D66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2:37">
      <c r="B2" s="6">
        <f>SUM(F3:F119)/1.04</f>
        <v>1250000</v>
      </c>
      <c r="C2" s="7">
        <f>SUM(F3:F119)</f>
        <v>1300000</v>
      </c>
      <c r="D2" s="8" t="s">
        <v>6</v>
      </c>
      <c r="E2" s="7">
        <f t="shared" ref="E2:E16" si="0">F2/1.04</f>
        <v>1250000</v>
      </c>
      <c r="F2" s="6">
        <f t="shared" ref="F2:F16" si="1">SUM(G2:AK2)</f>
        <v>1300000</v>
      </c>
      <c r="G2" s="2">
        <f>SUM(G3:G120)</f>
        <v>0</v>
      </c>
      <c r="H2" s="2">
        <f>SUM(H3:H120)</f>
        <v>42640</v>
      </c>
      <c r="I2" s="2">
        <f>SUM(I3:I120)</f>
        <v>29120</v>
      </c>
      <c r="J2" s="2">
        <f t="shared" ref="J2:AK2" si="2">SUM(J3:J120)</f>
        <v>56160</v>
      </c>
      <c r="K2" s="2">
        <f t="shared" si="2"/>
        <v>34320</v>
      </c>
      <c r="L2" s="2">
        <f t="shared" si="2"/>
        <v>74880</v>
      </c>
      <c r="M2" s="2">
        <f t="shared" si="2"/>
        <v>54600</v>
      </c>
      <c r="N2" s="2">
        <f t="shared" si="2"/>
        <v>45760</v>
      </c>
      <c r="O2" s="2">
        <f t="shared" si="2"/>
        <v>38480</v>
      </c>
      <c r="P2" s="2">
        <f t="shared" si="2"/>
        <v>31200</v>
      </c>
      <c r="Q2" s="2">
        <f t="shared" si="2"/>
        <v>38480</v>
      </c>
      <c r="R2" s="2">
        <f t="shared" si="2"/>
        <v>56160</v>
      </c>
      <c r="S2" s="2">
        <f t="shared" si="2"/>
        <v>37440</v>
      </c>
      <c r="T2" s="2">
        <f t="shared" si="2"/>
        <v>36400</v>
      </c>
      <c r="U2" s="2">
        <f t="shared" si="2"/>
        <v>53040</v>
      </c>
      <c r="V2" s="2">
        <f t="shared" si="2"/>
        <v>54080</v>
      </c>
      <c r="W2" s="2">
        <f t="shared" si="2"/>
        <v>57200</v>
      </c>
      <c r="X2" s="2">
        <f t="shared" si="2"/>
        <v>33280</v>
      </c>
      <c r="Y2" s="2">
        <f t="shared" si="2"/>
        <v>30160</v>
      </c>
      <c r="Z2" s="2">
        <f t="shared" si="2"/>
        <v>39520</v>
      </c>
      <c r="AA2" s="2">
        <f t="shared" si="2"/>
        <v>36400</v>
      </c>
      <c r="AB2" s="2">
        <f t="shared" si="2"/>
        <v>39520</v>
      </c>
      <c r="AC2" s="2">
        <f t="shared" si="2"/>
        <v>73840</v>
      </c>
      <c r="AD2" s="2">
        <f t="shared" si="2"/>
        <v>36400</v>
      </c>
      <c r="AE2" s="2">
        <f t="shared" si="2"/>
        <v>43160</v>
      </c>
      <c r="AF2" s="2">
        <f t="shared" si="2"/>
        <v>40560</v>
      </c>
      <c r="AG2" s="2">
        <f t="shared" si="2"/>
        <v>35360</v>
      </c>
      <c r="AH2" s="2">
        <f t="shared" si="2"/>
        <v>63440</v>
      </c>
      <c r="AI2" s="2">
        <f t="shared" si="2"/>
        <v>35360</v>
      </c>
      <c r="AJ2" s="2">
        <f t="shared" si="2"/>
        <v>45760</v>
      </c>
      <c r="AK2" s="2">
        <f t="shared" si="2"/>
        <v>7280</v>
      </c>
    </row>
    <row r="3" s="3" customFormat="1" spans="1:28">
      <c r="A3" s="3">
        <v>1</v>
      </c>
      <c r="C3" s="3" t="s">
        <v>7</v>
      </c>
      <c r="D3" s="4" t="s">
        <v>8</v>
      </c>
      <c r="E3" s="9">
        <f t="shared" si="0"/>
        <v>6000</v>
      </c>
      <c r="F3" s="9">
        <f t="shared" si="1"/>
        <v>6240</v>
      </c>
      <c r="V3" s="3">
        <v>3120</v>
      </c>
      <c r="AB3" s="3">
        <v>3120</v>
      </c>
    </row>
    <row r="4" s="3" customFormat="1" spans="1:32">
      <c r="A4" s="3">
        <v>2</v>
      </c>
      <c r="C4" s="3" t="s">
        <v>7</v>
      </c>
      <c r="D4" s="4" t="s">
        <v>9</v>
      </c>
      <c r="E4" s="9">
        <f t="shared" si="0"/>
        <v>6000</v>
      </c>
      <c r="F4" s="9">
        <f t="shared" si="1"/>
        <v>6240</v>
      </c>
      <c r="L4" s="3">
        <v>2080</v>
      </c>
      <c r="Y4" s="12">
        <v>2080</v>
      </c>
      <c r="AF4" s="12">
        <v>2080</v>
      </c>
    </row>
    <row r="5" s="3" customFormat="1" spans="1:36">
      <c r="A5" s="3">
        <v>3</v>
      </c>
      <c r="C5" s="3" t="s">
        <v>7</v>
      </c>
      <c r="D5" s="4" t="s">
        <v>10</v>
      </c>
      <c r="E5" s="9">
        <f t="shared" si="0"/>
        <v>15000</v>
      </c>
      <c r="F5" s="9">
        <f t="shared" si="1"/>
        <v>15600</v>
      </c>
      <c r="I5" s="3">
        <v>2080</v>
      </c>
      <c r="M5" s="3">
        <v>2080</v>
      </c>
      <c r="P5" s="3">
        <v>2080</v>
      </c>
      <c r="S5" s="3">
        <v>1040</v>
      </c>
      <c r="U5" s="3">
        <v>1040</v>
      </c>
      <c r="V5" s="3">
        <v>1040</v>
      </c>
      <c r="Y5" s="3">
        <v>1040</v>
      </c>
      <c r="AC5" s="3">
        <v>1040</v>
      </c>
      <c r="AD5" s="3">
        <v>1040</v>
      </c>
      <c r="AG5" s="3">
        <v>1040</v>
      </c>
      <c r="AI5" s="3">
        <v>1040</v>
      </c>
      <c r="AJ5" s="3">
        <v>1040</v>
      </c>
    </row>
    <row r="6" s="3" customFormat="1" spans="1:37">
      <c r="A6" s="3">
        <v>4</v>
      </c>
      <c r="C6" s="3" t="s">
        <v>7</v>
      </c>
      <c r="D6" s="4" t="s">
        <v>11</v>
      </c>
      <c r="E6" s="9">
        <f t="shared" si="0"/>
        <v>29500</v>
      </c>
      <c r="F6" s="9">
        <f t="shared" si="1"/>
        <v>30680</v>
      </c>
      <c r="H6" s="3">
        <v>1560</v>
      </c>
      <c r="I6" s="3">
        <v>2080</v>
      </c>
      <c r="J6" s="3">
        <v>3120</v>
      </c>
      <c r="K6" s="3">
        <v>1040</v>
      </c>
      <c r="L6" s="3">
        <v>2080</v>
      </c>
      <c r="N6" s="3">
        <v>5200</v>
      </c>
      <c r="V6" s="3">
        <v>5200</v>
      </c>
      <c r="AC6" s="3">
        <v>5200</v>
      </c>
      <c r="AK6" s="3">
        <v>5200</v>
      </c>
    </row>
    <row r="7" s="3" customFormat="1" spans="1:36">
      <c r="A7" s="3">
        <v>5</v>
      </c>
      <c r="C7" s="3" t="s">
        <v>7</v>
      </c>
      <c r="D7" s="4" t="s">
        <v>12</v>
      </c>
      <c r="E7" s="9">
        <f t="shared" si="0"/>
        <v>64000</v>
      </c>
      <c r="F7" s="9">
        <f t="shared" si="1"/>
        <v>66560</v>
      </c>
      <c r="H7" s="3">
        <v>2080</v>
      </c>
      <c r="I7" s="3">
        <v>2080</v>
      </c>
      <c r="J7" s="3">
        <v>5200</v>
      </c>
      <c r="K7" s="3">
        <v>2080</v>
      </c>
      <c r="L7" s="3">
        <v>3120</v>
      </c>
      <c r="M7" s="3">
        <v>5200</v>
      </c>
      <c r="Q7" s="3">
        <v>5200</v>
      </c>
      <c r="S7" s="3">
        <v>5200</v>
      </c>
      <c r="V7" s="3">
        <v>5200</v>
      </c>
      <c r="X7" s="3">
        <v>4160</v>
      </c>
      <c r="Y7" s="3">
        <v>2080</v>
      </c>
      <c r="Z7" s="3">
        <v>2080</v>
      </c>
      <c r="AB7" s="3">
        <v>2080</v>
      </c>
      <c r="AC7" s="3">
        <v>4160</v>
      </c>
      <c r="AD7" s="3">
        <v>2080</v>
      </c>
      <c r="AE7" s="3">
        <v>2080</v>
      </c>
      <c r="AF7" s="3">
        <v>2080</v>
      </c>
      <c r="AG7" s="3">
        <v>2080</v>
      </c>
      <c r="AH7" s="3">
        <v>4160</v>
      </c>
      <c r="AI7" s="3">
        <v>2080</v>
      </c>
      <c r="AJ7" s="3">
        <v>2080</v>
      </c>
    </row>
    <row r="8" s="3" customFormat="1" spans="1:36">
      <c r="A8" s="3">
        <v>6</v>
      </c>
      <c r="C8" s="3" t="s">
        <v>7</v>
      </c>
      <c r="D8" s="4" t="s">
        <v>13</v>
      </c>
      <c r="E8" s="9">
        <f t="shared" si="0"/>
        <v>7000</v>
      </c>
      <c r="F8" s="9">
        <f t="shared" si="1"/>
        <v>7280</v>
      </c>
      <c r="L8" s="3">
        <v>1040</v>
      </c>
      <c r="O8" s="3">
        <v>2080</v>
      </c>
      <c r="X8" s="3">
        <v>2080</v>
      </c>
      <c r="AJ8" s="3">
        <v>2080</v>
      </c>
    </row>
    <row r="9" s="3" customFormat="1" spans="1:33">
      <c r="A9" s="3">
        <v>7</v>
      </c>
      <c r="C9" s="3" t="s">
        <v>7</v>
      </c>
      <c r="D9" s="4" t="s">
        <v>14</v>
      </c>
      <c r="E9" s="9">
        <f t="shared" si="0"/>
        <v>8000</v>
      </c>
      <c r="F9" s="9">
        <f t="shared" si="1"/>
        <v>8320</v>
      </c>
      <c r="I9" s="3">
        <v>2080</v>
      </c>
      <c r="L9" s="3">
        <v>2080</v>
      </c>
      <c r="U9" s="3">
        <v>2080</v>
      </c>
      <c r="AG9" s="3">
        <v>2080</v>
      </c>
    </row>
    <row r="10" s="3" customFormat="1" spans="1:36">
      <c r="A10" s="3">
        <v>8</v>
      </c>
      <c r="C10" s="3" t="s">
        <v>7</v>
      </c>
      <c r="D10" s="4" t="s">
        <v>15</v>
      </c>
      <c r="E10" s="9">
        <f t="shared" si="0"/>
        <v>45000</v>
      </c>
      <c r="F10" s="9">
        <f t="shared" si="1"/>
        <v>46800</v>
      </c>
      <c r="H10" s="3">
        <v>2080</v>
      </c>
      <c r="I10" s="3">
        <v>1040</v>
      </c>
      <c r="J10" s="3">
        <v>3120</v>
      </c>
      <c r="K10" s="3">
        <v>1040</v>
      </c>
      <c r="L10" s="3">
        <v>3120</v>
      </c>
      <c r="N10" s="3">
        <v>5200</v>
      </c>
      <c r="Q10" s="3">
        <v>5200</v>
      </c>
      <c r="V10" s="3">
        <v>5200</v>
      </c>
      <c r="Z10" s="3">
        <v>5200</v>
      </c>
      <c r="AC10" s="3">
        <v>5200</v>
      </c>
      <c r="AG10" s="3">
        <v>5200</v>
      </c>
      <c r="AJ10" s="3">
        <v>5200</v>
      </c>
    </row>
    <row r="11" s="3" customFormat="1" spans="1:28">
      <c r="A11" s="3">
        <v>9</v>
      </c>
      <c r="C11" s="3" t="s">
        <v>16</v>
      </c>
      <c r="D11" s="4" t="s">
        <v>17</v>
      </c>
      <c r="E11" s="9">
        <f t="shared" si="0"/>
        <v>13000</v>
      </c>
      <c r="F11" s="9">
        <f t="shared" si="1"/>
        <v>13520</v>
      </c>
      <c r="H11" s="3">
        <v>2080</v>
      </c>
      <c r="J11" s="3">
        <v>1040</v>
      </c>
      <c r="K11" s="3">
        <v>1040</v>
      </c>
      <c r="L11" s="3">
        <v>2080</v>
      </c>
      <c r="N11" s="3">
        <v>3120</v>
      </c>
      <c r="V11" s="3">
        <v>2080</v>
      </c>
      <c r="AB11" s="3">
        <v>2080</v>
      </c>
    </row>
    <row r="12" s="3" customFormat="1" spans="1:35">
      <c r="A12" s="3">
        <v>10</v>
      </c>
      <c r="C12" s="3" t="s">
        <v>16</v>
      </c>
      <c r="D12" s="4" t="s">
        <v>18</v>
      </c>
      <c r="E12" s="9">
        <f t="shared" si="0"/>
        <v>7000</v>
      </c>
      <c r="F12" s="9">
        <f t="shared" si="1"/>
        <v>7280</v>
      </c>
      <c r="H12" s="3">
        <v>1040</v>
      </c>
      <c r="M12" s="3">
        <v>1040</v>
      </c>
      <c r="O12" s="3">
        <v>1040</v>
      </c>
      <c r="W12" s="12">
        <v>1040</v>
      </c>
      <c r="AC12" s="12">
        <v>1040</v>
      </c>
      <c r="AF12" s="3">
        <v>1040</v>
      </c>
      <c r="AI12" s="3">
        <v>1040</v>
      </c>
    </row>
    <row r="13" s="3" customFormat="1" spans="1:35">
      <c r="A13" s="3">
        <v>11</v>
      </c>
      <c r="C13" s="3" t="s">
        <v>16</v>
      </c>
      <c r="D13" s="4" t="s">
        <v>19</v>
      </c>
      <c r="E13" s="9">
        <f t="shared" si="0"/>
        <v>33000</v>
      </c>
      <c r="F13" s="9">
        <f t="shared" si="1"/>
        <v>34320</v>
      </c>
      <c r="H13" s="3">
        <v>2080</v>
      </c>
      <c r="J13" s="3">
        <v>2080</v>
      </c>
      <c r="K13" s="3">
        <v>1040</v>
      </c>
      <c r="L13" s="3">
        <v>3120</v>
      </c>
      <c r="N13" s="3">
        <v>5200</v>
      </c>
      <c r="R13" s="3">
        <v>5200</v>
      </c>
      <c r="W13" s="3">
        <v>5200</v>
      </c>
      <c r="AD13" s="3">
        <v>5200</v>
      </c>
      <c r="AI13" s="3">
        <v>5200</v>
      </c>
    </row>
    <row r="14" s="3" customFormat="1" spans="1:34">
      <c r="A14" s="3">
        <v>12</v>
      </c>
      <c r="C14" s="3" t="s">
        <v>16</v>
      </c>
      <c r="D14" s="4" t="s">
        <v>20</v>
      </c>
      <c r="E14" s="9">
        <f t="shared" si="0"/>
        <v>49000</v>
      </c>
      <c r="F14" s="9">
        <f t="shared" si="1"/>
        <v>50960</v>
      </c>
      <c r="H14" s="3">
        <v>2080</v>
      </c>
      <c r="J14" s="3">
        <v>2080</v>
      </c>
      <c r="K14" s="3">
        <v>3120</v>
      </c>
      <c r="L14" s="3">
        <v>2080</v>
      </c>
      <c r="M14" s="3">
        <v>5200</v>
      </c>
      <c r="O14" s="3">
        <v>5200</v>
      </c>
      <c r="R14" s="3">
        <v>5200</v>
      </c>
      <c r="T14" s="3">
        <v>5200</v>
      </c>
      <c r="X14" s="3">
        <v>5200</v>
      </c>
      <c r="AA14" s="3">
        <v>5200</v>
      </c>
      <c r="AE14" s="3">
        <v>5200</v>
      </c>
      <c r="AH14" s="3">
        <v>5200</v>
      </c>
    </row>
    <row r="15" s="3" customFormat="1" spans="1:36">
      <c r="A15" s="3">
        <v>13</v>
      </c>
      <c r="B15" s="3" t="s">
        <v>21</v>
      </c>
      <c r="C15" s="3" t="s">
        <v>16</v>
      </c>
      <c r="D15" s="4" t="s">
        <v>22</v>
      </c>
      <c r="E15" s="9">
        <f t="shared" si="0"/>
        <v>10000</v>
      </c>
      <c r="F15" s="9">
        <f t="shared" si="1"/>
        <v>10400</v>
      </c>
      <c r="T15" s="3">
        <v>2080</v>
      </c>
      <c r="V15" s="3">
        <v>2080</v>
      </c>
      <c r="AB15" s="3">
        <v>2080</v>
      </c>
      <c r="AH15" s="3">
        <v>2080</v>
      </c>
      <c r="AJ15" s="3">
        <v>2080</v>
      </c>
    </row>
    <row r="16" spans="1:33">
      <c r="A16" s="3">
        <v>14</v>
      </c>
      <c r="C16" s="4" t="s">
        <v>16</v>
      </c>
      <c r="D16" s="4" t="s">
        <v>23</v>
      </c>
      <c r="E16" s="9">
        <f t="shared" si="0"/>
        <v>3000</v>
      </c>
      <c r="F16" s="9">
        <f t="shared" si="1"/>
        <v>3120</v>
      </c>
      <c r="AG16" s="12">
        <v>3120</v>
      </c>
    </row>
    <row r="17" s="3" customFormat="1" spans="1:34">
      <c r="A17" s="3">
        <v>15</v>
      </c>
      <c r="C17" s="3" t="s">
        <v>16</v>
      </c>
      <c r="D17" s="4" t="s">
        <v>24</v>
      </c>
      <c r="E17" s="9">
        <f t="shared" ref="E17:E35" si="3">F17/1.04</f>
        <v>18000</v>
      </c>
      <c r="F17" s="9">
        <f t="shared" ref="F17:F35" si="4">SUM(G17:AK17)</f>
        <v>18720</v>
      </c>
      <c r="M17" s="3">
        <v>2080</v>
      </c>
      <c r="P17" s="3">
        <v>1040</v>
      </c>
      <c r="Q17" s="3">
        <v>3120</v>
      </c>
      <c r="T17" s="3">
        <v>3120</v>
      </c>
      <c r="X17" s="3">
        <v>3120</v>
      </c>
      <c r="AD17" s="3">
        <v>3120</v>
      </c>
      <c r="AH17" s="3">
        <v>3120</v>
      </c>
    </row>
    <row r="18" s="3" customFormat="1" spans="1:34">
      <c r="A18" s="3">
        <v>16</v>
      </c>
      <c r="C18" s="3" t="s">
        <v>25</v>
      </c>
      <c r="D18" s="4" t="s">
        <v>26</v>
      </c>
      <c r="E18" s="9">
        <f t="shared" si="3"/>
        <v>29000</v>
      </c>
      <c r="F18" s="9">
        <f t="shared" si="4"/>
        <v>30160</v>
      </c>
      <c r="H18" s="3">
        <v>3120</v>
      </c>
      <c r="K18" s="3">
        <v>3120</v>
      </c>
      <c r="L18" s="3">
        <v>3120</v>
      </c>
      <c r="M18" s="3">
        <v>5200</v>
      </c>
      <c r="R18" s="3">
        <v>5200</v>
      </c>
      <c r="Y18" s="3">
        <v>5200</v>
      </c>
      <c r="AH18" s="3">
        <v>5200</v>
      </c>
    </row>
    <row r="19" s="3" customFormat="1" spans="1:34">
      <c r="A19" s="3">
        <v>17</v>
      </c>
      <c r="C19" s="3" t="s">
        <v>25</v>
      </c>
      <c r="D19" s="4" t="s">
        <v>27</v>
      </c>
      <c r="E19" s="9">
        <f t="shared" si="3"/>
        <v>9000</v>
      </c>
      <c r="F19" s="9">
        <f t="shared" si="4"/>
        <v>9360</v>
      </c>
      <c r="R19" s="3">
        <v>1040</v>
      </c>
      <c r="W19" s="3">
        <v>1040</v>
      </c>
      <c r="Y19" s="3">
        <v>1040</v>
      </c>
      <c r="AB19" s="3">
        <v>1040</v>
      </c>
      <c r="AD19" s="12">
        <v>3120</v>
      </c>
      <c r="AH19" s="3">
        <v>2080</v>
      </c>
    </row>
    <row r="20" s="3" customFormat="1" spans="1:30">
      <c r="A20" s="3">
        <v>18</v>
      </c>
      <c r="C20" s="3" t="s">
        <v>25</v>
      </c>
      <c r="D20" s="4" t="s">
        <v>28</v>
      </c>
      <c r="E20" s="9">
        <f t="shared" si="3"/>
        <v>12000</v>
      </c>
      <c r="F20" s="9">
        <f t="shared" si="4"/>
        <v>12480</v>
      </c>
      <c r="J20" s="3">
        <v>1040</v>
      </c>
      <c r="K20" s="3">
        <v>1040</v>
      </c>
      <c r="L20" s="3">
        <v>1040</v>
      </c>
      <c r="P20" s="3">
        <v>3120</v>
      </c>
      <c r="U20" s="3">
        <v>3120</v>
      </c>
      <c r="AD20" s="3">
        <v>3120</v>
      </c>
    </row>
    <row r="21" s="3" customFormat="1" spans="1:36">
      <c r="A21" s="3">
        <v>19</v>
      </c>
      <c r="C21" s="3" t="s">
        <v>25</v>
      </c>
      <c r="D21" s="4" t="s">
        <v>29</v>
      </c>
      <c r="E21" s="9">
        <f t="shared" si="3"/>
        <v>27000</v>
      </c>
      <c r="F21" s="9">
        <f t="shared" si="4"/>
        <v>28080</v>
      </c>
      <c r="O21" s="3">
        <v>2080</v>
      </c>
      <c r="R21" s="3">
        <v>5200</v>
      </c>
      <c r="S21" s="3">
        <v>5200</v>
      </c>
      <c r="W21" s="3">
        <v>5200</v>
      </c>
      <c r="AD21" s="3">
        <v>5200</v>
      </c>
      <c r="AJ21" s="3">
        <v>5200</v>
      </c>
    </row>
    <row r="22" s="3" customFormat="1" spans="1:36">
      <c r="A22" s="3">
        <v>20</v>
      </c>
      <c r="C22" s="3" t="s">
        <v>25</v>
      </c>
      <c r="D22" s="4" t="s">
        <v>30</v>
      </c>
      <c r="E22" s="9">
        <f t="shared" si="3"/>
        <v>9000</v>
      </c>
      <c r="F22" s="9">
        <f t="shared" si="4"/>
        <v>9360</v>
      </c>
      <c r="J22" s="3">
        <v>2080</v>
      </c>
      <c r="O22" s="3">
        <v>1040</v>
      </c>
      <c r="R22" s="3">
        <v>1040</v>
      </c>
      <c r="S22" s="3">
        <v>1040</v>
      </c>
      <c r="W22" s="3">
        <v>1040</v>
      </c>
      <c r="AB22" s="3">
        <v>1040</v>
      </c>
      <c r="AI22" s="3">
        <v>1040</v>
      </c>
      <c r="AJ22" s="3">
        <v>1040</v>
      </c>
    </row>
    <row r="23" s="3" customFormat="1" spans="1:36">
      <c r="A23" s="3">
        <v>21</v>
      </c>
      <c r="C23" s="3" t="s">
        <v>25</v>
      </c>
      <c r="D23" s="4" t="s">
        <v>31</v>
      </c>
      <c r="E23" s="9">
        <f t="shared" si="3"/>
        <v>21000</v>
      </c>
      <c r="F23" s="9">
        <f t="shared" si="4"/>
        <v>21840</v>
      </c>
      <c r="I23" s="3">
        <v>3120</v>
      </c>
      <c r="O23" s="3">
        <v>3120</v>
      </c>
      <c r="S23" s="3">
        <v>3120</v>
      </c>
      <c r="W23" s="3">
        <v>3120</v>
      </c>
      <c r="AC23" s="3">
        <v>3120</v>
      </c>
      <c r="AE23" s="3">
        <v>3120</v>
      </c>
      <c r="AJ23" s="3">
        <v>3120</v>
      </c>
    </row>
    <row r="24" s="3" customFormat="1" spans="1:32">
      <c r="A24" s="3">
        <v>22</v>
      </c>
      <c r="C24" s="3" t="s">
        <v>25</v>
      </c>
      <c r="D24" s="4" t="s">
        <v>32</v>
      </c>
      <c r="E24" s="9">
        <f t="shared" si="3"/>
        <v>22000</v>
      </c>
      <c r="F24" s="9">
        <f t="shared" si="4"/>
        <v>22880</v>
      </c>
      <c r="T24" s="12">
        <v>2080</v>
      </c>
      <c r="U24" s="3">
        <v>5200</v>
      </c>
      <c r="W24" s="3">
        <v>5200</v>
      </c>
      <c r="AB24" s="3">
        <v>5200</v>
      </c>
      <c r="AF24" s="3">
        <v>5200</v>
      </c>
    </row>
    <row r="25" s="3" customFormat="1" spans="1:34">
      <c r="A25" s="3">
        <v>23</v>
      </c>
      <c r="C25" s="3" t="s">
        <v>25</v>
      </c>
      <c r="D25" s="4" t="s">
        <v>33</v>
      </c>
      <c r="E25" s="9">
        <f t="shared" si="3"/>
        <v>24000</v>
      </c>
      <c r="F25" s="9">
        <f t="shared" si="4"/>
        <v>24960</v>
      </c>
      <c r="H25" s="3">
        <v>3120</v>
      </c>
      <c r="M25" s="3">
        <v>6240</v>
      </c>
      <c r="U25" s="3">
        <v>3120</v>
      </c>
      <c r="V25" s="3">
        <v>3120</v>
      </c>
      <c r="Z25" s="3">
        <v>3120</v>
      </c>
      <c r="AC25" s="3">
        <v>3120</v>
      </c>
      <c r="AH25" s="3">
        <v>3120</v>
      </c>
    </row>
    <row r="26" s="3" customFormat="1" spans="1:35">
      <c r="A26" s="3">
        <v>24</v>
      </c>
      <c r="C26" s="3" t="s">
        <v>25</v>
      </c>
      <c r="D26" s="4" t="s">
        <v>34</v>
      </c>
      <c r="E26" s="9">
        <f t="shared" si="3"/>
        <v>13000</v>
      </c>
      <c r="F26" s="9">
        <f t="shared" si="4"/>
        <v>13520</v>
      </c>
      <c r="H26" s="3">
        <v>1040</v>
      </c>
      <c r="I26" s="3">
        <v>1040</v>
      </c>
      <c r="L26" s="3">
        <v>2080</v>
      </c>
      <c r="S26" s="12">
        <v>1040</v>
      </c>
      <c r="U26" s="3">
        <v>2080</v>
      </c>
      <c r="V26" s="3">
        <v>2080</v>
      </c>
      <c r="AA26" s="3">
        <v>2080</v>
      </c>
      <c r="AI26" s="3">
        <v>2080</v>
      </c>
    </row>
    <row r="27" s="3" customFormat="1" spans="1:35">
      <c r="A27" s="3">
        <v>25</v>
      </c>
      <c r="C27" s="3" t="s">
        <v>25</v>
      </c>
      <c r="D27" s="4" t="s">
        <v>35</v>
      </c>
      <c r="E27" s="9">
        <f t="shared" si="3"/>
        <v>7000</v>
      </c>
      <c r="F27" s="9">
        <f t="shared" si="4"/>
        <v>7280</v>
      </c>
      <c r="L27" s="3">
        <v>1040</v>
      </c>
      <c r="U27" s="3">
        <v>2080</v>
      </c>
      <c r="AB27" s="3">
        <v>2080</v>
      </c>
      <c r="AI27" s="3">
        <v>2080</v>
      </c>
    </row>
    <row r="28" s="3" customFormat="1" spans="1:34">
      <c r="A28" s="3">
        <v>26</v>
      </c>
      <c r="C28" s="3" t="s">
        <v>25</v>
      </c>
      <c r="D28" s="4" t="s">
        <v>36</v>
      </c>
      <c r="E28" s="9">
        <f t="shared" si="3"/>
        <v>10000</v>
      </c>
      <c r="F28" s="9">
        <f t="shared" si="4"/>
        <v>10400</v>
      </c>
      <c r="J28" s="3">
        <v>1040</v>
      </c>
      <c r="M28" s="3">
        <v>2080</v>
      </c>
      <c r="Q28" s="3">
        <v>1040</v>
      </c>
      <c r="R28" s="3">
        <v>2080</v>
      </c>
      <c r="V28" s="3">
        <v>2080</v>
      </c>
      <c r="AH28" s="3">
        <v>2080</v>
      </c>
    </row>
    <row r="29" s="3" customFormat="1" spans="1:31">
      <c r="A29" s="3">
        <v>27</v>
      </c>
      <c r="C29" s="3" t="s">
        <v>25</v>
      </c>
      <c r="D29" s="4" t="s">
        <v>37</v>
      </c>
      <c r="E29" s="9">
        <f t="shared" si="3"/>
        <v>22000</v>
      </c>
      <c r="F29" s="9">
        <f t="shared" si="4"/>
        <v>22880</v>
      </c>
      <c r="H29" s="3">
        <v>2080</v>
      </c>
      <c r="J29" s="3">
        <v>2080</v>
      </c>
      <c r="L29" s="3">
        <v>3120</v>
      </c>
      <c r="P29" s="3">
        <v>5200</v>
      </c>
      <c r="V29" s="3">
        <v>5200</v>
      </c>
      <c r="AE29" s="3">
        <v>5200</v>
      </c>
    </row>
    <row r="30" s="3" customFormat="1" spans="1:36">
      <c r="A30" s="3">
        <v>28</v>
      </c>
      <c r="C30" s="3" t="s">
        <v>25</v>
      </c>
      <c r="D30" s="4" t="s">
        <v>38</v>
      </c>
      <c r="E30" s="9">
        <f t="shared" si="3"/>
        <v>59000</v>
      </c>
      <c r="F30" s="9">
        <f t="shared" si="4"/>
        <v>61360</v>
      </c>
      <c r="I30" s="3">
        <v>2080</v>
      </c>
      <c r="J30" s="3">
        <v>5200</v>
      </c>
      <c r="K30" s="3">
        <v>2080</v>
      </c>
      <c r="L30" s="3">
        <v>5200</v>
      </c>
      <c r="N30" s="3">
        <v>5200</v>
      </c>
      <c r="P30" s="3">
        <v>5200</v>
      </c>
      <c r="R30" s="3">
        <v>5200</v>
      </c>
      <c r="U30" s="3">
        <v>5200</v>
      </c>
      <c r="W30" s="3">
        <v>5200</v>
      </c>
      <c r="Z30" s="3">
        <v>5200</v>
      </c>
      <c r="AC30" s="3">
        <v>5200</v>
      </c>
      <c r="AF30" s="3">
        <v>5200</v>
      </c>
      <c r="AJ30" s="3">
        <v>5200</v>
      </c>
    </row>
    <row r="31" s="3" customFormat="1" spans="1:33">
      <c r="A31" s="3">
        <v>29</v>
      </c>
      <c r="C31" s="3" t="s">
        <v>25</v>
      </c>
      <c r="D31" s="4" t="s">
        <v>39</v>
      </c>
      <c r="E31" s="9">
        <f t="shared" si="3"/>
        <v>14000</v>
      </c>
      <c r="F31" s="9">
        <f t="shared" si="4"/>
        <v>14560</v>
      </c>
      <c r="H31" s="3">
        <v>1040</v>
      </c>
      <c r="K31" s="3">
        <v>1040</v>
      </c>
      <c r="M31" s="3">
        <v>2080</v>
      </c>
      <c r="S31" s="3">
        <v>2080</v>
      </c>
      <c r="U31" s="3">
        <v>2080</v>
      </c>
      <c r="X31" s="3">
        <v>2080</v>
      </c>
      <c r="AC31" s="3">
        <v>2080</v>
      </c>
      <c r="AG31" s="3">
        <v>2080</v>
      </c>
    </row>
    <row r="32" s="3" customFormat="1" spans="1:31">
      <c r="A32" s="3">
        <v>30</v>
      </c>
      <c r="C32" s="3" t="s">
        <v>40</v>
      </c>
      <c r="D32" s="4" t="s">
        <v>41</v>
      </c>
      <c r="E32" s="9">
        <f t="shared" si="3"/>
        <v>12000</v>
      </c>
      <c r="F32" s="9">
        <f t="shared" si="4"/>
        <v>12480</v>
      </c>
      <c r="I32" s="3">
        <v>2080</v>
      </c>
      <c r="K32" s="3">
        <v>1040</v>
      </c>
      <c r="N32" s="3">
        <v>3120</v>
      </c>
      <c r="X32" s="3">
        <v>3120</v>
      </c>
      <c r="AE32" s="3">
        <v>3120</v>
      </c>
    </row>
    <row r="33" s="3" customFormat="1" spans="1:36">
      <c r="A33" s="3">
        <v>31</v>
      </c>
      <c r="C33" s="3" t="s">
        <v>40</v>
      </c>
      <c r="D33" s="4" t="s">
        <v>42</v>
      </c>
      <c r="E33" s="9">
        <f t="shared" si="3"/>
        <v>7000</v>
      </c>
      <c r="F33" s="9">
        <f t="shared" si="4"/>
        <v>7280</v>
      </c>
      <c r="I33" s="3">
        <v>1040</v>
      </c>
      <c r="M33" s="3">
        <v>1040</v>
      </c>
      <c r="O33" s="3">
        <v>1040</v>
      </c>
      <c r="U33" s="3">
        <v>1040</v>
      </c>
      <c r="W33" s="3">
        <v>1040</v>
      </c>
      <c r="AE33" s="3">
        <v>1040</v>
      </c>
      <c r="AJ33" s="3">
        <v>1040</v>
      </c>
    </row>
    <row r="34" s="3" customFormat="1" spans="1:31">
      <c r="A34" s="3">
        <v>32</v>
      </c>
      <c r="C34" s="3" t="s">
        <v>40</v>
      </c>
      <c r="D34" s="4" t="s">
        <v>43</v>
      </c>
      <c r="E34" s="9">
        <f t="shared" si="3"/>
        <v>5000</v>
      </c>
      <c r="F34" s="9">
        <f t="shared" si="4"/>
        <v>5200</v>
      </c>
      <c r="I34" s="3">
        <v>1040</v>
      </c>
      <c r="L34" s="3">
        <v>2080</v>
      </c>
      <c r="AE34" s="3">
        <v>2080</v>
      </c>
    </row>
    <row r="35" s="3" customFormat="1" spans="1:35">
      <c r="A35" s="3">
        <v>33</v>
      </c>
      <c r="C35" s="3" t="s">
        <v>40</v>
      </c>
      <c r="D35" s="4" t="s">
        <v>44</v>
      </c>
      <c r="E35" s="9">
        <f t="shared" si="3"/>
        <v>30000</v>
      </c>
      <c r="F35" s="9">
        <f t="shared" si="4"/>
        <v>31200</v>
      </c>
      <c r="I35" s="3">
        <v>2080</v>
      </c>
      <c r="J35" s="3">
        <v>1040</v>
      </c>
      <c r="K35" s="3">
        <v>1040</v>
      </c>
      <c r="L35" s="3">
        <v>2080</v>
      </c>
      <c r="N35" s="3">
        <v>3120</v>
      </c>
      <c r="Q35" s="3">
        <v>3120</v>
      </c>
      <c r="T35" s="3">
        <v>3120</v>
      </c>
      <c r="W35" s="3">
        <v>3120</v>
      </c>
      <c r="AB35" s="3">
        <v>3120</v>
      </c>
      <c r="AE35" s="3">
        <v>3120</v>
      </c>
      <c r="AG35" s="3">
        <v>3120</v>
      </c>
      <c r="AI35" s="3">
        <v>3120</v>
      </c>
    </row>
    <row r="36" s="3" customFormat="1" spans="1:29">
      <c r="A36" s="3">
        <v>34</v>
      </c>
      <c r="C36" s="3" t="s">
        <v>40</v>
      </c>
      <c r="D36" s="4" t="s">
        <v>45</v>
      </c>
      <c r="E36" s="9">
        <f t="shared" ref="E36:E73" si="5">F36/1.04</f>
        <v>4000</v>
      </c>
      <c r="F36" s="9">
        <f t="shared" ref="F36:F73" si="6">SUM(G36:AK36)</f>
        <v>4160</v>
      </c>
      <c r="V36" s="12">
        <v>2080</v>
      </c>
      <c r="AC36" s="12">
        <v>2080</v>
      </c>
    </row>
    <row r="37" s="3" customFormat="1" spans="1:36">
      <c r="A37" s="3">
        <v>35</v>
      </c>
      <c r="C37" s="3" t="s">
        <v>40</v>
      </c>
      <c r="D37" s="4" t="s">
        <v>46</v>
      </c>
      <c r="E37" s="9">
        <f t="shared" si="5"/>
        <v>24000</v>
      </c>
      <c r="F37" s="9">
        <f t="shared" si="6"/>
        <v>24960</v>
      </c>
      <c r="H37" s="3">
        <v>3120</v>
      </c>
      <c r="J37" s="3">
        <v>1040</v>
      </c>
      <c r="L37" s="3">
        <v>2080</v>
      </c>
      <c r="O37" s="3">
        <v>3120</v>
      </c>
      <c r="S37" s="3">
        <v>3120</v>
      </c>
      <c r="W37" s="3">
        <v>3120</v>
      </c>
      <c r="AA37" s="3">
        <v>3120</v>
      </c>
      <c r="AF37" s="3">
        <v>3120</v>
      </c>
      <c r="AJ37" s="3">
        <v>3120</v>
      </c>
    </row>
    <row r="38" s="3" customFormat="1" spans="1:35">
      <c r="A38" s="3">
        <v>36</v>
      </c>
      <c r="C38" s="3" t="s">
        <v>40</v>
      </c>
      <c r="D38" s="4" t="s">
        <v>47</v>
      </c>
      <c r="E38" s="9">
        <f t="shared" si="5"/>
        <v>9000</v>
      </c>
      <c r="F38" s="9">
        <f t="shared" si="6"/>
        <v>9360</v>
      </c>
      <c r="K38" s="3">
        <v>2080</v>
      </c>
      <c r="U38" s="12">
        <v>2080</v>
      </c>
      <c r="AA38" s="12">
        <v>2080</v>
      </c>
      <c r="AI38" s="12">
        <v>3120</v>
      </c>
    </row>
    <row r="39" s="3" customFormat="1" spans="1:32">
      <c r="A39" s="3">
        <v>37</v>
      </c>
      <c r="C39" s="3" t="s">
        <v>40</v>
      </c>
      <c r="D39" s="4" t="s">
        <v>48</v>
      </c>
      <c r="E39" s="9">
        <f t="shared" si="5"/>
        <v>12000</v>
      </c>
      <c r="F39" s="9">
        <f t="shared" si="6"/>
        <v>12480</v>
      </c>
      <c r="M39" s="3">
        <v>2080</v>
      </c>
      <c r="N39" s="3">
        <v>2080</v>
      </c>
      <c r="Q39" s="3">
        <v>2080</v>
      </c>
      <c r="V39" s="3">
        <v>2080</v>
      </c>
      <c r="AA39" s="3">
        <v>2080</v>
      </c>
      <c r="AF39" s="3">
        <v>2080</v>
      </c>
    </row>
    <row r="40" s="3" customFormat="1" spans="1:34">
      <c r="A40" s="3">
        <v>38</v>
      </c>
      <c r="C40" s="3" t="s">
        <v>40</v>
      </c>
      <c r="D40" s="4" t="s">
        <v>49</v>
      </c>
      <c r="E40" s="9">
        <f t="shared" si="5"/>
        <v>11000</v>
      </c>
      <c r="F40" s="9">
        <f t="shared" si="6"/>
        <v>11440</v>
      </c>
      <c r="H40" s="3">
        <v>2080</v>
      </c>
      <c r="K40" s="3">
        <v>1040</v>
      </c>
      <c r="N40" s="3">
        <v>2080</v>
      </c>
      <c r="S40" s="3">
        <v>2080</v>
      </c>
      <c r="Z40" s="3">
        <v>2080</v>
      </c>
      <c r="AH40" s="3">
        <v>2080</v>
      </c>
    </row>
    <row r="41" s="3" customFormat="1" spans="1:36">
      <c r="A41" s="3">
        <v>39</v>
      </c>
      <c r="C41" s="3" t="s">
        <v>40</v>
      </c>
      <c r="D41" s="4" t="s">
        <v>50</v>
      </c>
      <c r="E41" s="9">
        <f t="shared" si="5"/>
        <v>39000</v>
      </c>
      <c r="F41" s="9">
        <f t="shared" si="6"/>
        <v>40560</v>
      </c>
      <c r="I41" s="3">
        <v>2080</v>
      </c>
      <c r="J41" s="3">
        <v>2080</v>
      </c>
      <c r="K41" s="3">
        <v>1040</v>
      </c>
      <c r="L41" s="3">
        <v>1040</v>
      </c>
      <c r="M41" s="3">
        <v>3120</v>
      </c>
      <c r="O41" s="3">
        <v>3120</v>
      </c>
      <c r="Q41" s="3">
        <v>3120</v>
      </c>
      <c r="T41" s="3">
        <v>3120</v>
      </c>
      <c r="V41" s="3">
        <v>3120</v>
      </c>
      <c r="X41" s="3">
        <v>3120</v>
      </c>
      <c r="Z41" s="3">
        <v>3120</v>
      </c>
      <c r="AC41" s="3">
        <v>3120</v>
      </c>
      <c r="AE41" s="3">
        <v>3120</v>
      </c>
      <c r="AH41" s="3">
        <v>3120</v>
      </c>
      <c r="AJ41" s="3">
        <v>3120</v>
      </c>
    </row>
    <row r="42" s="3" customFormat="1" spans="1:26">
      <c r="A42" s="3">
        <v>40</v>
      </c>
      <c r="C42" s="3" t="s">
        <v>40</v>
      </c>
      <c r="D42" s="4" t="s">
        <v>51</v>
      </c>
      <c r="E42" s="9">
        <f t="shared" si="5"/>
        <v>5000</v>
      </c>
      <c r="F42" s="9">
        <f t="shared" si="6"/>
        <v>5200</v>
      </c>
      <c r="L42" s="3">
        <v>2080</v>
      </c>
      <c r="Q42" s="3">
        <v>1040</v>
      </c>
      <c r="Z42" s="12">
        <v>2080</v>
      </c>
    </row>
    <row r="43" s="3" customFormat="1" spans="1:6">
      <c r="A43" s="3">
        <v>41</v>
      </c>
      <c r="C43" s="3" t="s">
        <v>40</v>
      </c>
      <c r="D43" s="4" t="s">
        <v>52</v>
      </c>
      <c r="E43" s="9">
        <f t="shared" si="5"/>
        <v>0</v>
      </c>
      <c r="F43" s="9">
        <f t="shared" si="6"/>
        <v>0</v>
      </c>
    </row>
    <row r="44" s="3" customFormat="1" spans="1:33">
      <c r="A44" s="3">
        <v>42</v>
      </c>
      <c r="C44" s="3" t="s">
        <v>40</v>
      </c>
      <c r="D44" s="4" t="s">
        <v>53</v>
      </c>
      <c r="E44" s="9">
        <f t="shared" si="5"/>
        <v>21000</v>
      </c>
      <c r="F44" s="9">
        <f t="shared" si="6"/>
        <v>21840</v>
      </c>
      <c r="H44" s="3">
        <v>3120</v>
      </c>
      <c r="I44" s="3">
        <v>2080</v>
      </c>
      <c r="L44" s="3">
        <v>3120</v>
      </c>
      <c r="R44" s="3">
        <v>1040</v>
      </c>
      <c r="U44" s="3">
        <v>3120</v>
      </c>
      <c r="X44" s="3">
        <v>3120</v>
      </c>
      <c r="AC44" s="3">
        <v>3120</v>
      </c>
      <c r="AG44" s="3">
        <v>3120</v>
      </c>
    </row>
    <row r="45" s="3" customFormat="1" spans="1:32">
      <c r="A45" s="3">
        <v>43</v>
      </c>
      <c r="C45" s="3" t="s">
        <v>54</v>
      </c>
      <c r="D45" s="4" t="s">
        <v>55</v>
      </c>
      <c r="E45" s="9">
        <f t="shared" si="5"/>
        <v>23000</v>
      </c>
      <c r="F45" s="9">
        <f t="shared" si="6"/>
        <v>23920</v>
      </c>
      <c r="H45" s="3">
        <v>2080</v>
      </c>
      <c r="J45" s="3">
        <v>3120</v>
      </c>
      <c r="R45" s="3">
        <v>3120</v>
      </c>
      <c r="T45" s="3">
        <v>3120</v>
      </c>
      <c r="W45" s="3">
        <v>3120</v>
      </c>
      <c r="AA45" s="3">
        <v>3120</v>
      </c>
      <c r="AC45" s="3">
        <v>3120</v>
      </c>
      <c r="AF45" s="3">
        <v>3120</v>
      </c>
    </row>
    <row r="46" s="3" customFormat="1" spans="1:34">
      <c r="A46" s="3">
        <v>44</v>
      </c>
      <c r="C46" s="3" t="s">
        <v>54</v>
      </c>
      <c r="D46" s="4" t="s">
        <v>56</v>
      </c>
      <c r="E46" s="9">
        <f t="shared" si="5"/>
        <v>22000</v>
      </c>
      <c r="F46" s="9">
        <f t="shared" si="6"/>
        <v>22880</v>
      </c>
      <c r="J46" s="3">
        <v>2080</v>
      </c>
      <c r="L46" s="3">
        <v>2080</v>
      </c>
      <c r="N46" s="3">
        <v>3120</v>
      </c>
      <c r="S46" s="3">
        <v>3120</v>
      </c>
      <c r="V46" s="3">
        <v>3120</v>
      </c>
      <c r="Y46" s="3">
        <v>3120</v>
      </c>
      <c r="AB46" s="3">
        <v>3120</v>
      </c>
      <c r="AH46" s="3">
        <v>3120</v>
      </c>
    </row>
    <row r="47" s="3" customFormat="1" spans="1:28">
      <c r="A47" s="3">
        <v>45</v>
      </c>
      <c r="C47" s="3" t="s">
        <v>54</v>
      </c>
      <c r="D47" s="4" t="s">
        <v>57</v>
      </c>
      <c r="E47" s="9">
        <f t="shared" si="5"/>
        <v>6000</v>
      </c>
      <c r="F47" s="9">
        <f t="shared" si="6"/>
        <v>6240</v>
      </c>
      <c r="J47" s="3">
        <v>2080</v>
      </c>
      <c r="T47" s="3">
        <v>2080</v>
      </c>
      <c r="AB47" s="3">
        <v>2080</v>
      </c>
    </row>
    <row r="48" s="3" customFormat="1" spans="1:32">
      <c r="A48" s="3">
        <v>46</v>
      </c>
      <c r="C48" s="3" t="s">
        <v>54</v>
      </c>
      <c r="D48" s="4" t="s">
        <v>58</v>
      </c>
      <c r="E48" s="9">
        <f t="shared" si="5"/>
        <v>17000</v>
      </c>
      <c r="F48" s="9">
        <f t="shared" si="6"/>
        <v>17680</v>
      </c>
      <c r="O48" s="3">
        <v>2080</v>
      </c>
      <c r="P48" s="3">
        <v>3120</v>
      </c>
      <c r="S48" s="3">
        <v>3120</v>
      </c>
      <c r="U48" s="3">
        <v>3120</v>
      </c>
      <c r="Y48" s="3">
        <v>3120</v>
      </c>
      <c r="AF48" s="3">
        <v>3120</v>
      </c>
    </row>
    <row r="49" s="3" customFormat="1" spans="1:34">
      <c r="A49" s="3">
        <v>47</v>
      </c>
      <c r="C49" s="3" t="s">
        <v>54</v>
      </c>
      <c r="D49" s="4" t="s">
        <v>59</v>
      </c>
      <c r="E49" s="9">
        <f t="shared" si="5"/>
        <v>24000</v>
      </c>
      <c r="F49" s="9">
        <f t="shared" si="6"/>
        <v>24960</v>
      </c>
      <c r="J49" s="3">
        <v>2080</v>
      </c>
      <c r="K49" s="3">
        <v>1040</v>
      </c>
      <c r="M49" s="3">
        <v>3120</v>
      </c>
      <c r="O49" s="3">
        <v>3120</v>
      </c>
      <c r="S49" s="3">
        <v>3120</v>
      </c>
      <c r="W49" s="3">
        <v>3120</v>
      </c>
      <c r="Z49" s="3">
        <v>3120</v>
      </c>
      <c r="AC49" s="3">
        <v>3120</v>
      </c>
      <c r="AH49" s="3">
        <v>3120</v>
      </c>
    </row>
    <row r="50" s="3" customFormat="1" spans="1:27">
      <c r="A50" s="3">
        <v>48</v>
      </c>
      <c r="C50" s="3" t="s">
        <v>54</v>
      </c>
      <c r="D50" s="4" t="s">
        <v>60</v>
      </c>
      <c r="E50" s="9">
        <f t="shared" si="5"/>
        <v>9000</v>
      </c>
      <c r="F50" s="9">
        <f t="shared" si="6"/>
        <v>9360</v>
      </c>
      <c r="J50" s="3">
        <v>1040</v>
      </c>
      <c r="P50" s="3">
        <v>2080</v>
      </c>
      <c r="S50" s="3">
        <v>2080</v>
      </c>
      <c r="X50" s="3">
        <v>2080</v>
      </c>
      <c r="AA50" s="3">
        <v>2080</v>
      </c>
    </row>
    <row r="51" s="3" customFormat="1" spans="1:33">
      <c r="A51" s="3">
        <v>49</v>
      </c>
      <c r="C51" s="3" t="s">
        <v>54</v>
      </c>
      <c r="D51" s="4" t="s">
        <v>61</v>
      </c>
      <c r="E51" s="9">
        <f t="shared" si="5"/>
        <v>8000</v>
      </c>
      <c r="F51" s="9">
        <f t="shared" si="6"/>
        <v>8320</v>
      </c>
      <c r="H51" s="3">
        <v>1040</v>
      </c>
      <c r="J51" s="3">
        <v>1040</v>
      </c>
      <c r="L51" s="3">
        <v>2080</v>
      </c>
      <c r="R51" s="3">
        <v>2080</v>
      </c>
      <c r="AG51" s="3">
        <v>2080</v>
      </c>
    </row>
    <row r="52" s="3" customFormat="1" spans="1:36">
      <c r="A52" s="3">
        <v>50</v>
      </c>
      <c r="C52" s="3" t="s">
        <v>54</v>
      </c>
      <c r="D52" s="4" t="s">
        <v>62</v>
      </c>
      <c r="E52" s="9">
        <f t="shared" si="5"/>
        <v>25000</v>
      </c>
      <c r="F52" s="9">
        <f t="shared" si="6"/>
        <v>26000</v>
      </c>
      <c r="H52" s="3">
        <v>2080</v>
      </c>
      <c r="J52" s="3">
        <v>2080</v>
      </c>
      <c r="M52" s="3">
        <v>3120</v>
      </c>
      <c r="N52" s="3">
        <v>3120</v>
      </c>
      <c r="T52" s="3">
        <v>3120</v>
      </c>
      <c r="W52" s="3">
        <v>3120</v>
      </c>
      <c r="AA52" s="3">
        <v>3120</v>
      </c>
      <c r="AE52" s="3">
        <v>3120</v>
      </c>
      <c r="AJ52" s="3">
        <v>3120</v>
      </c>
    </row>
    <row r="53" s="3" customFormat="1" spans="1:36">
      <c r="A53" s="3">
        <v>51</v>
      </c>
      <c r="B53" s="10"/>
      <c r="C53" s="10" t="s">
        <v>54</v>
      </c>
      <c r="D53" s="11" t="s">
        <v>63</v>
      </c>
      <c r="E53" s="9">
        <f t="shared" si="5"/>
        <v>5000</v>
      </c>
      <c r="F53" s="9">
        <f t="shared" si="6"/>
        <v>5200</v>
      </c>
      <c r="AC53" s="3">
        <v>1040</v>
      </c>
      <c r="AD53" s="3">
        <v>1040</v>
      </c>
      <c r="AF53" s="3">
        <v>1040</v>
      </c>
      <c r="AG53" s="12">
        <v>1040</v>
      </c>
      <c r="AJ53" s="3">
        <v>1040</v>
      </c>
    </row>
    <row r="54" s="3" customFormat="1" spans="1:30">
      <c r="A54" s="3">
        <v>52</v>
      </c>
      <c r="C54" s="3" t="s">
        <v>64</v>
      </c>
      <c r="D54" s="4" t="s">
        <v>65</v>
      </c>
      <c r="E54" s="9">
        <f t="shared" si="5"/>
        <v>9000</v>
      </c>
      <c r="F54" s="9">
        <f t="shared" si="6"/>
        <v>9360</v>
      </c>
      <c r="P54" s="3">
        <v>1040</v>
      </c>
      <c r="R54" s="3">
        <v>2080</v>
      </c>
      <c r="U54" s="3">
        <v>2080</v>
      </c>
      <c r="W54" s="3">
        <v>2080</v>
      </c>
      <c r="AD54" s="3">
        <v>2080</v>
      </c>
    </row>
    <row r="55" s="3" customFormat="1" spans="1:35">
      <c r="A55" s="3">
        <v>53</v>
      </c>
      <c r="C55" s="3" t="s">
        <v>64</v>
      </c>
      <c r="D55" s="4" t="s">
        <v>66</v>
      </c>
      <c r="E55" s="9">
        <f t="shared" si="5"/>
        <v>38000</v>
      </c>
      <c r="F55" s="9">
        <f t="shared" si="6"/>
        <v>39520</v>
      </c>
      <c r="M55" s="3">
        <v>3120</v>
      </c>
      <c r="N55" s="3">
        <v>5200</v>
      </c>
      <c r="Q55" s="3">
        <v>5200</v>
      </c>
      <c r="U55" s="3">
        <v>5200</v>
      </c>
      <c r="Z55" s="3">
        <v>5200</v>
      </c>
      <c r="AC55" s="3">
        <v>5200</v>
      </c>
      <c r="AF55" s="3">
        <v>5200</v>
      </c>
      <c r="AI55" s="3">
        <v>5200</v>
      </c>
    </row>
    <row r="56" s="3" customFormat="1" spans="1:34">
      <c r="A56" s="3">
        <v>54</v>
      </c>
      <c r="C56" s="3" t="s">
        <v>64</v>
      </c>
      <c r="D56" s="4" t="s">
        <v>67</v>
      </c>
      <c r="E56" s="9">
        <f t="shared" si="5"/>
        <v>9500</v>
      </c>
      <c r="F56" s="9">
        <f t="shared" si="6"/>
        <v>9880</v>
      </c>
      <c r="M56" s="3">
        <v>1560</v>
      </c>
      <c r="T56" s="3">
        <v>2080</v>
      </c>
      <c r="Z56" s="3">
        <v>2080</v>
      </c>
      <c r="AH56" s="12">
        <v>4160</v>
      </c>
    </row>
    <row r="57" s="3" customFormat="1" spans="1:34">
      <c r="A57" s="3">
        <v>55</v>
      </c>
      <c r="B57" s="10"/>
      <c r="C57" s="4" t="s">
        <v>68</v>
      </c>
      <c r="D57" s="11" t="s">
        <v>69</v>
      </c>
      <c r="E57" s="9">
        <f t="shared" si="5"/>
        <v>10000</v>
      </c>
      <c r="F57" s="9">
        <f t="shared" si="6"/>
        <v>10400</v>
      </c>
      <c r="AC57" s="3">
        <v>5200</v>
      </c>
      <c r="AH57" s="3">
        <v>5200</v>
      </c>
    </row>
    <row r="58" s="3" customFormat="1" spans="1:29">
      <c r="A58" s="3">
        <v>56</v>
      </c>
      <c r="C58" s="3" t="s">
        <v>68</v>
      </c>
      <c r="D58" s="4" t="s">
        <v>70</v>
      </c>
      <c r="E58" s="9">
        <f t="shared" si="5"/>
        <v>9000</v>
      </c>
      <c r="F58" s="9">
        <f t="shared" si="6"/>
        <v>9360</v>
      </c>
      <c r="P58" s="3">
        <v>4160</v>
      </c>
      <c r="AC58" s="12">
        <v>5200</v>
      </c>
    </row>
    <row r="59" s="3" customFormat="1" spans="1:35">
      <c r="A59" s="3">
        <v>57</v>
      </c>
      <c r="B59" s="10"/>
      <c r="C59" s="3" t="s">
        <v>71</v>
      </c>
      <c r="D59" s="11" t="s">
        <v>72</v>
      </c>
      <c r="E59" s="9">
        <f t="shared" si="5"/>
        <v>15000</v>
      </c>
      <c r="F59" s="9">
        <f t="shared" si="6"/>
        <v>15600</v>
      </c>
      <c r="J59" s="3">
        <v>1040</v>
      </c>
      <c r="Q59" s="3">
        <v>2080</v>
      </c>
      <c r="R59" s="3">
        <v>2080</v>
      </c>
      <c r="V59" s="3">
        <v>2080</v>
      </c>
      <c r="Z59" s="3">
        <v>2080</v>
      </c>
      <c r="AC59" s="3">
        <v>2080</v>
      </c>
      <c r="AF59" s="3">
        <v>2080</v>
      </c>
      <c r="AI59" s="3">
        <v>2080</v>
      </c>
    </row>
    <row r="60" s="3" customFormat="1" spans="1:37">
      <c r="A60" s="3">
        <v>58</v>
      </c>
      <c r="B60" s="10"/>
      <c r="C60" s="3" t="s">
        <v>73</v>
      </c>
      <c r="D60" s="11" t="s">
        <v>74</v>
      </c>
      <c r="E60" s="9">
        <f t="shared" si="5"/>
        <v>6000</v>
      </c>
      <c r="F60" s="9">
        <f t="shared" si="6"/>
        <v>6240</v>
      </c>
      <c r="V60" s="12">
        <v>2080</v>
      </c>
      <c r="Y60" s="3">
        <v>2080</v>
      </c>
      <c r="AK60" s="3">
        <v>2080</v>
      </c>
    </row>
    <row r="61" s="3" customFormat="1" spans="1:35">
      <c r="A61" s="3">
        <v>59</v>
      </c>
      <c r="C61" s="3" t="s">
        <v>75</v>
      </c>
      <c r="D61" s="4" t="s">
        <v>76</v>
      </c>
      <c r="E61" s="9">
        <f t="shared" si="5"/>
        <v>13000</v>
      </c>
      <c r="F61" s="9">
        <f t="shared" si="6"/>
        <v>13520</v>
      </c>
      <c r="O61" s="3">
        <v>1040</v>
      </c>
      <c r="P61" s="3">
        <v>2080</v>
      </c>
      <c r="R61" s="3">
        <v>2080</v>
      </c>
      <c r="U61" s="3">
        <v>2080</v>
      </c>
      <c r="AB61" s="3">
        <v>2080</v>
      </c>
      <c r="AG61" s="3">
        <v>2080</v>
      </c>
      <c r="AI61" s="3">
        <v>2080</v>
      </c>
    </row>
    <row r="62" s="3" customFormat="1" spans="1:34">
      <c r="A62" s="3">
        <v>60</v>
      </c>
      <c r="C62" s="3" t="s">
        <v>75</v>
      </c>
      <c r="D62" s="4" t="s">
        <v>77</v>
      </c>
      <c r="E62" s="9">
        <f t="shared" si="5"/>
        <v>11000</v>
      </c>
      <c r="F62" s="9">
        <f t="shared" si="6"/>
        <v>11440</v>
      </c>
      <c r="K62" s="3">
        <v>3120</v>
      </c>
      <c r="T62" s="3">
        <v>2080</v>
      </c>
      <c r="W62" s="3">
        <v>2080</v>
      </c>
      <c r="AD62" s="3">
        <v>2080</v>
      </c>
      <c r="AH62" s="3">
        <v>2080</v>
      </c>
    </row>
    <row r="63" s="3" customFormat="1" spans="1:35">
      <c r="A63" s="3">
        <v>61</v>
      </c>
      <c r="C63" s="3" t="s">
        <v>75</v>
      </c>
      <c r="D63" s="4" t="s">
        <v>78</v>
      </c>
      <c r="E63" s="9">
        <f t="shared" si="5"/>
        <v>7000</v>
      </c>
      <c r="F63" s="9">
        <f t="shared" si="6"/>
        <v>7280</v>
      </c>
      <c r="K63" s="3">
        <v>1040</v>
      </c>
      <c r="Q63" s="3">
        <v>2080</v>
      </c>
      <c r="Y63" s="3">
        <v>2080</v>
      </c>
      <c r="AI63" s="3">
        <v>2080</v>
      </c>
    </row>
    <row r="64" s="3" customFormat="1" spans="1:30">
      <c r="A64" s="3">
        <v>62</v>
      </c>
      <c r="C64" s="3" t="s">
        <v>75</v>
      </c>
      <c r="D64" s="4" t="s">
        <v>79</v>
      </c>
      <c r="E64" s="9">
        <f t="shared" si="5"/>
        <v>4000</v>
      </c>
      <c r="F64" s="9">
        <f t="shared" si="6"/>
        <v>4160</v>
      </c>
      <c r="K64" s="3">
        <v>2080</v>
      </c>
      <c r="Y64" s="3">
        <v>1040</v>
      </c>
      <c r="AD64" s="3">
        <v>1040</v>
      </c>
    </row>
    <row r="65" s="3" customFormat="1" spans="1:34">
      <c r="A65" s="3">
        <v>63</v>
      </c>
      <c r="C65" s="3" t="s">
        <v>75</v>
      </c>
      <c r="D65" s="4" t="s">
        <v>80</v>
      </c>
      <c r="E65" s="9">
        <f t="shared" si="5"/>
        <v>52000</v>
      </c>
      <c r="F65" s="9">
        <f t="shared" si="6"/>
        <v>54080</v>
      </c>
      <c r="K65" s="3">
        <v>2080</v>
      </c>
      <c r="L65" s="3">
        <v>15600</v>
      </c>
      <c r="O65" s="3">
        <v>5200</v>
      </c>
      <c r="R65" s="3">
        <v>5200</v>
      </c>
      <c r="U65" s="3">
        <v>5200</v>
      </c>
      <c r="Y65" s="3">
        <v>5200</v>
      </c>
      <c r="AA65" s="3">
        <v>5200</v>
      </c>
      <c r="AE65" s="3">
        <v>5200</v>
      </c>
      <c r="AH65" s="3">
        <v>5200</v>
      </c>
    </row>
    <row r="66" s="3" customFormat="1" spans="1:36">
      <c r="A66" s="3">
        <v>64</v>
      </c>
      <c r="C66" s="3" t="s">
        <v>75</v>
      </c>
      <c r="D66" s="4" t="s">
        <v>81</v>
      </c>
      <c r="E66" s="9">
        <f t="shared" si="5"/>
        <v>27000</v>
      </c>
      <c r="F66" s="9">
        <f t="shared" si="6"/>
        <v>28080</v>
      </c>
      <c r="H66" s="3">
        <v>2080</v>
      </c>
      <c r="J66" s="3">
        <v>2080</v>
      </c>
      <c r="K66" s="3">
        <v>1040</v>
      </c>
      <c r="L66" s="3">
        <v>1040</v>
      </c>
      <c r="M66" s="3">
        <v>3120</v>
      </c>
      <c r="Q66" s="3">
        <v>3120</v>
      </c>
      <c r="V66" s="3">
        <v>3120</v>
      </c>
      <c r="Z66" s="3">
        <v>3120</v>
      </c>
      <c r="AC66" s="3">
        <v>3120</v>
      </c>
      <c r="AH66" s="3">
        <v>3120</v>
      </c>
      <c r="AJ66" s="3">
        <v>3120</v>
      </c>
    </row>
    <row r="67" s="3" customFormat="1" spans="1:36">
      <c r="A67" s="3">
        <v>65</v>
      </c>
      <c r="B67" s="10"/>
      <c r="C67" s="4" t="s">
        <v>75</v>
      </c>
      <c r="D67" s="11" t="s">
        <v>82</v>
      </c>
      <c r="E67" s="9">
        <f t="shared" si="5"/>
        <v>8000</v>
      </c>
      <c r="F67" s="9">
        <f t="shared" si="6"/>
        <v>8320</v>
      </c>
      <c r="W67" s="12">
        <v>4160</v>
      </c>
      <c r="AF67" s="3">
        <v>2080</v>
      </c>
      <c r="AJ67" s="3">
        <v>2080</v>
      </c>
    </row>
    <row r="68" s="3" customFormat="1" spans="1:27">
      <c r="A68" s="3">
        <v>66</v>
      </c>
      <c r="B68" s="10"/>
      <c r="C68" s="10" t="s">
        <v>75</v>
      </c>
      <c r="D68" s="11" t="s">
        <v>83</v>
      </c>
      <c r="E68" s="9">
        <f t="shared" si="5"/>
        <v>4000</v>
      </c>
      <c r="F68" s="9">
        <f t="shared" si="6"/>
        <v>4160</v>
      </c>
      <c r="X68" s="12">
        <v>2080</v>
      </c>
      <c r="AA68" s="3">
        <v>2080</v>
      </c>
    </row>
    <row r="69" s="3" customFormat="1" spans="1:33">
      <c r="A69" s="3">
        <v>67</v>
      </c>
      <c r="C69" s="3" t="s">
        <v>84</v>
      </c>
      <c r="D69" s="4" t="s">
        <v>85</v>
      </c>
      <c r="E69" s="9">
        <f t="shared" si="5"/>
        <v>18000</v>
      </c>
      <c r="F69" s="9">
        <f t="shared" si="6"/>
        <v>18720</v>
      </c>
      <c r="I69" s="3">
        <v>1040</v>
      </c>
      <c r="L69" s="3">
        <v>2080</v>
      </c>
      <c r="M69" s="3">
        <v>3120</v>
      </c>
      <c r="T69" s="3">
        <v>3120</v>
      </c>
      <c r="X69" s="3">
        <v>3120</v>
      </c>
      <c r="AA69" s="3">
        <v>3120</v>
      </c>
      <c r="AG69" s="3">
        <v>3120</v>
      </c>
    </row>
    <row r="70" s="3" customFormat="1" spans="1:35">
      <c r="A70" s="3">
        <v>68</v>
      </c>
      <c r="C70" s="3" t="s">
        <v>84</v>
      </c>
      <c r="D70" s="4" t="s">
        <v>86</v>
      </c>
      <c r="E70" s="9">
        <f t="shared" si="5"/>
        <v>27000</v>
      </c>
      <c r="F70" s="9">
        <f t="shared" si="6"/>
        <v>28080</v>
      </c>
      <c r="H70" s="3">
        <v>3120</v>
      </c>
      <c r="K70" s="3">
        <v>1040</v>
      </c>
      <c r="L70" s="3">
        <v>2080</v>
      </c>
      <c r="O70" s="3">
        <v>3120</v>
      </c>
      <c r="R70" s="3">
        <v>3120</v>
      </c>
      <c r="U70" s="3">
        <v>3120</v>
      </c>
      <c r="W70" s="3">
        <v>3120</v>
      </c>
      <c r="AA70" s="3">
        <v>3120</v>
      </c>
      <c r="AD70" s="3">
        <v>3120</v>
      </c>
      <c r="AI70" s="3">
        <v>3120</v>
      </c>
    </row>
    <row r="71" s="3" customFormat="1" spans="1:36">
      <c r="A71" s="3">
        <v>69</v>
      </c>
      <c r="C71" s="3" t="s">
        <v>84</v>
      </c>
      <c r="D71" s="4" t="s">
        <v>87</v>
      </c>
      <c r="E71" s="9">
        <f t="shared" si="5"/>
        <v>21000</v>
      </c>
      <c r="F71" s="9">
        <f t="shared" si="6"/>
        <v>21840</v>
      </c>
      <c r="J71" s="3">
        <v>2080</v>
      </c>
      <c r="L71" s="3">
        <v>1040</v>
      </c>
      <c r="O71" s="3">
        <v>2080</v>
      </c>
      <c r="P71" s="3">
        <v>2080</v>
      </c>
      <c r="S71" s="3">
        <v>2080</v>
      </c>
      <c r="T71" s="3">
        <v>2080</v>
      </c>
      <c r="W71" s="3">
        <v>2080</v>
      </c>
      <c r="Y71" s="3">
        <v>2080</v>
      </c>
      <c r="AB71" s="3">
        <v>2080</v>
      </c>
      <c r="AH71" s="3">
        <v>2080</v>
      </c>
      <c r="AJ71" s="3">
        <v>2080</v>
      </c>
    </row>
    <row r="72" s="3" customFormat="1" spans="1:32">
      <c r="A72" s="3">
        <v>70</v>
      </c>
      <c r="B72" s="10"/>
      <c r="C72" s="10"/>
      <c r="D72" s="11" t="s">
        <v>88</v>
      </c>
      <c r="E72" s="9">
        <f t="shared" si="5"/>
        <v>27000</v>
      </c>
      <c r="F72" s="9">
        <f t="shared" si="6"/>
        <v>28080</v>
      </c>
      <c r="G72" s="10"/>
      <c r="H72" s="10">
        <v>520</v>
      </c>
      <c r="I72" s="10">
        <v>2080</v>
      </c>
      <c r="J72" s="10">
        <v>5200</v>
      </c>
      <c r="K72" s="10"/>
      <c r="L72" s="10"/>
      <c r="M72" s="10"/>
      <c r="N72" s="10"/>
      <c r="O72" s="10"/>
      <c r="P72" s="10"/>
      <c r="Q72" s="10"/>
      <c r="R72" s="10">
        <v>5200</v>
      </c>
      <c r="S72" s="13"/>
      <c r="T72" s="13"/>
      <c r="U72" s="13"/>
      <c r="V72" s="13"/>
      <c r="W72" s="13"/>
      <c r="Z72" s="3">
        <v>1040</v>
      </c>
      <c r="AB72" s="12">
        <v>2080</v>
      </c>
      <c r="AC72" s="12">
        <v>4160</v>
      </c>
      <c r="AD72" s="12">
        <v>1040</v>
      </c>
      <c r="AE72" s="12">
        <v>3640</v>
      </c>
      <c r="AF72" s="12">
        <v>3120</v>
      </c>
    </row>
    <row r="73" s="3" customFormat="1" spans="1:28">
      <c r="A73" s="3">
        <v>71</v>
      </c>
      <c r="B73" s="10"/>
      <c r="C73" s="4" t="s">
        <v>89</v>
      </c>
      <c r="D73" s="11" t="s">
        <v>90</v>
      </c>
      <c r="E73" s="9">
        <f t="shared" si="5"/>
        <v>4000</v>
      </c>
      <c r="F73" s="9">
        <f t="shared" si="6"/>
        <v>4160</v>
      </c>
      <c r="Q73" s="3">
        <v>2080</v>
      </c>
      <c r="AB73" s="12">
        <v>2080</v>
      </c>
    </row>
    <row r="74" s="3" customFormat="1" spans="1:6">
      <c r="A74" s="3">
        <v>72</v>
      </c>
      <c r="B74" s="10"/>
      <c r="C74" s="4"/>
      <c r="D74" s="11" t="s">
        <v>91</v>
      </c>
      <c r="E74" s="9">
        <f t="shared" ref="E69:E94" si="7">F74/1.04</f>
        <v>0</v>
      </c>
      <c r="F74" s="9">
        <f t="shared" ref="F69:F94" si="8">SUM(G74:AK74)</f>
        <v>0</v>
      </c>
    </row>
    <row r="75" s="3" customFormat="1" spans="1:34">
      <c r="A75" s="3">
        <v>73</v>
      </c>
      <c r="B75" s="10"/>
      <c r="C75" s="4" t="s">
        <v>92</v>
      </c>
      <c r="D75" s="11" t="s">
        <v>93</v>
      </c>
      <c r="E75" s="9">
        <f t="shared" si="7"/>
        <v>3000</v>
      </c>
      <c r="F75" s="9">
        <f t="shared" si="8"/>
        <v>3120</v>
      </c>
      <c r="AH75" s="12">
        <v>3120</v>
      </c>
    </row>
    <row r="76" s="3" customFormat="1" spans="1:18">
      <c r="A76" s="3">
        <v>74</v>
      </c>
      <c r="B76" s="10"/>
      <c r="C76" s="4"/>
      <c r="D76" s="11" t="s">
        <v>94</v>
      </c>
      <c r="E76" s="9">
        <f t="shared" si="7"/>
        <v>0</v>
      </c>
      <c r="F76" s="9">
        <f t="shared" si="8"/>
        <v>0</v>
      </c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</row>
    <row r="77" s="3" customFormat="1" spans="1:31">
      <c r="A77" s="3">
        <v>75</v>
      </c>
      <c r="B77" s="10"/>
      <c r="C77" s="4"/>
      <c r="D77" s="11" t="s">
        <v>95</v>
      </c>
      <c r="E77" s="9">
        <f t="shared" si="7"/>
        <v>3000</v>
      </c>
      <c r="F77" s="9">
        <f t="shared" si="8"/>
        <v>3120</v>
      </c>
      <c r="AE77" s="12">
        <v>3120</v>
      </c>
    </row>
    <row r="78" s="3" customFormat="1" spans="1:6">
      <c r="A78" s="3">
        <v>76</v>
      </c>
      <c r="B78" s="10"/>
      <c r="C78" s="4"/>
      <c r="D78" s="11" t="s">
        <v>96</v>
      </c>
      <c r="E78" s="9">
        <f t="shared" si="7"/>
        <v>0</v>
      </c>
      <c r="F78" s="9">
        <f t="shared" si="8"/>
        <v>0</v>
      </c>
    </row>
    <row r="79" s="3" customFormat="1" spans="1:6">
      <c r="A79" s="3">
        <v>77</v>
      </c>
      <c r="B79" s="10"/>
      <c r="C79" s="4"/>
      <c r="D79" s="11" t="s">
        <v>97</v>
      </c>
      <c r="E79" s="9">
        <f t="shared" si="7"/>
        <v>0</v>
      </c>
      <c r="F79" s="9">
        <f t="shared" si="8"/>
        <v>0</v>
      </c>
    </row>
    <row r="80" s="3" customFormat="1" spans="1:6">
      <c r="A80" s="3">
        <v>78</v>
      </c>
      <c r="B80" s="10"/>
      <c r="C80" s="4"/>
      <c r="D80" s="11" t="s">
        <v>98</v>
      </c>
      <c r="E80" s="9">
        <f t="shared" si="7"/>
        <v>0</v>
      </c>
      <c r="F80" s="9">
        <f t="shared" si="8"/>
        <v>0</v>
      </c>
    </row>
    <row r="81" s="3" customFormat="1" spans="1:24">
      <c r="A81" s="3">
        <v>79</v>
      </c>
      <c r="B81" s="10"/>
      <c r="C81" s="4"/>
      <c r="D81" s="11" t="s">
        <v>99</v>
      </c>
      <c r="E81" s="9">
        <f t="shared" si="7"/>
        <v>0</v>
      </c>
      <c r="F81" s="9">
        <f t="shared" si="8"/>
        <v>0</v>
      </c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</row>
    <row r="82" s="3" customFormat="1" spans="1:33">
      <c r="A82" s="3">
        <v>80</v>
      </c>
      <c r="B82" s="10"/>
      <c r="C82" s="4" t="s">
        <v>100</v>
      </c>
      <c r="D82" s="11" t="s">
        <v>101</v>
      </c>
      <c r="E82" s="9">
        <f t="shared" si="7"/>
        <v>13000</v>
      </c>
      <c r="F82" s="9">
        <f t="shared" si="8"/>
        <v>13520</v>
      </c>
      <c r="AB82" s="12">
        <v>2080</v>
      </c>
      <c r="AC82" s="3">
        <v>3120</v>
      </c>
      <c r="AD82" s="3">
        <v>3120</v>
      </c>
      <c r="AG82" s="3">
        <v>5200</v>
      </c>
    </row>
    <row r="83" s="3" customFormat="1" spans="1:6">
      <c r="A83" s="3">
        <v>81</v>
      </c>
      <c r="B83" s="10"/>
      <c r="C83" s="4"/>
      <c r="D83" s="11" t="s">
        <v>102</v>
      </c>
      <c r="E83" s="9">
        <f t="shared" si="7"/>
        <v>0</v>
      </c>
      <c r="F83" s="9">
        <f t="shared" si="8"/>
        <v>0</v>
      </c>
    </row>
    <row r="84" s="3" customFormat="1" spans="1:17">
      <c r="A84" s="3">
        <v>82</v>
      </c>
      <c r="B84" s="10"/>
      <c r="C84" s="4"/>
      <c r="D84" s="11" t="s">
        <v>103</v>
      </c>
      <c r="E84" s="9">
        <f t="shared" si="7"/>
        <v>0</v>
      </c>
      <c r="F84" s="9">
        <f t="shared" si="8"/>
        <v>0</v>
      </c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</row>
    <row r="85" s="3" customFormat="1" spans="1:28">
      <c r="A85" s="3">
        <v>83</v>
      </c>
      <c r="B85" s="10"/>
      <c r="C85" s="4" t="s">
        <v>100</v>
      </c>
      <c r="D85" s="11" t="s">
        <v>104</v>
      </c>
      <c r="E85" s="9">
        <f t="shared" si="7"/>
        <v>2000</v>
      </c>
      <c r="F85" s="9">
        <f t="shared" si="8"/>
        <v>2080</v>
      </c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AB85" s="12">
        <v>2080</v>
      </c>
    </row>
    <row r="86" s="3" customFormat="1" spans="1:22">
      <c r="A86" s="3">
        <v>84</v>
      </c>
      <c r="B86" s="10"/>
      <c r="C86" s="4"/>
      <c r="D86" s="11" t="s">
        <v>105</v>
      </c>
      <c r="E86" s="9">
        <f t="shared" si="7"/>
        <v>0</v>
      </c>
      <c r="F86" s="9">
        <f t="shared" si="8"/>
        <v>0</v>
      </c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</row>
    <row r="87" s="3" customFormat="1" spans="1:6">
      <c r="A87" s="3">
        <v>85</v>
      </c>
      <c r="C87" s="4"/>
      <c r="D87" s="4" t="s">
        <v>106</v>
      </c>
      <c r="E87" s="9">
        <f t="shared" si="7"/>
        <v>0</v>
      </c>
      <c r="F87" s="9">
        <f t="shared" si="8"/>
        <v>0</v>
      </c>
    </row>
    <row r="88" s="3" customFormat="1" spans="1:6">
      <c r="A88" s="3">
        <v>86</v>
      </c>
      <c r="C88" s="4"/>
      <c r="D88" s="4" t="s">
        <v>107</v>
      </c>
      <c r="E88" s="9">
        <f t="shared" si="7"/>
        <v>0</v>
      </c>
      <c r="F88" s="9">
        <f t="shared" si="8"/>
        <v>0</v>
      </c>
    </row>
    <row r="89" s="3" customFormat="1" spans="1:6">
      <c r="A89" s="3">
        <v>87</v>
      </c>
      <c r="C89" s="4"/>
      <c r="D89" s="4" t="s">
        <v>108</v>
      </c>
      <c r="E89" s="9">
        <f t="shared" si="7"/>
        <v>0</v>
      </c>
      <c r="F89" s="9">
        <f t="shared" si="8"/>
        <v>0</v>
      </c>
    </row>
    <row r="90" s="3" customFormat="1" spans="1:6">
      <c r="A90" s="3">
        <v>88</v>
      </c>
      <c r="C90" s="4"/>
      <c r="D90" s="4" t="s">
        <v>109</v>
      </c>
      <c r="E90" s="9">
        <f t="shared" si="7"/>
        <v>0</v>
      </c>
      <c r="F90" s="9">
        <f t="shared" si="8"/>
        <v>0</v>
      </c>
    </row>
    <row r="91" s="3" customFormat="1" spans="1:6">
      <c r="A91" s="3">
        <v>89</v>
      </c>
      <c r="C91" s="4"/>
      <c r="D91" s="4" t="s">
        <v>110</v>
      </c>
      <c r="E91" s="9">
        <f t="shared" si="7"/>
        <v>0</v>
      </c>
      <c r="F91" s="9">
        <f t="shared" si="8"/>
        <v>0</v>
      </c>
    </row>
    <row r="92" s="3" customFormat="1" spans="1:6">
      <c r="A92" s="3">
        <v>90</v>
      </c>
      <c r="C92" s="4"/>
      <c r="D92" s="4" t="s">
        <v>111</v>
      </c>
      <c r="E92" s="9">
        <f t="shared" si="7"/>
        <v>0</v>
      </c>
      <c r="F92" s="9">
        <f t="shared" si="8"/>
        <v>0</v>
      </c>
    </row>
    <row r="93" s="3" customFormat="1" spans="1:6">
      <c r="A93" s="3">
        <v>91</v>
      </c>
      <c r="C93" s="4"/>
      <c r="D93" s="4" t="s">
        <v>112</v>
      </c>
      <c r="E93" s="9">
        <f t="shared" si="7"/>
        <v>0</v>
      </c>
      <c r="F93" s="9">
        <f t="shared" si="8"/>
        <v>0</v>
      </c>
    </row>
    <row r="94" spans="1:6">
      <c r="A94" s="3">
        <v>92</v>
      </c>
      <c r="C94" s="4"/>
      <c r="D94" s="3" t="s">
        <v>113</v>
      </c>
      <c r="E94" s="9">
        <f t="shared" si="7"/>
        <v>0</v>
      </c>
      <c r="F94" s="9">
        <f t="shared" si="8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2020-12-31T00:31:06Z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