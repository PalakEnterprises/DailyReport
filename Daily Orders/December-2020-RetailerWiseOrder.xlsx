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D1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C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<sst xmlns="http://schemas.openxmlformats.org/spreadsheetml/2006/main" count="166" uniqueCount="111">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</sst>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8" borderId="3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1" borderId="5" applyNumberFormat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6" fillId="10" borderId="4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3"/>
  <sheetViews>
    <sheetView tabSelected="1" workbookViewId="0">
      <pane xSplit="6" ySplit="2" topLeftCell="AA37" activePane="bottomRight" state="frozen"/>
      <selection/>
      <selection pane="topRight"/>
      <selection pane="bottomLeft"/>
      <selection pane="bottomRight" activeCell="A51" sqref="A51:A93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1041000</v>
      </c>
      <c r="F2" s="8">
        <f>SUM(G2:AK2)</f>
        <v>1082640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54080</v>
      </c>
      <c r="W2" s="2">
        <f t="shared" si="1"/>
        <v>57200</v>
      </c>
      <c r="X2" s="2">
        <f t="shared" si="1"/>
        <v>33280</v>
      </c>
      <c r="Y2" s="2">
        <f t="shared" si="1"/>
        <v>30160</v>
      </c>
      <c r="Z2" s="2">
        <f t="shared" si="1"/>
        <v>39520</v>
      </c>
      <c r="AA2" s="2">
        <f t="shared" si="1"/>
        <v>36400</v>
      </c>
      <c r="AB2" s="2">
        <f t="shared" si="1"/>
        <v>39520</v>
      </c>
      <c r="AC2" s="2">
        <f t="shared" si="1"/>
        <v>73840</v>
      </c>
      <c r="AD2" s="2">
        <f t="shared" si="1"/>
        <v>36400</v>
      </c>
      <c r="AE2" s="2">
        <f t="shared" si="1"/>
        <v>43160</v>
      </c>
      <c r="AF2" s="2">
        <f t="shared" si="1"/>
        <v>10400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="3" customFormat="1" spans="1:28">
      <c r="A3" s="3">
        <v>1</v>
      </c>
      <c r="C3" s="3" t="s">
        <v>7</v>
      </c>
      <c r="D3" s="4" t="s">
        <v>8</v>
      </c>
      <c r="E3" s="9">
        <f t="shared" ref="E3:E34" si="2">F3/1.04</f>
        <v>6000</v>
      </c>
      <c r="F3" s="9">
        <f t="shared" ref="F3:F34" si="3">SUM(G3:AK3)</f>
        <v>6240</v>
      </c>
      <c r="V3" s="3">
        <v>3120</v>
      </c>
      <c r="AB3" s="3">
        <v>3120</v>
      </c>
    </row>
    <row r="4" s="3" customFormat="1" spans="1:25">
      <c r="A4" s="3">
        <v>2</v>
      </c>
      <c r="C4" s="3" t="s">
        <v>7</v>
      </c>
      <c r="D4" s="4" t="s">
        <v>9</v>
      </c>
      <c r="E4" s="9">
        <f t="shared" si="2"/>
        <v>4000</v>
      </c>
      <c r="F4" s="9">
        <f t="shared" si="3"/>
        <v>4160</v>
      </c>
      <c r="L4" s="3">
        <v>2080</v>
      </c>
      <c r="Y4" s="12">
        <v>2080</v>
      </c>
    </row>
    <row r="5" s="3" customFormat="1" spans="1:30">
      <c r="A5" s="3">
        <v>3</v>
      </c>
      <c r="C5" s="3" t="s">
        <v>7</v>
      </c>
      <c r="D5" s="4" t="s">
        <v>10</v>
      </c>
      <c r="E5" s="9">
        <f t="shared" si="2"/>
        <v>12000</v>
      </c>
      <c r="F5" s="9">
        <f t="shared" si="3"/>
        <v>12480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Y5" s="3">
        <v>1040</v>
      </c>
      <c r="AC5" s="3">
        <v>1040</v>
      </c>
      <c r="AD5" s="3">
        <v>1040</v>
      </c>
    </row>
    <row r="6" s="3" customFormat="1" spans="1:29">
      <c r="A6" s="3">
        <v>4</v>
      </c>
      <c r="C6" s="3" t="s">
        <v>7</v>
      </c>
      <c r="D6" s="4" t="s">
        <v>11</v>
      </c>
      <c r="E6" s="9">
        <f t="shared" si="2"/>
        <v>24500</v>
      </c>
      <c r="F6" s="9">
        <f t="shared" si="3"/>
        <v>25480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V6" s="3">
        <v>5200</v>
      </c>
      <c r="AC6" s="3">
        <v>5200</v>
      </c>
    </row>
    <row r="7" s="3" customFormat="1" spans="1:31">
      <c r="A7" s="3">
        <v>5</v>
      </c>
      <c r="C7" s="3" t="s">
        <v>7</v>
      </c>
      <c r="D7" s="4" t="s">
        <v>12</v>
      </c>
      <c r="E7" s="9">
        <f t="shared" si="2"/>
        <v>52000</v>
      </c>
      <c r="F7" s="9">
        <f t="shared" si="3"/>
        <v>54080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S7" s="3">
        <v>5200</v>
      </c>
      <c r="V7" s="3">
        <v>5200</v>
      </c>
      <c r="X7" s="3">
        <v>4160</v>
      </c>
      <c r="Y7" s="3">
        <v>2080</v>
      </c>
      <c r="Z7" s="3">
        <v>2080</v>
      </c>
      <c r="AB7" s="3">
        <v>2080</v>
      </c>
      <c r="AC7" s="3">
        <v>4160</v>
      </c>
      <c r="AD7" s="3">
        <v>2080</v>
      </c>
      <c r="AE7" s="3">
        <v>2080</v>
      </c>
    </row>
    <row r="8" s="3" customFormat="1" spans="1:24">
      <c r="A8" s="3">
        <v>6</v>
      </c>
      <c r="C8" s="3" t="s">
        <v>7</v>
      </c>
      <c r="D8" s="4" t="s">
        <v>13</v>
      </c>
      <c r="E8" s="9">
        <f t="shared" si="2"/>
        <v>5000</v>
      </c>
      <c r="F8" s="9">
        <f t="shared" si="3"/>
        <v>5200</v>
      </c>
      <c r="L8" s="3">
        <v>1040</v>
      </c>
      <c r="O8" s="3">
        <v>2080</v>
      </c>
      <c r="X8" s="3">
        <v>2080</v>
      </c>
    </row>
    <row r="9" s="3" customFormat="1" spans="1:21">
      <c r="A9" s="3">
        <v>7</v>
      </c>
      <c r="C9" s="3" t="s">
        <v>7</v>
      </c>
      <c r="D9" s="4" t="s">
        <v>14</v>
      </c>
      <c r="E9" s="9">
        <f t="shared" si="2"/>
        <v>6000</v>
      </c>
      <c r="F9" s="9">
        <f t="shared" si="3"/>
        <v>6240</v>
      </c>
      <c r="I9" s="3">
        <v>2080</v>
      </c>
      <c r="L9" s="3">
        <v>2080</v>
      </c>
      <c r="U9" s="3">
        <v>2080</v>
      </c>
    </row>
    <row r="10" s="3" customFormat="1" spans="1:29">
      <c r="A10" s="3">
        <v>8</v>
      </c>
      <c r="C10" s="3" t="s">
        <v>7</v>
      </c>
      <c r="D10" s="4" t="s">
        <v>15</v>
      </c>
      <c r="E10" s="9">
        <f t="shared" si="2"/>
        <v>35000</v>
      </c>
      <c r="F10" s="9">
        <f t="shared" si="3"/>
        <v>36400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N10" s="3">
        <v>5200</v>
      </c>
      <c r="Q10" s="3">
        <v>5200</v>
      </c>
      <c r="V10" s="3">
        <v>5200</v>
      </c>
      <c r="Z10" s="3">
        <v>5200</v>
      </c>
      <c r="AC10" s="3">
        <v>5200</v>
      </c>
    </row>
    <row r="11" s="3" customFormat="1" spans="1:28">
      <c r="A11" s="3">
        <v>9</v>
      </c>
      <c r="C11" s="3" t="s">
        <v>16</v>
      </c>
      <c r="D11" s="4" t="s">
        <v>17</v>
      </c>
      <c r="E11" s="9">
        <f t="shared" si="2"/>
        <v>13000</v>
      </c>
      <c r="F11" s="9">
        <f t="shared" si="3"/>
        <v>13520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  <c r="AB11" s="3">
        <v>2080</v>
      </c>
    </row>
    <row r="12" s="3" customFormat="1" spans="1:29">
      <c r="A12" s="3">
        <v>10</v>
      </c>
      <c r="C12" s="3" t="s">
        <v>16</v>
      </c>
      <c r="D12" s="4" t="s">
        <v>18</v>
      </c>
      <c r="E12" s="9">
        <f t="shared" si="2"/>
        <v>5000</v>
      </c>
      <c r="F12" s="9">
        <f t="shared" si="3"/>
        <v>5200</v>
      </c>
      <c r="H12" s="3">
        <v>1040</v>
      </c>
      <c r="M12" s="3">
        <v>1040</v>
      </c>
      <c r="O12" s="3">
        <v>1040</v>
      </c>
      <c r="W12" s="12">
        <v>1040</v>
      </c>
      <c r="AC12" s="12">
        <v>1040</v>
      </c>
    </row>
    <row r="13" s="3" customFormat="1" spans="1:30">
      <c r="A13" s="3">
        <v>11</v>
      </c>
      <c r="C13" s="3" t="s">
        <v>16</v>
      </c>
      <c r="D13" s="4" t="s">
        <v>19</v>
      </c>
      <c r="E13" s="9">
        <f t="shared" si="2"/>
        <v>28000</v>
      </c>
      <c r="F13" s="9">
        <f t="shared" si="3"/>
        <v>29120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W13" s="3">
        <v>5200</v>
      </c>
      <c r="AD13" s="3">
        <v>5200</v>
      </c>
    </row>
    <row r="14" s="3" customFormat="1" spans="1:31">
      <c r="A14" s="3">
        <v>12</v>
      </c>
      <c r="C14" s="3" t="s">
        <v>16</v>
      </c>
      <c r="D14" s="4" t="s">
        <v>20</v>
      </c>
      <c r="E14" s="9">
        <f t="shared" si="2"/>
        <v>44000</v>
      </c>
      <c r="F14" s="9">
        <f t="shared" si="3"/>
        <v>45760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  <c r="AA14" s="3">
        <v>5200</v>
      </c>
      <c r="AE14" s="3">
        <v>5200</v>
      </c>
    </row>
    <row r="15" s="3" customFormat="1" spans="1:28">
      <c r="A15" s="3">
        <v>13</v>
      </c>
      <c r="B15" s="3" t="s">
        <v>21</v>
      </c>
      <c r="C15" s="3" t="s">
        <v>16</v>
      </c>
      <c r="D15" s="4" t="s">
        <v>22</v>
      </c>
      <c r="E15" s="9">
        <f t="shared" si="2"/>
        <v>6000</v>
      </c>
      <c r="F15" s="9">
        <f t="shared" si="3"/>
        <v>6240</v>
      </c>
      <c r="T15" s="3">
        <v>2080</v>
      </c>
      <c r="V15" s="3">
        <v>2080</v>
      </c>
      <c r="AB15" s="3">
        <v>2080</v>
      </c>
    </row>
    <row r="16" s="3" customFormat="1" spans="1:30">
      <c r="A16" s="3">
        <v>14</v>
      </c>
      <c r="C16" s="3" t="s">
        <v>16</v>
      </c>
      <c r="D16" s="4" t="s">
        <v>23</v>
      </c>
      <c r="E16" s="9">
        <f t="shared" si="2"/>
        <v>15000</v>
      </c>
      <c r="F16" s="9">
        <f t="shared" si="3"/>
        <v>15600</v>
      </c>
      <c r="M16" s="3">
        <v>2080</v>
      </c>
      <c r="P16" s="3">
        <v>1040</v>
      </c>
      <c r="Q16" s="3">
        <v>3120</v>
      </c>
      <c r="T16" s="3">
        <v>3120</v>
      </c>
      <c r="X16" s="3">
        <v>3120</v>
      </c>
      <c r="AD16" s="3">
        <v>3120</v>
      </c>
    </row>
    <row r="17" s="3" customFormat="1" spans="1:25">
      <c r="A17" s="3">
        <v>15</v>
      </c>
      <c r="C17" s="3" t="s">
        <v>24</v>
      </c>
      <c r="D17" s="4" t="s">
        <v>25</v>
      </c>
      <c r="E17" s="9">
        <f t="shared" si="2"/>
        <v>24000</v>
      </c>
      <c r="F17" s="9">
        <f t="shared" si="3"/>
        <v>24960</v>
      </c>
      <c r="H17" s="3">
        <v>3120</v>
      </c>
      <c r="K17" s="3">
        <v>3120</v>
      </c>
      <c r="L17" s="3">
        <v>3120</v>
      </c>
      <c r="M17" s="3">
        <v>5200</v>
      </c>
      <c r="R17" s="3">
        <v>5200</v>
      </c>
      <c r="Y17" s="3">
        <v>5200</v>
      </c>
    </row>
    <row r="18" s="3" customFormat="1" spans="1:30">
      <c r="A18" s="3">
        <v>16</v>
      </c>
      <c r="C18" s="3" t="s">
        <v>24</v>
      </c>
      <c r="D18" s="4" t="s">
        <v>26</v>
      </c>
      <c r="E18" s="9">
        <f t="shared" si="2"/>
        <v>7000</v>
      </c>
      <c r="F18" s="9">
        <f t="shared" si="3"/>
        <v>7280</v>
      </c>
      <c r="R18" s="3">
        <v>1040</v>
      </c>
      <c r="W18" s="3">
        <v>1040</v>
      </c>
      <c r="Y18" s="3">
        <v>1040</v>
      </c>
      <c r="AB18" s="3">
        <v>1040</v>
      </c>
      <c r="AD18" s="12">
        <v>3120</v>
      </c>
    </row>
    <row r="19" s="3" customFormat="1" spans="1:30">
      <c r="A19" s="3">
        <v>17</v>
      </c>
      <c r="C19" s="3" t="s">
        <v>24</v>
      </c>
      <c r="D19" s="4" t="s">
        <v>27</v>
      </c>
      <c r="E19" s="9">
        <f t="shared" si="2"/>
        <v>12000</v>
      </c>
      <c r="F19" s="9">
        <f t="shared" si="3"/>
        <v>12480</v>
      </c>
      <c r="J19" s="3">
        <v>1040</v>
      </c>
      <c r="K19" s="3">
        <v>1040</v>
      </c>
      <c r="L19" s="3">
        <v>1040</v>
      </c>
      <c r="P19" s="3">
        <v>3120</v>
      </c>
      <c r="U19" s="3">
        <v>3120</v>
      </c>
      <c r="AD19" s="3">
        <v>3120</v>
      </c>
    </row>
    <row r="20" s="3" customFormat="1" spans="1:30">
      <c r="A20" s="3">
        <v>18</v>
      </c>
      <c r="C20" s="3" t="s">
        <v>24</v>
      </c>
      <c r="D20" s="4" t="s">
        <v>28</v>
      </c>
      <c r="E20" s="9">
        <f t="shared" si="2"/>
        <v>22000</v>
      </c>
      <c r="F20" s="9">
        <f t="shared" si="3"/>
        <v>22880</v>
      </c>
      <c r="O20" s="3">
        <v>2080</v>
      </c>
      <c r="R20" s="3">
        <v>5200</v>
      </c>
      <c r="S20" s="3">
        <v>5200</v>
      </c>
      <c r="W20" s="3">
        <v>5200</v>
      </c>
      <c r="AD20" s="3">
        <v>5200</v>
      </c>
    </row>
    <row r="21" s="3" customFormat="1" spans="1:28">
      <c r="A21" s="3">
        <v>19</v>
      </c>
      <c r="C21" s="3" t="s">
        <v>24</v>
      </c>
      <c r="D21" s="4" t="s">
        <v>29</v>
      </c>
      <c r="E21" s="9">
        <f t="shared" si="2"/>
        <v>7000</v>
      </c>
      <c r="F21" s="9">
        <f t="shared" si="3"/>
        <v>7280</v>
      </c>
      <c r="J21" s="3">
        <v>2080</v>
      </c>
      <c r="O21" s="3">
        <v>1040</v>
      </c>
      <c r="R21" s="3">
        <v>1040</v>
      </c>
      <c r="S21" s="3">
        <v>1040</v>
      </c>
      <c r="W21" s="3">
        <v>1040</v>
      </c>
      <c r="AB21" s="3">
        <v>1040</v>
      </c>
    </row>
    <row r="22" s="3" customFormat="1" spans="1:31">
      <c r="A22" s="3">
        <v>20</v>
      </c>
      <c r="C22" s="3" t="s">
        <v>24</v>
      </c>
      <c r="D22" s="4" t="s">
        <v>30</v>
      </c>
      <c r="E22" s="9">
        <f t="shared" si="2"/>
        <v>18000</v>
      </c>
      <c r="F22" s="9">
        <f t="shared" si="3"/>
        <v>18720</v>
      </c>
      <c r="I22" s="3">
        <v>3120</v>
      </c>
      <c r="O22" s="3">
        <v>3120</v>
      </c>
      <c r="S22" s="3">
        <v>3120</v>
      </c>
      <c r="W22" s="3">
        <v>3120</v>
      </c>
      <c r="AC22" s="3">
        <v>3120</v>
      </c>
      <c r="AE22" s="3">
        <v>3120</v>
      </c>
    </row>
    <row r="23" s="3" customFormat="1" spans="1:32">
      <c r="A23" s="3">
        <v>21</v>
      </c>
      <c r="C23" s="3" t="s">
        <v>24</v>
      </c>
      <c r="D23" s="4" t="s">
        <v>31</v>
      </c>
      <c r="E23" s="9">
        <f t="shared" si="2"/>
        <v>22000</v>
      </c>
      <c r="F23" s="9">
        <f t="shared" si="3"/>
        <v>22880</v>
      </c>
      <c r="T23" s="12">
        <v>2080</v>
      </c>
      <c r="U23" s="3">
        <v>5200</v>
      </c>
      <c r="W23" s="3">
        <v>5200</v>
      </c>
      <c r="AB23" s="3">
        <v>5200</v>
      </c>
      <c r="AF23" s="3">
        <v>5200</v>
      </c>
    </row>
    <row r="24" s="3" customFormat="1" spans="1:29">
      <c r="A24" s="3">
        <v>22</v>
      </c>
      <c r="C24" s="3" t="s">
        <v>24</v>
      </c>
      <c r="D24" s="4" t="s">
        <v>32</v>
      </c>
      <c r="E24" s="9">
        <f t="shared" si="2"/>
        <v>21000</v>
      </c>
      <c r="F24" s="9">
        <f t="shared" si="3"/>
        <v>21840</v>
      </c>
      <c r="H24" s="3">
        <v>3120</v>
      </c>
      <c r="M24" s="3">
        <v>6240</v>
      </c>
      <c r="U24" s="3">
        <v>3120</v>
      </c>
      <c r="V24" s="3">
        <v>3120</v>
      </c>
      <c r="Z24" s="3">
        <v>3120</v>
      </c>
      <c r="AC24" s="3">
        <v>3120</v>
      </c>
    </row>
    <row r="25" s="3" customFormat="1" spans="1:27">
      <c r="A25" s="3">
        <v>23</v>
      </c>
      <c r="C25" s="3" t="s">
        <v>24</v>
      </c>
      <c r="D25" s="4" t="s">
        <v>33</v>
      </c>
      <c r="E25" s="9">
        <f t="shared" si="2"/>
        <v>11000</v>
      </c>
      <c r="F25" s="9">
        <f t="shared" si="3"/>
        <v>11440</v>
      </c>
      <c r="H25" s="3">
        <v>1040</v>
      </c>
      <c r="I25" s="3">
        <v>1040</v>
      </c>
      <c r="L25" s="3">
        <v>2080</v>
      </c>
      <c r="S25" s="12">
        <v>1040</v>
      </c>
      <c r="U25" s="3">
        <v>2080</v>
      </c>
      <c r="V25" s="3">
        <v>2080</v>
      </c>
      <c r="AA25" s="3">
        <v>2080</v>
      </c>
    </row>
    <row r="26" s="3" customFormat="1" spans="1:28">
      <c r="A26" s="3">
        <v>24</v>
      </c>
      <c r="C26" s="3" t="s">
        <v>24</v>
      </c>
      <c r="D26" s="4" t="s">
        <v>34</v>
      </c>
      <c r="E26" s="9">
        <f t="shared" si="2"/>
        <v>5000</v>
      </c>
      <c r="F26" s="9">
        <f t="shared" si="3"/>
        <v>5200</v>
      </c>
      <c r="L26" s="3">
        <v>1040</v>
      </c>
      <c r="U26" s="3">
        <v>2080</v>
      </c>
      <c r="AB26" s="3">
        <v>2080</v>
      </c>
    </row>
    <row r="27" s="3" customFormat="1" spans="1:22">
      <c r="A27" s="3">
        <v>25</v>
      </c>
      <c r="C27" s="3" t="s">
        <v>24</v>
      </c>
      <c r="D27" s="4" t="s">
        <v>35</v>
      </c>
      <c r="E27" s="9">
        <f t="shared" si="2"/>
        <v>8000</v>
      </c>
      <c r="F27" s="9">
        <f t="shared" si="3"/>
        <v>8320</v>
      </c>
      <c r="J27" s="3">
        <v>1040</v>
      </c>
      <c r="M27" s="3">
        <v>2080</v>
      </c>
      <c r="Q27" s="3">
        <v>1040</v>
      </c>
      <c r="R27" s="3">
        <v>2080</v>
      </c>
      <c r="V27" s="3">
        <v>2080</v>
      </c>
    </row>
    <row r="28" s="3" customFormat="1" spans="1:31">
      <c r="A28" s="3">
        <v>26</v>
      </c>
      <c r="C28" s="3" t="s">
        <v>24</v>
      </c>
      <c r="D28" s="4" t="s">
        <v>36</v>
      </c>
      <c r="E28" s="9">
        <f t="shared" si="2"/>
        <v>22000</v>
      </c>
      <c r="F28" s="9">
        <f t="shared" si="3"/>
        <v>22880</v>
      </c>
      <c r="H28" s="3">
        <v>2080</v>
      </c>
      <c r="J28" s="3">
        <v>2080</v>
      </c>
      <c r="L28" s="3">
        <v>3120</v>
      </c>
      <c r="P28" s="3">
        <v>5200</v>
      </c>
      <c r="V28" s="3">
        <v>5200</v>
      </c>
      <c r="AE28" s="3">
        <v>5200</v>
      </c>
    </row>
    <row r="29" s="3" customFormat="1" spans="1:29">
      <c r="A29" s="3">
        <v>27</v>
      </c>
      <c r="C29" s="3" t="s">
        <v>24</v>
      </c>
      <c r="D29" s="4" t="s">
        <v>37</v>
      </c>
      <c r="E29" s="9">
        <f t="shared" si="2"/>
        <v>49000</v>
      </c>
      <c r="F29" s="9">
        <f t="shared" si="3"/>
        <v>50960</v>
      </c>
      <c r="I29" s="3">
        <v>2080</v>
      </c>
      <c r="J29" s="3">
        <v>5200</v>
      </c>
      <c r="K29" s="3">
        <v>2080</v>
      </c>
      <c r="L29" s="3">
        <v>5200</v>
      </c>
      <c r="N29" s="3">
        <v>5200</v>
      </c>
      <c r="P29" s="3">
        <v>5200</v>
      </c>
      <c r="R29" s="3">
        <v>5200</v>
      </c>
      <c r="U29" s="3">
        <v>5200</v>
      </c>
      <c r="W29" s="3">
        <v>5200</v>
      </c>
      <c r="Z29" s="3">
        <v>5200</v>
      </c>
      <c r="AC29" s="3">
        <v>5200</v>
      </c>
    </row>
    <row r="30" s="3" customFormat="1" spans="1:29">
      <c r="A30" s="3">
        <v>28</v>
      </c>
      <c r="C30" s="3" t="s">
        <v>24</v>
      </c>
      <c r="D30" s="4" t="s">
        <v>38</v>
      </c>
      <c r="E30" s="9">
        <f t="shared" si="2"/>
        <v>12000</v>
      </c>
      <c r="F30" s="9">
        <f t="shared" si="3"/>
        <v>12480</v>
      </c>
      <c r="H30" s="3">
        <v>1040</v>
      </c>
      <c r="K30" s="3">
        <v>1040</v>
      </c>
      <c r="M30" s="3">
        <v>2080</v>
      </c>
      <c r="S30" s="3">
        <v>2080</v>
      </c>
      <c r="U30" s="3">
        <v>2080</v>
      </c>
      <c r="X30" s="3">
        <v>2080</v>
      </c>
      <c r="AC30" s="3">
        <v>2080</v>
      </c>
    </row>
    <row r="31" s="3" customFormat="1" spans="1:31">
      <c r="A31" s="3">
        <v>29</v>
      </c>
      <c r="C31" s="3" t="s">
        <v>39</v>
      </c>
      <c r="D31" s="4" t="s">
        <v>40</v>
      </c>
      <c r="E31" s="9">
        <f t="shared" si="2"/>
        <v>12000</v>
      </c>
      <c r="F31" s="9">
        <f t="shared" si="3"/>
        <v>12480</v>
      </c>
      <c r="I31" s="3">
        <v>2080</v>
      </c>
      <c r="K31" s="3">
        <v>1040</v>
      </c>
      <c r="N31" s="3">
        <v>3120</v>
      </c>
      <c r="X31" s="3">
        <v>3120</v>
      </c>
      <c r="AE31" s="3">
        <v>3120</v>
      </c>
    </row>
    <row r="32" s="3" customFormat="1" spans="1:31">
      <c r="A32" s="3">
        <v>30</v>
      </c>
      <c r="C32" s="3" t="s">
        <v>39</v>
      </c>
      <c r="D32" s="4" t="s">
        <v>41</v>
      </c>
      <c r="E32" s="9">
        <f t="shared" si="2"/>
        <v>6000</v>
      </c>
      <c r="F32" s="9">
        <f t="shared" si="3"/>
        <v>6240</v>
      </c>
      <c r="I32" s="3">
        <v>1040</v>
      </c>
      <c r="M32" s="3">
        <v>1040</v>
      </c>
      <c r="O32" s="3">
        <v>1040</v>
      </c>
      <c r="U32" s="3">
        <v>1040</v>
      </c>
      <c r="W32" s="3">
        <v>1040</v>
      </c>
      <c r="AE32" s="3">
        <v>1040</v>
      </c>
    </row>
    <row r="33" s="3" customFormat="1" spans="1:31">
      <c r="A33" s="3">
        <v>31</v>
      </c>
      <c r="C33" s="3" t="s">
        <v>39</v>
      </c>
      <c r="D33" s="4" t="s">
        <v>42</v>
      </c>
      <c r="E33" s="9">
        <f t="shared" si="2"/>
        <v>5000</v>
      </c>
      <c r="F33" s="9">
        <f t="shared" si="3"/>
        <v>5200</v>
      </c>
      <c r="I33" s="3">
        <v>1040</v>
      </c>
      <c r="L33" s="3">
        <v>2080</v>
      </c>
      <c r="AE33" s="3">
        <v>2080</v>
      </c>
    </row>
    <row r="34" s="3" customFormat="1" spans="1:31">
      <c r="A34" s="3">
        <v>32</v>
      </c>
      <c r="C34" s="3" t="s">
        <v>39</v>
      </c>
      <c r="D34" s="4" t="s">
        <v>43</v>
      </c>
      <c r="E34" s="9">
        <f t="shared" si="2"/>
        <v>24000</v>
      </c>
      <c r="F34" s="9">
        <f t="shared" si="3"/>
        <v>24960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  <c r="W34" s="3">
        <v>3120</v>
      </c>
      <c r="AB34" s="3">
        <v>3120</v>
      </c>
      <c r="AE34" s="3">
        <v>3120</v>
      </c>
    </row>
    <row r="35" s="3" customFormat="1" spans="1:29">
      <c r="A35" s="3">
        <v>33</v>
      </c>
      <c r="C35" s="3" t="s">
        <v>39</v>
      </c>
      <c r="D35" s="4" t="s">
        <v>44</v>
      </c>
      <c r="E35" s="9">
        <f t="shared" ref="E35:E66" si="4">F35/1.04</f>
        <v>4000</v>
      </c>
      <c r="F35" s="9">
        <f t="shared" ref="F35:F66" si="5">SUM(G35:AK35)</f>
        <v>4160</v>
      </c>
      <c r="V35" s="12">
        <v>2080</v>
      </c>
      <c r="AC35" s="12">
        <v>2080</v>
      </c>
    </row>
    <row r="36" s="3" customFormat="1" spans="1:27">
      <c r="A36" s="3">
        <v>34</v>
      </c>
      <c r="C36" s="3" t="s">
        <v>39</v>
      </c>
      <c r="D36" s="4" t="s">
        <v>45</v>
      </c>
      <c r="E36" s="9">
        <f t="shared" si="4"/>
        <v>18000</v>
      </c>
      <c r="F36" s="9">
        <f t="shared" si="5"/>
        <v>18720</v>
      </c>
      <c r="H36" s="3">
        <v>3120</v>
      </c>
      <c r="J36" s="3">
        <v>1040</v>
      </c>
      <c r="L36" s="3">
        <v>2080</v>
      </c>
      <c r="O36" s="3">
        <v>3120</v>
      </c>
      <c r="S36" s="3">
        <v>3120</v>
      </c>
      <c r="W36" s="3">
        <v>3120</v>
      </c>
      <c r="AA36" s="3">
        <v>3120</v>
      </c>
    </row>
    <row r="37" s="3" customFormat="1" spans="1:27">
      <c r="A37" s="3">
        <v>35</v>
      </c>
      <c r="C37" s="3" t="s">
        <v>39</v>
      </c>
      <c r="D37" s="4" t="s">
        <v>46</v>
      </c>
      <c r="E37" s="9">
        <f t="shared" si="4"/>
        <v>6000</v>
      </c>
      <c r="F37" s="9">
        <f t="shared" si="5"/>
        <v>6240</v>
      </c>
      <c r="K37" s="3">
        <v>2080</v>
      </c>
      <c r="U37" s="12">
        <v>2080</v>
      </c>
      <c r="AA37" s="12">
        <v>2080</v>
      </c>
    </row>
    <row r="38" s="3" customFormat="1" spans="1:32">
      <c r="A38" s="3">
        <v>36</v>
      </c>
      <c r="C38" s="3" t="s">
        <v>39</v>
      </c>
      <c r="D38" s="4" t="s">
        <v>47</v>
      </c>
      <c r="E38" s="9">
        <f t="shared" si="4"/>
        <v>12000</v>
      </c>
      <c r="F38" s="9">
        <f t="shared" si="5"/>
        <v>12480</v>
      </c>
      <c r="M38" s="3">
        <v>2080</v>
      </c>
      <c r="N38" s="3">
        <v>2080</v>
      </c>
      <c r="Q38" s="3">
        <v>2080</v>
      </c>
      <c r="V38" s="3">
        <v>2080</v>
      </c>
      <c r="AA38" s="3">
        <v>2080</v>
      </c>
      <c r="AF38" s="3">
        <v>2080</v>
      </c>
    </row>
    <row r="39" s="3" customFormat="1" spans="1:26">
      <c r="A39" s="3">
        <v>37</v>
      </c>
      <c r="C39" s="3" t="s">
        <v>39</v>
      </c>
      <c r="D39" s="4" t="s">
        <v>48</v>
      </c>
      <c r="E39" s="9">
        <f t="shared" si="4"/>
        <v>9000</v>
      </c>
      <c r="F39" s="9">
        <f t="shared" si="5"/>
        <v>9360</v>
      </c>
      <c r="H39" s="3">
        <v>2080</v>
      </c>
      <c r="K39" s="3">
        <v>1040</v>
      </c>
      <c r="N39" s="3">
        <v>2080</v>
      </c>
      <c r="S39" s="3">
        <v>2080</v>
      </c>
      <c r="Z39" s="3">
        <v>2080</v>
      </c>
    </row>
    <row r="40" s="3" customFormat="1" spans="1:31">
      <c r="A40" s="3">
        <v>38</v>
      </c>
      <c r="C40" s="3" t="s">
        <v>39</v>
      </c>
      <c r="D40" s="4" t="s">
        <v>49</v>
      </c>
      <c r="E40" s="9">
        <f t="shared" si="4"/>
        <v>33000</v>
      </c>
      <c r="F40" s="9">
        <f t="shared" si="5"/>
        <v>34320</v>
      </c>
      <c r="I40" s="3">
        <v>2080</v>
      </c>
      <c r="J40" s="3">
        <v>2080</v>
      </c>
      <c r="K40" s="3">
        <v>1040</v>
      </c>
      <c r="L40" s="3">
        <v>1040</v>
      </c>
      <c r="M40" s="3">
        <v>3120</v>
      </c>
      <c r="O40" s="3">
        <v>3120</v>
      </c>
      <c r="Q40" s="3">
        <v>3120</v>
      </c>
      <c r="T40" s="3">
        <v>3120</v>
      </c>
      <c r="V40" s="3">
        <v>3120</v>
      </c>
      <c r="X40" s="3">
        <v>3120</v>
      </c>
      <c r="Z40" s="3">
        <v>3120</v>
      </c>
      <c r="AC40" s="3">
        <v>3120</v>
      </c>
      <c r="AE40" s="3">
        <v>3120</v>
      </c>
    </row>
    <row r="41" s="3" customFormat="1" spans="1:26">
      <c r="A41" s="3">
        <v>39</v>
      </c>
      <c r="C41" s="3" t="s">
        <v>39</v>
      </c>
      <c r="D41" s="4" t="s">
        <v>50</v>
      </c>
      <c r="E41" s="9">
        <f t="shared" si="4"/>
        <v>5000</v>
      </c>
      <c r="F41" s="9">
        <f t="shared" si="5"/>
        <v>5200</v>
      </c>
      <c r="L41" s="3">
        <v>2080</v>
      </c>
      <c r="Q41" s="3">
        <v>1040</v>
      </c>
      <c r="Z41" s="12">
        <v>2080</v>
      </c>
    </row>
    <row r="42" s="3" customFormat="1" spans="1:6">
      <c r="A42" s="3">
        <v>40</v>
      </c>
      <c r="C42" s="3" t="s">
        <v>39</v>
      </c>
      <c r="D42" s="4" t="s">
        <v>51</v>
      </c>
      <c r="E42" s="9">
        <f t="shared" si="4"/>
        <v>0</v>
      </c>
      <c r="F42" s="9">
        <f t="shared" si="5"/>
        <v>0</v>
      </c>
    </row>
    <row r="43" s="3" customFormat="1" spans="1:29">
      <c r="A43" s="3">
        <v>41</v>
      </c>
      <c r="C43" s="3" t="s">
        <v>39</v>
      </c>
      <c r="D43" s="4" t="s">
        <v>52</v>
      </c>
      <c r="E43" s="9">
        <f t="shared" si="4"/>
        <v>18000</v>
      </c>
      <c r="F43" s="9">
        <f t="shared" si="5"/>
        <v>18720</v>
      </c>
      <c r="H43" s="3">
        <v>3120</v>
      </c>
      <c r="I43" s="3">
        <v>2080</v>
      </c>
      <c r="L43" s="3">
        <v>3120</v>
      </c>
      <c r="R43" s="3">
        <v>1040</v>
      </c>
      <c r="U43" s="3">
        <v>3120</v>
      </c>
      <c r="X43" s="3">
        <v>3120</v>
      </c>
      <c r="AC43" s="3">
        <v>3120</v>
      </c>
    </row>
    <row r="44" s="3" customFormat="1" spans="1:29">
      <c r="A44" s="3">
        <v>42</v>
      </c>
      <c r="C44" s="3" t="s">
        <v>53</v>
      </c>
      <c r="D44" s="4" t="s">
        <v>54</v>
      </c>
      <c r="E44" s="9">
        <f t="shared" si="4"/>
        <v>20000</v>
      </c>
      <c r="F44" s="9">
        <f t="shared" si="5"/>
        <v>20800</v>
      </c>
      <c r="H44" s="3">
        <v>2080</v>
      </c>
      <c r="J44" s="3">
        <v>3120</v>
      </c>
      <c r="R44" s="3">
        <v>3120</v>
      </c>
      <c r="T44" s="3">
        <v>3120</v>
      </c>
      <c r="W44" s="3">
        <v>3120</v>
      </c>
      <c r="AA44" s="3">
        <v>3120</v>
      </c>
      <c r="AC44" s="3">
        <v>3120</v>
      </c>
    </row>
    <row r="45" s="3" customFormat="1" spans="1:28">
      <c r="A45" s="3">
        <v>43</v>
      </c>
      <c r="C45" s="3" t="s">
        <v>53</v>
      </c>
      <c r="D45" s="4" t="s">
        <v>55</v>
      </c>
      <c r="E45" s="9">
        <f t="shared" si="4"/>
        <v>19000</v>
      </c>
      <c r="F45" s="9">
        <f t="shared" si="5"/>
        <v>19760</v>
      </c>
      <c r="J45" s="3">
        <v>2080</v>
      </c>
      <c r="L45" s="3">
        <v>2080</v>
      </c>
      <c r="N45" s="3">
        <v>3120</v>
      </c>
      <c r="S45" s="3">
        <v>3120</v>
      </c>
      <c r="V45" s="3">
        <v>3120</v>
      </c>
      <c r="Y45" s="3">
        <v>3120</v>
      </c>
      <c r="AB45" s="3">
        <v>3120</v>
      </c>
    </row>
    <row r="46" s="3" customFormat="1" spans="1:28">
      <c r="A46" s="3">
        <v>44</v>
      </c>
      <c r="C46" s="3" t="s">
        <v>53</v>
      </c>
      <c r="D46" s="4" t="s">
        <v>56</v>
      </c>
      <c r="E46" s="9">
        <f t="shared" si="4"/>
        <v>6000</v>
      </c>
      <c r="F46" s="9">
        <f t="shared" si="5"/>
        <v>6240</v>
      </c>
      <c r="J46" s="3">
        <v>2080</v>
      </c>
      <c r="T46" s="3">
        <v>2080</v>
      </c>
      <c r="AB46" s="3">
        <v>2080</v>
      </c>
    </row>
    <row r="47" s="3" customFormat="1" spans="1:25">
      <c r="A47" s="3">
        <v>45</v>
      </c>
      <c r="C47" s="3" t="s">
        <v>53</v>
      </c>
      <c r="D47" s="4" t="s">
        <v>57</v>
      </c>
      <c r="E47" s="9">
        <f t="shared" si="4"/>
        <v>14000</v>
      </c>
      <c r="F47" s="9">
        <f t="shared" si="5"/>
        <v>14560</v>
      </c>
      <c r="O47" s="3">
        <v>2080</v>
      </c>
      <c r="P47" s="3">
        <v>3120</v>
      </c>
      <c r="S47" s="3">
        <v>3120</v>
      </c>
      <c r="U47" s="3">
        <v>3120</v>
      </c>
      <c r="Y47" s="3">
        <v>3120</v>
      </c>
    </row>
    <row r="48" s="3" customFormat="1" spans="1:29">
      <c r="A48" s="3">
        <v>46</v>
      </c>
      <c r="C48" s="3" t="s">
        <v>53</v>
      </c>
      <c r="D48" s="4" t="s">
        <v>58</v>
      </c>
      <c r="E48" s="9">
        <f t="shared" si="4"/>
        <v>21000</v>
      </c>
      <c r="F48" s="9">
        <f t="shared" si="5"/>
        <v>21840</v>
      </c>
      <c r="J48" s="3">
        <v>2080</v>
      </c>
      <c r="K48" s="3">
        <v>1040</v>
      </c>
      <c r="M48" s="3">
        <v>3120</v>
      </c>
      <c r="O48" s="3">
        <v>3120</v>
      </c>
      <c r="S48" s="3">
        <v>3120</v>
      </c>
      <c r="W48" s="3">
        <v>3120</v>
      </c>
      <c r="Z48" s="3">
        <v>3120</v>
      </c>
      <c r="AC48" s="3">
        <v>3120</v>
      </c>
    </row>
    <row r="49" s="3" customFormat="1" spans="1:27">
      <c r="A49" s="3">
        <v>47</v>
      </c>
      <c r="C49" s="3" t="s">
        <v>53</v>
      </c>
      <c r="D49" s="4" t="s">
        <v>59</v>
      </c>
      <c r="E49" s="9">
        <f t="shared" si="4"/>
        <v>9000</v>
      </c>
      <c r="F49" s="9">
        <f t="shared" si="5"/>
        <v>9360</v>
      </c>
      <c r="J49" s="3">
        <v>1040</v>
      </c>
      <c r="P49" s="3">
        <v>2080</v>
      </c>
      <c r="S49" s="3">
        <v>2080</v>
      </c>
      <c r="X49" s="3">
        <v>2080</v>
      </c>
      <c r="AA49" s="3">
        <v>2080</v>
      </c>
    </row>
    <row r="50" s="3" customFormat="1" spans="1:18">
      <c r="A50" s="3">
        <v>48</v>
      </c>
      <c r="C50" s="3" t="s">
        <v>53</v>
      </c>
      <c r="D50" s="4" t="s">
        <v>60</v>
      </c>
      <c r="E50" s="9">
        <f t="shared" si="4"/>
        <v>6000</v>
      </c>
      <c r="F50" s="9">
        <f t="shared" si="5"/>
        <v>6240</v>
      </c>
      <c r="H50" s="3">
        <v>1040</v>
      </c>
      <c r="J50" s="3">
        <v>1040</v>
      </c>
      <c r="L50" s="3">
        <v>2080</v>
      </c>
      <c r="R50" s="3">
        <v>2080</v>
      </c>
    </row>
    <row r="51" s="3" customFormat="1" spans="1:31">
      <c r="A51" s="3">
        <v>49</v>
      </c>
      <c r="C51" s="3" t="s">
        <v>53</v>
      </c>
      <c r="D51" s="4" t="s">
        <v>61</v>
      </c>
      <c r="E51" s="9">
        <f t="shared" si="4"/>
        <v>22000</v>
      </c>
      <c r="F51" s="9">
        <f t="shared" si="5"/>
        <v>22880</v>
      </c>
      <c r="H51" s="3">
        <v>2080</v>
      </c>
      <c r="J51" s="3">
        <v>2080</v>
      </c>
      <c r="M51" s="3">
        <v>3120</v>
      </c>
      <c r="N51" s="3">
        <v>3120</v>
      </c>
      <c r="T51" s="3">
        <v>3120</v>
      </c>
      <c r="W51" s="3">
        <v>3120</v>
      </c>
      <c r="AA51" s="3">
        <v>3120</v>
      </c>
      <c r="AE51" s="3">
        <v>3120</v>
      </c>
    </row>
    <row r="52" s="3" customFormat="1" spans="1:32">
      <c r="A52" s="3">
        <v>50</v>
      </c>
      <c r="B52" s="10"/>
      <c r="C52" s="10" t="s">
        <v>53</v>
      </c>
      <c r="D52" s="11" t="s">
        <v>62</v>
      </c>
      <c r="E52" s="9">
        <f>F52/1.04</f>
        <v>3000</v>
      </c>
      <c r="F52" s="9">
        <f>SUM(G52:AK52)</f>
        <v>3120</v>
      </c>
      <c r="AC52" s="3">
        <v>1040</v>
      </c>
      <c r="AD52" s="3">
        <v>1040</v>
      </c>
      <c r="AF52" s="3">
        <v>1040</v>
      </c>
    </row>
    <row r="53" s="3" customFormat="1" spans="1:30">
      <c r="A53" s="3">
        <v>51</v>
      </c>
      <c r="C53" s="3" t="s">
        <v>63</v>
      </c>
      <c r="D53" s="4" t="s">
        <v>64</v>
      </c>
      <c r="E53" s="9">
        <f>F53/1.04</f>
        <v>9000</v>
      </c>
      <c r="F53" s="9">
        <f>SUM(G53:AK53)</f>
        <v>9360</v>
      </c>
      <c r="P53" s="3">
        <v>1040</v>
      </c>
      <c r="R53" s="3">
        <v>2080</v>
      </c>
      <c r="U53" s="3">
        <v>2080</v>
      </c>
      <c r="W53" s="3">
        <v>2080</v>
      </c>
      <c r="AD53" s="3">
        <v>2080</v>
      </c>
    </row>
    <row r="54" s="3" customFormat="1" spans="1:29">
      <c r="A54" s="3">
        <v>52</v>
      </c>
      <c r="C54" s="3" t="s">
        <v>63</v>
      </c>
      <c r="D54" s="4" t="s">
        <v>65</v>
      </c>
      <c r="E54" s="9">
        <f>F54/1.04</f>
        <v>28000</v>
      </c>
      <c r="F54" s="9">
        <f>SUM(G54:AK54)</f>
        <v>29120</v>
      </c>
      <c r="M54" s="3">
        <v>3120</v>
      </c>
      <c r="N54" s="3">
        <v>5200</v>
      </c>
      <c r="Q54" s="3">
        <v>5200</v>
      </c>
      <c r="U54" s="3">
        <v>5200</v>
      </c>
      <c r="Z54" s="3">
        <v>5200</v>
      </c>
      <c r="AC54" s="3">
        <v>5200</v>
      </c>
    </row>
    <row r="55" s="3" customFormat="1" spans="1:26">
      <c r="A55" s="3">
        <v>53</v>
      </c>
      <c r="C55" s="3" t="s">
        <v>63</v>
      </c>
      <c r="D55" s="4" t="s">
        <v>66</v>
      </c>
      <c r="E55" s="9">
        <f>F55/1.04</f>
        <v>5500</v>
      </c>
      <c r="F55" s="9">
        <f>SUM(G55:AK55)</f>
        <v>5720</v>
      </c>
      <c r="M55" s="3">
        <v>1560</v>
      </c>
      <c r="T55" s="3">
        <v>2080</v>
      </c>
      <c r="Z55" s="3">
        <v>2080</v>
      </c>
    </row>
    <row r="56" s="3" customFormat="1" spans="1:29">
      <c r="A56" s="3">
        <v>54</v>
      </c>
      <c r="C56" s="3" t="s">
        <v>67</v>
      </c>
      <c r="D56" s="4" t="s">
        <v>68</v>
      </c>
      <c r="E56" s="9">
        <f>F56/1.04</f>
        <v>9000</v>
      </c>
      <c r="F56" s="9">
        <f>SUM(G56:AK56)</f>
        <v>9360</v>
      </c>
      <c r="P56" s="3">
        <v>4160</v>
      </c>
      <c r="AC56" s="12">
        <v>5200</v>
      </c>
    </row>
    <row r="57" s="3" customFormat="1" spans="1:32">
      <c r="A57" s="3">
        <v>55</v>
      </c>
      <c r="B57" s="10"/>
      <c r="C57" s="3" t="s">
        <v>69</v>
      </c>
      <c r="D57" s="11" t="s">
        <v>70</v>
      </c>
      <c r="E57" s="9">
        <f>F57/1.04</f>
        <v>13000</v>
      </c>
      <c r="F57" s="9">
        <f>SUM(G57:AK57)</f>
        <v>13520</v>
      </c>
      <c r="J57" s="3">
        <v>1040</v>
      </c>
      <c r="Q57" s="3">
        <v>2080</v>
      </c>
      <c r="R57" s="3">
        <v>2080</v>
      </c>
      <c r="V57" s="3">
        <v>2080</v>
      </c>
      <c r="Z57" s="3">
        <v>2080</v>
      </c>
      <c r="AC57" s="3">
        <v>2080</v>
      </c>
      <c r="AF57" s="3">
        <v>2080</v>
      </c>
    </row>
    <row r="58" s="3" customFormat="1" spans="1:25">
      <c r="A58" s="3">
        <v>56</v>
      </c>
      <c r="B58" s="10"/>
      <c r="C58" s="3" t="s">
        <v>71</v>
      </c>
      <c r="D58" s="11" t="s">
        <v>72</v>
      </c>
      <c r="E58" s="9">
        <f>F58/1.04</f>
        <v>4000</v>
      </c>
      <c r="F58" s="9">
        <f>SUM(G58:AK58)</f>
        <v>4160</v>
      </c>
      <c r="V58" s="12">
        <v>2080</v>
      </c>
      <c r="Y58" s="3">
        <v>2080</v>
      </c>
    </row>
    <row r="59" s="3" customFormat="1" spans="1:28">
      <c r="A59" s="3">
        <v>57</v>
      </c>
      <c r="C59" s="3" t="s">
        <v>73</v>
      </c>
      <c r="D59" s="4" t="s">
        <v>74</v>
      </c>
      <c r="E59" s="9">
        <f>F59/1.04</f>
        <v>9000</v>
      </c>
      <c r="F59" s="9">
        <f>SUM(G59:AK59)</f>
        <v>9360</v>
      </c>
      <c r="O59" s="3">
        <v>1040</v>
      </c>
      <c r="P59" s="3">
        <v>2080</v>
      </c>
      <c r="R59" s="3">
        <v>2080</v>
      </c>
      <c r="U59" s="3">
        <v>2080</v>
      </c>
      <c r="AB59" s="3">
        <v>2080</v>
      </c>
    </row>
    <row r="60" s="3" customFormat="1" spans="1:30">
      <c r="A60" s="3">
        <v>58</v>
      </c>
      <c r="C60" s="3" t="s">
        <v>73</v>
      </c>
      <c r="D60" s="4" t="s">
        <v>75</v>
      </c>
      <c r="E60" s="9">
        <f>F60/1.04</f>
        <v>9000</v>
      </c>
      <c r="F60" s="9">
        <f>SUM(G60:AK60)</f>
        <v>9360</v>
      </c>
      <c r="K60" s="3">
        <v>3120</v>
      </c>
      <c r="T60" s="3">
        <v>2080</v>
      </c>
      <c r="W60" s="3">
        <v>2080</v>
      </c>
      <c r="AD60" s="3">
        <v>2080</v>
      </c>
    </row>
    <row r="61" s="3" customFormat="1" spans="1:25">
      <c r="A61" s="3">
        <v>59</v>
      </c>
      <c r="C61" s="3" t="s">
        <v>73</v>
      </c>
      <c r="D61" s="4" t="s">
        <v>76</v>
      </c>
      <c r="E61" s="9">
        <f>F61/1.04</f>
        <v>5000</v>
      </c>
      <c r="F61" s="9">
        <f>SUM(G61:AK61)</f>
        <v>5200</v>
      </c>
      <c r="K61" s="3">
        <v>1040</v>
      </c>
      <c r="Q61" s="3">
        <v>2080</v>
      </c>
      <c r="Y61" s="3">
        <v>2080</v>
      </c>
    </row>
    <row r="62" s="3" customFormat="1" spans="1:30">
      <c r="A62" s="3">
        <v>60</v>
      </c>
      <c r="C62" s="3" t="s">
        <v>73</v>
      </c>
      <c r="D62" s="4" t="s">
        <v>77</v>
      </c>
      <c r="E62" s="9">
        <f>F62/1.04</f>
        <v>4000</v>
      </c>
      <c r="F62" s="9">
        <f>SUM(G62:AK62)</f>
        <v>4160</v>
      </c>
      <c r="K62" s="3">
        <v>2080</v>
      </c>
      <c r="Y62" s="3">
        <v>1040</v>
      </c>
      <c r="AD62" s="3">
        <v>1040</v>
      </c>
    </row>
    <row r="63" s="3" customFormat="1" spans="1:31">
      <c r="A63" s="3">
        <v>61</v>
      </c>
      <c r="C63" s="3" t="s">
        <v>73</v>
      </c>
      <c r="D63" s="4" t="s">
        <v>78</v>
      </c>
      <c r="E63" s="9">
        <f>F63/1.04</f>
        <v>47000</v>
      </c>
      <c r="F63" s="9">
        <f>SUM(G63:AK63)</f>
        <v>48880</v>
      </c>
      <c r="K63" s="3">
        <v>2080</v>
      </c>
      <c r="L63" s="3">
        <v>15600</v>
      </c>
      <c r="O63" s="3">
        <v>5200</v>
      </c>
      <c r="R63" s="3">
        <v>5200</v>
      </c>
      <c r="U63" s="3">
        <v>5200</v>
      </c>
      <c r="Y63" s="3">
        <v>5200</v>
      </c>
      <c r="AA63" s="3">
        <v>5200</v>
      </c>
      <c r="AE63" s="3">
        <v>5200</v>
      </c>
    </row>
    <row r="64" s="3" customFormat="1" spans="1:29">
      <c r="A64" s="3">
        <v>62</v>
      </c>
      <c r="C64" s="3" t="s">
        <v>73</v>
      </c>
      <c r="D64" s="4" t="s">
        <v>79</v>
      </c>
      <c r="E64" s="9">
        <f>F64/1.04</f>
        <v>21000</v>
      </c>
      <c r="F64" s="9">
        <f>SUM(G64:AK64)</f>
        <v>21840</v>
      </c>
      <c r="H64" s="3">
        <v>2080</v>
      </c>
      <c r="J64" s="3">
        <v>2080</v>
      </c>
      <c r="K64" s="3">
        <v>1040</v>
      </c>
      <c r="L64" s="3">
        <v>1040</v>
      </c>
      <c r="M64" s="3">
        <v>3120</v>
      </c>
      <c r="Q64" s="3">
        <v>3120</v>
      </c>
      <c r="V64" s="3">
        <v>3120</v>
      </c>
      <c r="Z64" s="3">
        <v>3120</v>
      </c>
      <c r="AC64" s="3">
        <v>3120</v>
      </c>
    </row>
    <row r="65" s="3" customFormat="1" spans="1:27">
      <c r="A65" s="3">
        <v>63</v>
      </c>
      <c r="B65" s="10"/>
      <c r="C65" s="10" t="s">
        <v>73</v>
      </c>
      <c r="D65" s="11" t="s">
        <v>80</v>
      </c>
      <c r="E65" s="9">
        <f>F65/1.04</f>
        <v>4000</v>
      </c>
      <c r="F65" s="9">
        <f>SUM(G65:AK65)</f>
        <v>4160</v>
      </c>
      <c r="X65" s="12">
        <v>2080</v>
      </c>
      <c r="AA65" s="3">
        <v>2080</v>
      </c>
    </row>
    <row r="66" s="3" customFormat="1" spans="1:27">
      <c r="A66" s="3">
        <v>64</v>
      </c>
      <c r="C66" s="3" t="s">
        <v>81</v>
      </c>
      <c r="D66" s="4" t="s">
        <v>82</v>
      </c>
      <c r="E66" s="9">
        <f>F66/1.04</f>
        <v>15000</v>
      </c>
      <c r="F66" s="9">
        <f>SUM(G66:AK66)</f>
        <v>15600</v>
      </c>
      <c r="I66" s="3">
        <v>1040</v>
      </c>
      <c r="L66" s="3">
        <v>2080</v>
      </c>
      <c r="M66" s="3">
        <v>3120</v>
      </c>
      <c r="T66" s="3">
        <v>3120</v>
      </c>
      <c r="X66" s="3">
        <v>3120</v>
      </c>
      <c r="AA66" s="3">
        <v>3120</v>
      </c>
    </row>
    <row r="67" s="3" customFormat="1" spans="1:30">
      <c r="A67" s="3">
        <v>65</v>
      </c>
      <c r="C67" s="3" t="s">
        <v>81</v>
      </c>
      <c r="D67" s="4" t="s">
        <v>83</v>
      </c>
      <c r="E67" s="9">
        <f>F67/1.04</f>
        <v>24000</v>
      </c>
      <c r="F67" s="9">
        <f>SUM(G67:AK67)</f>
        <v>24960</v>
      </c>
      <c r="H67" s="3">
        <v>3120</v>
      </c>
      <c r="K67" s="3">
        <v>1040</v>
      </c>
      <c r="L67" s="3">
        <v>2080</v>
      </c>
      <c r="O67" s="3">
        <v>3120</v>
      </c>
      <c r="R67" s="3">
        <v>3120</v>
      </c>
      <c r="U67" s="3">
        <v>3120</v>
      </c>
      <c r="W67" s="3">
        <v>3120</v>
      </c>
      <c r="AA67" s="3">
        <v>3120</v>
      </c>
      <c r="AD67" s="3">
        <v>3120</v>
      </c>
    </row>
    <row r="68" s="3" customFormat="1" spans="1:28">
      <c r="A68" s="3">
        <v>66</v>
      </c>
      <c r="C68" s="3" t="s">
        <v>81</v>
      </c>
      <c r="D68" s="4" t="s">
        <v>84</v>
      </c>
      <c r="E68" s="9">
        <f t="shared" ref="E68:E84" si="6">F68/1.04</f>
        <v>17000</v>
      </c>
      <c r="F68" s="9">
        <f t="shared" ref="F68:F84" si="7">SUM(G68:AK68)</f>
        <v>17680</v>
      </c>
      <c r="J68" s="3">
        <v>2080</v>
      </c>
      <c r="L68" s="3">
        <v>1040</v>
      </c>
      <c r="O68" s="3">
        <v>2080</v>
      </c>
      <c r="P68" s="3">
        <v>2080</v>
      </c>
      <c r="S68" s="3">
        <v>2080</v>
      </c>
      <c r="T68" s="3">
        <v>2080</v>
      </c>
      <c r="W68" s="3">
        <v>2080</v>
      </c>
      <c r="Y68" s="3">
        <v>2080</v>
      </c>
      <c r="AB68" s="3">
        <v>2080</v>
      </c>
    </row>
    <row r="69" s="3" customFormat="1" spans="1:31">
      <c r="A69" s="3">
        <v>67</v>
      </c>
      <c r="B69" s="10"/>
      <c r="C69" s="10"/>
      <c r="D69" s="11" t="s">
        <v>85</v>
      </c>
      <c r="E69" s="9">
        <f t="shared" si="6"/>
        <v>24000</v>
      </c>
      <c r="F69" s="9">
        <f t="shared" si="7"/>
        <v>24960</v>
      </c>
      <c r="G69" s="10"/>
      <c r="H69" s="10">
        <v>520</v>
      </c>
      <c r="I69" s="10">
        <v>2080</v>
      </c>
      <c r="J69" s="10">
        <v>5200</v>
      </c>
      <c r="K69" s="10"/>
      <c r="L69" s="10"/>
      <c r="M69" s="10"/>
      <c r="N69" s="10"/>
      <c r="O69" s="10"/>
      <c r="P69" s="10"/>
      <c r="Q69" s="10"/>
      <c r="R69" s="10">
        <v>5200</v>
      </c>
      <c r="S69" s="13"/>
      <c r="T69" s="13"/>
      <c r="U69" s="13"/>
      <c r="V69" s="13"/>
      <c r="W69" s="13"/>
      <c r="Z69" s="3">
        <v>1040</v>
      </c>
      <c r="AB69" s="12">
        <v>2080</v>
      </c>
      <c r="AC69" s="12">
        <v>4160</v>
      </c>
      <c r="AD69" s="12">
        <v>1040</v>
      </c>
      <c r="AE69" s="12">
        <v>3640</v>
      </c>
    </row>
    <row r="70" s="3" customFormat="1" spans="1:23">
      <c r="A70" s="3">
        <v>68</v>
      </c>
      <c r="B70" s="10"/>
      <c r="C70" s="10"/>
      <c r="D70" s="11" t="s">
        <v>86</v>
      </c>
      <c r="E70" s="9">
        <f t="shared" si="6"/>
        <v>4000</v>
      </c>
      <c r="F70" s="9">
        <f t="shared" si="7"/>
        <v>4160</v>
      </c>
      <c r="W70" s="12">
        <v>4160</v>
      </c>
    </row>
    <row r="71" s="3" customFormat="1" spans="1:28">
      <c r="A71" s="3">
        <v>69</v>
      </c>
      <c r="B71" s="10"/>
      <c r="C71" s="10"/>
      <c r="D71" s="11" t="s">
        <v>87</v>
      </c>
      <c r="E71" s="9">
        <f t="shared" si="6"/>
        <v>4000</v>
      </c>
      <c r="F71" s="9">
        <f t="shared" si="7"/>
        <v>4160</v>
      </c>
      <c r="Q71" s="3">
        <v>2080</v>
      </c>
      <c r="AB71" s="12">
        <v>2080</v>
      </c>
    </row>
    <row r="72" s="3" customFormat="1" spans="1:29">
      <c r="A72" s="3">
        <v>70</v>
      </c>
      <c r="B72" s="10"/>
      <c r="C72" s="10"/>
      <c r="D72" s="11" t="s">
        <v>88</v>
      </c>
      <c r="E72" s="9">
        <f t="shared" si="6"/>
        <v>5000</v>
      </c>
      <c r="F72" s="9">
        <f t="shared" si="7"/>
        <v>5200</v>
      </c>
      <c r="AC72" s="3">
        <v>5200</v>
      </c>
    </row>
    <row r="73" s="3" customFormat="1" spans="1:6">
      <c r="A73" s="3">
        <v>71</v>
      </c>
      <c r="B73" s="10"/>
      <c r="C73" s="10"/>
      <c r="D73" s="11" t="s">
        <v>89</v>
      </c>
      <c r="E73" s="9">
        <f t="shared" si="6"/>
        <v>0</v>
      </c>
      <c r="F73" s="9">
        <f t="shared" si="7"/>
        <v>0</v>
      </c>
    </row>
    <row r="74" s="3" customFormat="1" spans="1:6">
      <c r="A74" s="3">
        <v>72</v>
      </c>
      <c r="B74" s="10"/>
      <c r="C74" s="10"/>
      <c r="D74" s="11" t="s">
        <v>90</v>
      </c>
      <c r="E74" s="9">
        <f t="shared" si="6"/>
        <v>0</v>
      </c>
      <c r="F74" s="9">
        <f t="shared" si="7"/>
        <v>0</v>
      </c>
    </row>
    <row r="75" s="3" customFormat="1" spans="1:18">
      <c r="A75" s="3">
        <v>73</v>
      </c>
      <c r="B75" s="10"/>
      <c r="C75" s="10"/>
      <c r="D75" s="11" t="s">
        <v>91</v>
      </c>
      <c r="E75" s="9">
        <f t="shared" si="6"/>
        <v>0</v>
      </c>
      <c r="F75" s="9">
        <f t="shared" si="7"/>
        <v>0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</row>
    <row r="76" s="3" customFormat="1" spans="1:31">
      <c r="A76" s="3">
        <v>74</v>
      </c>
      <c r="B76" s="10"/>
      <c r="C76" s="10"/>
      <c r="D76" s="11" t="s">
        <v>92</v>
      </c>
      <c r="E76" s="9">
        <f t="shared" si="6"/>
        <v>3000</v>
      </c>
      <c r="F76" s="9">
        <f t="shared" si="7"/>
        <v>3120</v>
      </c>
      <c r="AE76" s="12">
        <v>3120</v>
      </c>
    </row>
    <row r="77" s="3" customFormat="1" spans="1:6">
      <c r="A77" s="3">
        <v>75</v>
      </c>
      <c r="B77" s="10"/>
      <c r="C77" s="10"/>
      <c r="D77" s="11" t="s">
        <v>93</v>
      </c>
      <c r="E77" s="9">
        <f t="shared" si="6"/>
        <v>0</v>
      </c>
      <c r="F77" s="9">
        <f t="shared" si="7"/>
        <v>0</v>
      </c>
    </row>
    <row r="78" s="3" customFormat="1" spans="1:6">
      <c r="A78" s="3">
        <v>76</v>
      </c>
      <c r="B78" s="10"/>
      <c r="C78" s="10"/>
      <c r="D78" s="11" t="s">
        <v>94</v>
      </c>
      <c r="E78" s="9">
        <f t="shared" si="6"/>
        <v>0</v>
      </c>
      <c r="F78" s="9">
        <f t="shared" si="7"/>
        <v>0</v>
      </c>
    </row>
    <row r="79" s="3" customFormat="1" spans="1:6">
      <c r="A79" s="3">
        <v>77</v>
      </c>
      <c r="B79" s="10"/>
      <c r="C79" s="10"/>
      <c r="D79" s="11" t="s">
        <v>95</v>
      </c>
      <c r="E79" s="9">
        <f t="shared" si="6"/>
        <v>0</v>
      </c>
      <c r="F79" s="9">
        <f t="shared" si="7"/>
        <v>0</v>
      </c>
    </row>
    <row r="80" s="3" customFormat="1" spans="1:24">
      <c r="A80" s="3">
        <v>78</v>
      </c>
      <c r="B80" s="10"/>
      <c r="C80" s="10"/>
      <c r="D80" s="11" t="s">
        <v>96</v>
      </c>
      <c r="E80" s="9">
        <f t="shared" si="6"/>
        <v>0</v>
      </c>
      <c r="F80" s="9">
        <f t="shared" si="7"/>
        <v>0</v>
      </c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</row>
    <row r="81" s="3" customFormat="1" spans="1:30">
      <c r="A81" s="3">
        <v>79</v>
      </c>
      <c r="B81" s="10"/>
      <c r="C81" s="10" t="s">
        <v>97</v>
      </c>
      <c r="D81" s="11" t="s">
        <v>98</v>
      </c>
      <c r="E81" s="9">
        <f t="shared" si="6"/>
        <v>8000</v>
      </c>
      <c r="F81" s="9">
        <f t="shared" si="7"/>
        <v>8320</v>
      </c>
      <c r="AB81" s="12">
        <v>2080</v>
      </c>
      <c r="AC81" s="3">
        <v>3120</v>
      </c>
      <c r="AD81" s="3">
        <v>3120</v>
      </c>
    </row>
    <row r="82" s="3" customFormat="1" spans="1:6">
      <c r="A82" s="3">
        <v>80</v>
      </c>
      <c r="B82" s="10"/>
      <c r="C82" s="10"/>
      <c r="D82" s="11" t="s">
        <v>99</v>
      </c>
      <c r="E82" s="9">
        <f t="shared" si="6"/>
        <v>0</v>
      </c>
      <c r="F82" s="9">
        <f t="shared" si="7"/>
        <v>0</v>
      </c>
    </row>
    <row r="83" s="3" customFormat="1" spans="1:17">
      <c r="A83" s="3">
        <v>81</v>
      </c>
      <c r="B83" s="10"/>
      <c r="C83" s="10"/>
      <c r="D83" s="11" t="s">
        <v>100</v>
      </c>
      <c r="E83" s="9">
        <f t="shared" si="6"/>
        <v>0</v>
      </c>
      <c r="F83" s="9">
        <f t="shared" si="7"/>
        <v>0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</row>
    <row r="84" s="3" customFormat="1" spans="1:28">
      <c r="A84" s="3">
        <v>82</v>
      </c>
      <c r="B84" s="10"/>
      <c r="C84" s="10"/>
      <c r="D84" s="11" t="s">
        <v>101</v>
      </c>
      <c r="E84" s="9">
        <f t="shared" si="6"/>
        <v>2000</v>
      </c>
      <c r="F84" s="9">
        <f t="shared" si="7"/>
        <v>2080</v>
      </c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AB84" s="12">
        <v>2080</v>
      </c>
    </row>
    <row r="85" s="3" customFormat="1" spans="1:22">
      <c r="A85" s="3">
        <v>83</v>
      </c>
      <c r="B85" s="10"/>
      <c r="C85" s="10"/>
      <c r="D85" s="11" t="s">
        <v>102</v>
      </c>
      <c r="E85" s="9">
        <f>F85/1.04</f>
        <v>0</v>
      </c>
      <c r="F85" s="9">
        <f>SUM(G85:AK85)</f>
        <v>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</row>
    <row r="86" s="3" customFormat="1" spans="1:6">
      <c r="A86" s="3">
        <v>84</v>
      </c>
      <c r="D86" s="4" t="s">
        <v>103</v>
      </c>
      <c r="E86" s="9">
        <f>F86/1.04</f>
        <v>0</v>
      </c>
      <c r="F86" s="9">
        <f>SUM(G86:AK86)</f>
        <v>0</v>
      </c>
    </row>
    <row r="87" s="3" customFormat="1" spans="1:6">
      <c r="A87" s="3">
        <v>85</v>
      </c>
      <c r="D87" s="4" t="s">
        <v>104</v>
      </c>
      <c r="E87" s="9">
        <f>F87/1.04</f>
        <v>0</v>
      </c>
      <c r="F87" s="9">
        <f>SUM(G87:AK87)</f>
        <v>0</v>
      </c>
    </row>
    <row r="88" s="3" customFormat="1" spans="1:6">
      <c r="A88" s="3">
        <v>86</v>
      </c>
      <c r="D88" s="4" t="s">
        <v>105</v>
      </c>
      <c r="E88" s="9">
        <f>F88/1.04</f>
        <v>0</v>
      </c>
      <c r="F88" s="9">
        <f>SUM(G88:AK88)</f>
        <v>0</v>
      </c>
    </row>
    <row r="89" s="3" customFormat="1" spans="1:6">
      <c r="A89" s="3">
        <v>87</v>
      </c>
      <c r="D89" s="4" t="s">
        <v>106</v>
      </c>
      <c r="E89" s="9">
        <f>F89/1.04</f>
        <v>0</v>
      </c>
      <c r="F89" s="9">
        <f>SUM(G89:AK89)</f>
        <v>0</v>
      </c>
    </row>
    <row r="90" s="3" customFormat="1" spans="1:6">
      <c r="A90" s="3">
        <v>88</v>
      </c>
      <c r="D90" s="4" t="s">
        <v>107</v>
      </c>
      <c r="E90" s="9">
        <f>F90/1.04</f>
        <v>0</v>
      </c>
      <c r="F90" s="9">
        <f>SUM(G90:AK90)</f>
        <v>0</v>
      </c>
    </row>
    <row r="91" s="3" customFormat="1" spans="1:6">
      <c r="A91" s="3">
        <v>89</v>
      </c>
      <c r="D91" s="4" t="s">
        <v>108</v>
      </c>
      <c r="E91" s="9">
        <f>F91/1.04</f>
        <v>0</v>
      </c>
      <c r="F91" s="9">
        <f>SUM(G91:AK91)</f>
        <v>0</v>
      </c>
    </row>
    <row r="92" s="3" customFormat="1" spans="1:6">
      <c r="A92" s="3">
        <v>90</v>
      </c>
      <c r="D92" s="4" t="s">
        <v>109</v>
      </c>
      <c r="E92" s="9">
        <f>F92/1.04</f>
        <v>0</v>
      </c>
      <c r="F92" s="9">
        <f>SUM(G92:AK92)</f>
        <v>0</v>
      </c>
    </row>
    <row r="93" spans="1:6">
      <c r="A93" s="3">
        <v>91</v>
      </c>
      <c r="D93" s="3" t="s">
        <v>110</v>
      </c>
      <c r="E93" s="9">
        <f>F93/1.04</f>
        <v>0</v>
      </c>
      <c r="F93" s="9">
        <f>SUM(G93:AK93)</f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2020-12-26T01:38:51Z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