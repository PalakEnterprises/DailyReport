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Z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<sst xmlns="http://schemas.openxmlformats.org/spreadsheetml/2006/main" count="649" uniqueCount="174">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</sst>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[$-409]d\-mmm;@"/>
    <numFmt numFmtId="44" formatCode="_(&quot;$&quot;* #,##0.00_);_(&quot;$&quot;* \(#,##0.00\);_(&quot;$&quot;* &quot;-&quot;??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6" borderId="4" applyNumberFormat="0" applyAlignment="0" applyProtection="0">
      <alignment vertical="center"/>
    </xf>
    <xf numFmtId="0" fontId="2" fillId="0" borderId="3" applyNumberFormat="0" applyFill="0" applyAlignment="0" applyProtection="0">
      <alignment vertical="center"/>
    </xf>
    <xf numFmtId="0" fontId="0" fillId="15" borderId="2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6" fillId="33" borderId="7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7" fillId="33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7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177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7" fontId="1" fillId="11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Z34" activePane="bottomRight" state="frozen"/>
      <selection/>
      <selection pane="topRight"/>
      <selection pane="bottomLeft"/>
      <selection pane="bottomRight" activeCell="E39" sqref="E39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5" customWidth="1"/>
    <col min="9" max="16384" width="9.14285714285714" style="11"/>
  </cols>
  <sheetData>
    <row r="1" s="10" customFormat="1" spans="1:4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35">
        <v>44228</v>
      </c>
      <c r="J1" s="35">
        <v>44229</v>
      </c>
      <c r="K1" s="35">
        <v>44230</v>
      </c>
      <c r="L1" s="35">
        <v>44231</v>
      </c>
      <c r="M1" s="35">
        <v>44232</v>
      </c>
      <c r="N1" s="35">
        <v>44233</v>
      </c>
      <c r="O1" s="35">
        <v>44234</v>
      </c>
      <c r="P1" s="35">
        <v>44235</v>
      </c>
      <c r="Q1" s="35">
        <v>44236</v>
      </c>
      <c r="R1" s="35">
        <v>44237</v>
      </c>
      <c r="S1" s="35">
        <v>44238</v>
      </c>
      <c r="T1" s="35">
        <v>44239</v>
      </c>
      <c r="U1" s="35">
        <v>44240</v>
      </c>
      <c r="V1" s="35">
        <v>44241</v>
      </c>
      <c r="W1" s="35">
        <v>44242</v>
      </c>
      <c r="X1" s="35">
        <v>44243</v>
      </c>
      <c r="Y1" s="35">
        <v>44244</v>
      </c>
      <c r="Z1" s="35">
        <v>44245</v>
      </c>
      <c r="AA1" s="35">
        <v>44246</v>
      </c>
      <c r="AB1" s="35">
        <v>44247</v>
      </c>
      <c r="AC1" s="35">
        <v>44248</v>
      </c>
      <c r="AD1" s="35">
        <v>44249</v>
      </c>
      <c r="AE1" s="35">
        <v>44250</v>
      </c>
      <c r="AF1" s="35">
        <v>44251</v>
      </c>
      <c r="AG1" s="35">
        <v>44252</v>
      </c>
      <c r="AH1" s="35">
        <v>44253</v>
      </c>
      <c r="AI1" s="35">
        <v>44254</v>
      </c>
      <c r="AJ1" s="35">
        <v>44255</v>
      </c>
      <c r="AK1" s="24"/>
      <c r="AL1" s="24"/>
      <c r="AM1" s="24"/>
      <c r="AN1" s="24"/>
      <c r="AO1" s="24"/>
      <c r="AP1" s="24"/>
      <c r="AQ1" s="24"/>
      <c r="AR1" s="24"/>
      <c r="AS1" s="24"/>
    </row>
    <row r="2" s="10" customFormat="1" spans="1:36">
      <c r="A2" s="13"/>
      <c r="B2" s="28">
        <f>SUM(F3:F121)</f>
        <v>1123700</v>
      </c>
      <c r="D2" s="16">
        <f>SUM(G3:G121)</f>
        <v>993720</v>
      </c>
      <c r="E2" s="15" t="s">
        <v>8</v>
      </c>
      <c r="F2" s="28">
        <f t="shared" ref="F2:F18" si="0">G2/1.04+H2</f>
        <v>1123700</v>
      </c>
      <c r="G2" s="16">
        <f t="shared" ref="G2:G28" si="1">SUM(I2:AM2)</f>
        <v>993720</v>
      </c>
      <c r="H2" s="29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24960</v>
      </c>
      <c r="AA2" s="10">
        <f t="shared" si="2"/>
        <v>75920</v>
      </c>
      <c r="AB2" s="10">
        <f t="shared" si="2"/>
        <v>34320</v>
      </c>
      <c r="AC2" s="10">
        <f t="shared" si="2"/>
        <v>29120</v>
      </c>
      <c r="AD2" s="10">
        <f t="shared" si="2"/>
        <v>26000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24">
      <c r="A3" s="11">
        <v>1</v>
      </c>
      <c r="D3" s="11" t="s">
        <v>9</v>
      </c>
      <c r="E3" s="17" t="s">
        <v>10</v>
      </c>
      <c r="F3" s="10">
        <f t="shared" si="0"/>
        <v>9000</v>
      </c>
      <c r="G3" s="10">
        <f t="shared" si="1"/>
        <v>6240</v>
      </c>
      <c r="H3" s="30">
        <v>3000</v>
      </c>
      <c r="P3" s="11">
        <v>3120</v>
      </c>
      <c r="X3" s="11">
        <v>3120</v>
      </c>
    </row>
    <row r="4" s="11" customFormat="1" spans="1:23">
      <c r="A4" s="11">
        <v>2</v>
      </c>
      <c r="D4" s="11" t="s">
        <v>9</v>
      </c>
      <c r="E4" s="17" t="s">
        <v>11</v>
      </c>
      <c r="F4" s="10">
        <f t="shared" si="0"/>
        <v>7000</v>
      </c>
      <c r="G4" s="10">
        <f t="shared" si="1"/>
        <v>5200</v>
      </c>
      <c r="H4" s="30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</row>
    <row r="5" s="11" customFormat="1" spans="1:23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0"/>
        <v>11500</v>
      </c>
      <c r="G5" s="10">
        <f t="shared" si="1"/>
        <v>8320</v>
      </c>
      <c r="H5" s="30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</row>
    <row r="6" s="11" customFormat="1" spans="1:27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0"/>
        <v>20000</v>
      </c>
      <c r="G6" s="10">
        <f t="shared" si="1"/>
        <v>15600</v>
      </c>
      <c r="H6" s="30">
        <v>5000</v>
      </c>
      <c r="N6" s="11">
        <v>5200</v>
      </c>
      <c r="U6" s="11">
        <v>5200</v>
      </c>
      <c r="AA6" s="11">
        <v>5200</v>
      </c>
    </row>
    <row r="7" s="11" customFormat="1" spans="1:30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0"/>
        <v>57000</v>
      </c>
      <c r="G7" s="10">
        <f t="shared" si="1"/>
        <v>47840</v>
      </c>
      <c r="H7" s="30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  <c r="Z7" s="11">
        <v>2080</v>
      </c>
      <c r="AA7" s="11">
        <v>2080</v>
      </c>
      <c r="AB7" s="11">
        <v>2080</v>
      </c>
      <c r="AC7" s="11">
        <v>2080</v>
      </c>
      <c r="AD7" s="11">
        <v>2080</v>
      </c>
    </row>
    <row r="8" s="11" customFormat="1" spans="1:27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0"/>
        <v>6000</v>
      </c>
      <c r="G8" s="10">
        <f t="shared" si="1"/>
        <v>6240</v>
      </c>
      <c r="H8" s="30">
        <v>0</v>
      </c>
      <c r="J8" s="11">
        <v>2080</v>
      </c>
      <c r="T8" s="11">
        <v>2080</v>
      </c>
      <c r="AA8" s="11">
        <v>2080</v>
      </c>
    </row>
    <row r="9" s="11" customFormat="1" spans="1:25">
      <c r="A9" s="11">
        <v>7</v>
      </c>
      <c r="D9" s="11" t="s">
        <v>9</v>
      </c>
      <c r="E9" s="17" t="s">
        <v>20</v>
      </c>
      <c r="F9" s="10">
        <f t="shared" si="0"/>
        <v>6000</v>
      </c>
      <c r="G9" s="10">
        <f t="shared" si="1"/>
        <v>4160</v>
      </c>
      <c r="H9" s="30">
        <v>2000</v>
      </c>
      <c r="O9" s="11">
        <v>2080</v>
      </c>
      <c r="Y9" s="11">
        <v>2080</v>
      </c>
    </row>
    <row r="10" s="11" customFormat="1" spans="1:29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0"/>
        <v>30000</v>
      </c>
      <c r="G10" s="10">
        <f t="shared" si="1"/>
        <v>26000</v>
      </c>
      <c r="H10" s="30">
        <v>5000</v>
      </c>
      <c r="L10" s="11">
        <v>5200</v>
      </c>
      <c r="Q10" s="11">
        <v>5200</v>
      </c>
      <c r="V10" s="11">
        <v>5200</v>
      </c>
      <c r="X10" s="11">
        <v>5200</v>
      </c>
      <c r="AC10" s="11">
        <v>5200</v>
      </c>
    </row>
    <row r="11" s="11" customFormat="1" spans="1:23">
      <c r="A11" s="11">
        <v>9</v>
      </c>
      <c r="D11" s="11" t="s">
        <v>23</v>
      </c>
      <c r="E11" s="17" t="s">
        <v>24</v>
      </c>
      <c r="F11" s="10">
        <f t="shared" si="0"/>
        <v>8000</v>
      </c>
      <c r="G11" s="10">
        <f t="shared" si="1"/>
        <v>6240</v>
      </c>
      <c r="H11" s="30">
        <v>2000</v>
      </c>
      <c r="J11" s="11">
        <v>2080</v>
      </c>
      <c r="T11" s="11">
        <v>2080</v>
      </c>
      <c r="W11" s="11">
        <v>2080</v>
      </c>
    </row>
    <row r="12" s="11" customFormat="1" spans="1:29">
      <c r="A12" s="11">
        <v>10</v>
      </c>
      <c r="D12" s="11" t="s">
        <v>23</v>
      </c>
      <c r="E12" s="17" t="s">
        <v>25</v>
      </c>
      <c r="F12" s="10">
        <f t="shared" si="0"/>
        <v>7000</v>
      </c>
      <c r="G12" s="10">
        <f t="shared" si="1"/>
        <v>7280</v>
      </c>
      <c r="H12" s="30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  <c r="AB12" s="11">
        <v>1040</v>
      </c>
      <c r="AC12" s="11">
        <v>1040</v>
      </c>
    </row>
    <row r="13" s="11" customFormat="1" spans="1:30">
      <c r="A13" s="11">
        <v>11</v>
      </c>
      <c r="D13" s="11" t="s">
        <v>23</v>
      </c>
      <c r="E13" s="17" t="s">
        <v>26</v>
      </c>
      <c r="F13" s="10">
        <f t="shared" si="0"/>
        <v>25000</v>
      </c>
      <c r="G13" s="10">
        <f t="shared" si="1"/>
        <v>26000</v>
      </c>
      <c r="H13" s="30">
        <v>0</v>
      </c>
      <c r="K13" s="11">
        <v>5200</v>
      </c>
      <c r="O13" s="11">
        <v>5200</v>
      </c>
      <c r="T13" s="11">
        <v>5200</v>
      </c>
      <c r="Y13" s="11">
        <v>5200</v>
      </c>
      <c r="AD13" s="11">
        <v>5200</v>
      </c>
    </row>
    <row r="14" s="11" customFormat="1" spans="1:28">
      <c r="A14" s="11">
        <v>12</v>
      </c>
      <c r="D14" s="11" t="s">
        <v>23</v>
      </c>
      <c r="E14" s="17" t="s">
        <v>27</v>
      </c>
      <c r="F14" s="10">
        <f t="shared" si="0"/>
        <v>45500</v>
      </c>
      <c r="G14" s="10">
        <f t="shared" si="1"/>
        <v>36400</v>
      </c>
      <c r="H14" s="30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  <c r="AB14" s="11">
        <v>5200</v>
      </c>
    </row>
    <row r="15" s="11" customFormat="1" spans="1:27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0"/>
        <v>10000</v>
      </c>
      <c r="G15" s="10">
        <f t="shared" si="1"/>
        <v>8320</v>
      </c>
      <c r="H15" s="30">
        <v>2000</v>
      </c>
      <c r="M15" s="11">
        <v>2080</v>
      </c>
      <c r="P15" s="11">
        <v>2080</v>
      </c>
      <c r="V15" s="11">
        <v>2080</v>
      </c>
      <c r="AA15" s="11">
        <v>2080</v>
      </c>
    </row>
    <row r="16" s="11" customFormat="1" spans="1:22">
      <c r="A16" s="11">
        <v>14</v>
      </c>
      <c r="D16" s="11" t="s">
        <v>23</v>
      </c>
      <c r="E16" s="17" t="s">
        <v>30</v>
      </c>
      <c r="F16" s="10">
        <f t="shared" si="0"/>
        <v>5200</v>
      </c>
      <c r="G16" s="10">
        <f t="shared" si="1"/>
        <v>3120</v>
      </c>
      <c r="H16" s="30">
        <v>2200</v>
      </c>
      <c r="Q16" s="11">
        <v>1040</v>
      </c>
      <c r="V16" s="11">
        <v>2080</v>
      </c>
    </row>
    <row r="17" s="11" customFormat="1" spans="1:21">
      <c r="A17" s="11">
        <v>15</v>
      </c>
      <c r="B17" s="31" t="s">
        <v>31</v>
      </c>
      <c r="D17" s="11" t="s">
        <v>23</v>
      </c>
      <c r="E17" s="17" t="s">
        <v>32</v>
      </c>
      <c r="F17" s="10">
        <f t="shared" si="0"/>
        <v>2000</v>
      </c>
      <c r="G17" s="10">
        <f t="shared" si="1"/>
        <v>1040</v>
      </c>
      <c r="H17" s="30">
        <v>1000</v>
      </c>
      <c r="U17" s="11">
        <v>1040</v>
      </c>
    </row>
    <row r="18" s="11" customFormat="1" spans="1:27">
      <c r="A18" s="11">
        <v>16</v>
      </c>
      <c r="B18" s="32" t="s">
        <v>33</v>
      </c>
      <c r="C18" s="11">
        <v>683909556</v>
      </c>
      <c r="D18" s="11" t="s">
        <v>23</v>
      </c>
      <c r="E18" s="33" t="s">
        <v>34</v>
      </c>
      <c r="F18" s="10">
        <f t="shared" si="0"/>
        <v>3000</v>
      </c>
      <c r="G18" s="10">
        <f t="shared" si="1"/>
        <v>3120</v>
      </c>
      <c r="H18" s="30">
        <v>0</v>
      </c>
      <c r="I18" s="36"/>
      <c r="J18" s="36"/>
      <c r="K18" s="36"/>
      <c r="L18" s="36"/>
      <c r="M18" s="34">
        <v>1040</v>
      </c>
      <c r="N18" s="36"/>
      <c r="O18" s="36"/>
      <c r="P18" s="36"/>
      <c r="Q18" s="36"/>
      <c r="R18" s="36"/>
      <c r="S18" s="36"/>
      <c r="T18" s="36"/>
      <c r="U18" s="36">
        <v>1040</v>
      </c>
      <c r="V18" s="36"/>
      <c r="W18" s="36"/>
      <c r="X18" s="34">
        <v>1040</v>
      </c>
      <c r="Y18" s="36"/>
      <c r="Z18" s="36"/>
      <c r="AA18" s="36"/>
    </row>
    <row r="19" s="11" customFormat="1" spans="1:27">
      <c r="A19" s="11">
        <v>17</v>
      </c>
      <c r="D19" s="11" t="s">
        <v>23</v>
      </c>
      <c r="E19" s="17" t="s">
        <v>35</v>
      </c>
      <c r="F19" s="10">
        <f t="shared" ref="F19:F82" si="3">G19/1.04+H19</f>
        <v>11000</v>
      </c>
      <c r="G19" s="10">
        <f t="shared" si="1"/>
        <v>12480</v>
      </c>
      <c r="H19" s="30">
        <v>-1000</v>
      </c>
      <c r="J19" s="11">
        <v>3120</v>
      </c>
      <c r="P19" s="11">
        <v>3120</v>
      </c>
      <c r="V19" s="11">
        <v>3120</v>
      </c>
      <c r="AA19" s="11">
        <v>3120</v>
      </c>
    </row>
    <row r="20" s="11" customFormat="1" spans="1:27">
      <c r="A20" s="11">
        <v>18</v>
      </c>
      <c r="D20" s="11" t="s">
        <v>36</v>
      </c>
      <c r="E20" s="17" t="s">
        <v>37</v>
      </c>
      <c r="F20" s="10">
        <f t="shared" si="3"/>
        <v>25000</v>
      </c>
      <c r="G20" s="10">
        <f t="shared" si="1"/>
        <v>20800</v>
      </c>
      <c r="H20" s="30">
        <v>5000</v>
      </c>
      <c r="K20" s="11">
        <v>5200</v>
      </c>
      <c r="O20" s="11">
        <v>5200</v>
      </c>
      <c r="U20" s="11">
        <v>5200</v>
      </c>
      <c r="AA20" s="11">
        <v>5200</v>
      </c>
    </row>
    <row r="21" s="11" customFormat="1" spans="1:23">
      <c r="A21" s="11">
        <v>19</v>
      </c>
      <c r="D21" s="11" t="s">
        <v>36</v>
      </c>
      <c r="E21" s="17" t="s">
        <v>38</v>
      </c>
      <c r="F21" s="10">
        <f t="shared" si="3"/>
        <v>8000</v>
      </c>
      <c r="G21" s="10">
        <f t="shared" si="1"/>
        <v>8320</v>
      </c>
      <c r="H21" s="30">
        <v>0</v>
      </c>
      <c r="L21" s="11">
        <v>2080</v>
      </c>
      <c r="Q21" s="11">
        <v>2080</v>
      </c>
      <c r="T21" s="11">
        <v>2080</v>
      </c>
      <c r="W21" s="11">
        <v>2080</v>
      </c>
    </row>
    <row r="22" s="11" customFormat="1" spans="1:28">
      <c r="A22" s="11">
        <v>20</v>
      </c>
      <c r="D22" s="11" t="s">
        <v>36</v>
      </c>
      <c r="E22" s="17" t="s">
        <v>39</v>
      </c>
      <c r="F22" s="10">
        <f t="shared" si="3"/>
        <v>5000</v>
      </c>
      <c r="G22" s="10">
        <f t="shared" si="1"/>
        <v>4160</v>
      </c>
      <c r="H22" s="30">
        <v>1000</v>
      </c>
      <c r="J22" s="11">
        <v>1040</v>
      </c>
      <c r="N22" s="11">
        <v>1040</v>
      </c>
      <c r="W22" s="11">
        <v>1040</v>
      </c>
      <c r="AB22" s="11">
        <v>1040</v>
      </c>
    </row>
    <row r="23" s="11" customFormat="1" spans="1:28">
      <c r="A23" s="11">
        <v>21</v>
      </c>
      <c r="D23" s="11" t="s">
        <v>36</v>
      </c>
      <c r="E23" s="17" t="s">
        <v>40</v>
      </c>
      <c r="F23" s="10">
        <f t="shared" si="3"/>
        <v>25000</v>
      </c>
      <c r="G23" s="10">
        <f t="shared" si="1"/>
        <v>26000</v>
      </c>
      <c r="H23" s="30">
        <v>0</v>
      </c>
      <c r="I23" s="11">
        <v>5200</v>
      </c>
      <c r="M23" s="11">
        <v>5200</v>
      </c>
      <c r="R23" s="11">
        <v>5200</v>
      </c>
      <c r="X23" s="11">
        <v>5200</v>
      </c>
      <c r="AB23" s="11">
        <v>5200</v>
      </c>
    </row>
    <row r="24" s="11" customFormat="1" spans="1:29">
      <c r="A24" s="11">
        <v>22</v>
      </c>
      <c r="D24" s="11" t="s">
        <v>36</v>
      </c>
      <c r="E24" s="17" t="s">
        <v>41</v>
      </c>
      <c r="F24" s="10">
        <f t="shared" si="3"/>
        <v>8000</v>
      </c>
      <c r="G24" s="10">
        <f t="shared" si="1"/>
        <v>7280</v>
      </c>
      <c r="H24" s="30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  <c r="AA24" s="11">
        <v>1040</v>
      </c>
      <c r="AC24" s="11">
        <v>1040</v>
      </c>
    </row>
    <row r="25" s="11" customFormat="1" spans="1:30">
      <c r="A25" s="11">
        <v>23</v>
      </c>
      <c r="D25" s="11" t="s">
        <v>36</v>
      </c>
      <c r="E25" s="17" t="s">
        <v>42</v>
      </c>
      <c r="F25" s="10">
        <f t="shared" si="3"/>
        <v>18000</v>
      </c>
      <c r="G25" s="10">
        <f t="shared" si="1"/>
        <v>18720</v>
      </c>
      <c r="H25" s="30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  <c r="AD25" s="11">
        <v>3120</v>
      </c>
    </row>
    <row r="26" s="11" customFormat="1" spans="1:30">
      <c r="A26" s="11">
        <v>24</v>
      </c>
      <c r="D26" s="11" t="s">
        <v>36</v>
      </c>
      <c r="E26" s="17" t="s">
        <v>43</v>
      </c>
      <c r="F26" s="10">
        <f t="shared" si="3"/>
        <v>35000</v>
      </c>
      <c r="G26" s="10">
        <f t="shared" si="1"/>
        <v>36400</v>
      </c>
      <c r="H26" s="30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  <c r="AA26" s="11">
        <v>5200</v>
      </c>
      <c r="AD26" s="11">
        <v>5200</v>
      </c>
    </row>
    <row r="27" s="11" customFormat="1" spans="1:28">
      <c r="A27" s="11">
        <v>25</v>
      </c>
      <c r="D27" s="11" t="s">
        <v>36</v>
      </c>
      <c r="E27" s="17" t="s">
        <v>44</v>
      </c>
      <c r="F27" s="10">
        <f t="shared" si="3"/>
        <v>12000</v>
      </c>
      <c r="G27" s="10">
        <f t="shared" si="1"/>
        <v>9360</v>
      </c>
      <c r="H27" s="30">
        <v>3000</v>
      </c>
      <c r="O27" s="11">
        <v>3120</v>
      </c>
      <c r="Y27" s="11">
        <v>3120</v>
      </c>
      <c r="AB27" s="11">
        <v>3120</v>
      </c>
    </row>
    <row r="28" s="11" customFormat="1" spans="1:26">
      <c r="A28" s="11">
        <v>26</v>
      </c>
      <c r="D28" s="11" t="s">
        <v>36</v>
      </c>
      <c r="E28" s="17" t="s">
        <v>45</v>
      </c>
      <c r="F28" s="10">
        <f t="shared" si="3"/>
        <v>12500</v>
      </c>
      <c r="G28" s="10">
        <f t="shared" si="1"/>
        <v>10400</v>
      </c>
      <c r="H28" s="30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</row>
    <row r="29" s="11" customFormat="1" spans="1:25">
      <c r="A29" s="11">
        <v>27</v>
      </c>
      <c r="D29" s="11" t="s">
        <v>36</v>
      </c>
      <c r="E29" s="17" t="s">
        <v>46</v>
      </c>
      <c r="F29" s="10">
        <f t="shared" si="3"/>
        <v>6000</v>
      </c>
      <c r="G29" s="10">
        <f>SUM(J29:AM29)</f>
        <v>6240</v>
      </c>
      <c r="H29" s="30">
        <v>0</v>
      </c>
      <c r="J29" s="11">
        <v>2080</v>
      </c>
      <c r="R29" s="11">
        <v>2080</v>
      </c>
      <c r="Y29" s="11">
        <v>2080</v>
      </c>
    </row>
    <row r="30" s="11" customFormat="1" spans="1:25">
      <c r="A30" s="11">
        <v>28</v>
      </c>
      <c r="D30" s="11" t="s">
        <v>36</v>
      </c>
      <c r="E30" s="17" t="s">
        <v>47</v>
      </c>
      <c r="F30" s="10">
        <f t="shared" si="3"/>
        <v>6000</v>
      </c>
      <c r="G30" s="10">
        <f t="shared" ref="G30:G41" si="4">SUM(I30:AM30)</f>
        <v>4160</v>
      </c>
      <c r="H30" s="30">
        <v>2000</v>
      </c>
      <c r="S30" s="11">
        <v>2080</v>
      </c>
      <c r="Y30" s="11">
        <v>2080</v>
      </c>
    </row>
    <row r="31" s="11" customFormat="1" spans="1:21">
      <c r="A31" s="11">
        <v>29</v>
      </c>
      <c r="D31" s="11" t="s">
        <v>36</v>
      </c>
      <c r="E31" s="17" t="s">
        <v>48</v>
      </c>
      <c r="F31" s="10">
        <f t="shared" si="3"/>
        <v>16000</v>
      </c>
      <c r="G31" s="10">
        <f t="shared" si="4"/>
        <v>16640</v>
      </c>
      <c r="H31" s="30">
        <v>0</v>
      </c>
      <c r="I31" s="37">
        <v>520</v>
      </c>
      <c r="J31" s="11">
        <v>5200</v>
      </c>
      <c r="O31" s="11">
        <v>5200</v>
      </c>
      <c r="T31" s="37">
        <v>520</v>
      </c>
      <c r="U31" s="11">
        <v>5200</v>
      </c>
    </row>
    <row r="32" s="11" customFormat="1" spans="1:27">
      <c r="A32" s="11">
        <v>30</v>
      </c>
      <c r="D32" s="11" t="s">
        <v>36</v>
      </c>
      <c r="E32" s="17" t="s">
        <v>49</v>
      </c>
      <c r="F32" s="10">
        <f t="shared" si="3"/>
        <v>35000</v>
      </c>
      <c r="G32" s="10">
        <f t="shared" si="4"/>
        <v>36400</v>
      </c>
      <c r="H32" s="30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  <c r="AA32" s="11">
        <v>5200</v>
      </c>
    </row>
    <row r="33" s="11" customFormat="1" spans="1:25">
      <c r="A33" s="11">
        <v>31</v>
      </c>
      <c r="D33" s="11" t="s">
        <v>36</v>
      </c>
      <c r="E33" s="17" t="s">
        <v>50</v>
      </c>
      <c r="F33" s="10">
        <f t="shared" si="3"/>
        <v>11000</v>
      </c>
      <c r="G33" s="10">
        <f t="shared" si="4"/>
        <v>10400</v>
      </c>
      <c r="H33" s="30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</row>
    <row r="34" s="11" customFormat="1" spans="1:28">
      <c r="A34" s="11">
        <v>32</v>
      </c>
      <c r="D34" s="11" t="s">
        <v>51</v>
      </c>
      <c r="E34" s="17" t="s">
        <v>52</v>
      </c>
      <c r="F34" s="10">
        <f t="shared" si="3"/>
        <v>7000</v>
      </c>
      <c r="G34" s="10">
        <f t="shared" si="4"/>
        <v>6240</v>
      </c>
      <c r="H34" s="30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  <c r="AB34" s="11">
        <v>1040</v>
      </c>
    </row>
    <row r="35" s="11" customFormat="1" spans="1:28">
      <c r="A35" s="11">
        <v>33</v>
      </c>
      <c r="D35" s="11" t="s">
        <v>51</v>
      </c>
      <c r="E35" s="17" t="s">
        <v>53</v>
      </c>
      <c r="F35" s="10">
        <f t="shared" si="3"/>
        <v>6000</v>
      </c>
      <c r="G35" s="10">
        <f t="shared" si="4"/>
        <v>6240</v>
      </c>
      <c r="H35" s="30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  <c r="AB35" s="11">
        <v>1040</v>
      </c>
    </row>
    <row r="36" s="11" customFormat="1" spans="1:15">
      <c r="A36" s="11">
        <v>34</v>
      </c>
      <c r="D36" s="11" t="s">
        <v>51</v>
      </c>
      <c r="E36" s="17" t="s">
        <v>54</v>
      </c>
      <c r="F36" s="10">
        <f t="shared" si="3"/>
        <v>4000</v>
      </c>
      <c r="G36" s="10">
        <f t="shared" si="4"/>
        <v>2080</v>
      </c>
      <c r="H36" s="30">
        <v>2000</v>
      </c>
      <c r="O36" s="11">
        <v>2080</v>
      </c>
    </row>
    <row r="37" s="11" customFormat="1" spans="1:30">
      <c r="A37" s="11">
        <v>35</v>
      </c>
      <c r="D37" s="11" t="s">
        <v>51</v>
      </c>
      <c r="E37" s="17" t="s">
        <v>55</v>
      </c>
      <c r="F37" s="10">
        <f t="shared" si="3"/>
        <v>27000</v>
      </c>
      <c r="G37" s="10">
        <f t="shared" si="4"/>
        <v>28080</v>
      </c>
      <c r="H37" s="30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  <c r="AA37" s="11">
        <v>3120</v>
      </c>
      <c r="AD37" s="11">
        <v>3120</v>
      </c>
    </row>
    <row r="38" s="11" customFormat="1" spans="1:16">
      <c r="A38" s="11">
        <v>36</v>
      </c>
      <c r="D38" s="11" t="s">
        <v>51</v>
      </c>
      <c r="E38" s="17" t="s">
        <v>56</v>
      </c>
      <c r="F38" s="10">
        <f t="shared" si="3"/>
        <v>1000</v>
      </c>
      <c r="G38" s="10">
        <f t="shared" si="4"/>
        <v>1040</v>
      </c>
      <c r="H38" s="30">
        <v>0</v>
      </c>
      <c r="P38" s="11">
        <v>1040</v>
      </c>
    </row>
    <row r="39" s="11" customFormat="1" spans="1:28">
      <c r="A39" s="11">
        <v>37</v>
      </c>
      <c r="D39" s="11" t="s">
        <v>51</v>
      </c>
      <c r="E39" s="17" t="s">
        <v>57</v>
      </c>
      <c r="F39" s="10">
        <f t="shared" si="3"/>
        <v>12000</v>
      </c>
      <c r="G39" s="10">
        <f t="shared" si="4"/>
        <v>12480</v>
      </c>
      <c r="H39" s="30">
        <v>0</v>
      </c>
      <c r="J39" s="11">
        <v>3120</v>
      </c>
      <c r="P39" s="11">
        <v>3120</v>
      </c>
      <c r="V39" s="11">
        <v>3120</v>
      </c>
      <c r="AB39" s="11">
        <v>3120</v>
      </c>
    </row>
    <row r="40" s="11" customFormat="1" spans="1:21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4000</v>
      </c>
      <c r="G40" s="10">
        <f t="shared" si="4"/>
        <v>2080</v>
      </c>
      <c r="H40" s="30">
        <v>2000</v>
      </c>
      <c r="U40" s="11">
        <v>2080</v>
      </c>
    </row>
    <row r="41" s="11" customFormat="1" spans="1:27">
      <c r="A41" s="11">
        <v>39</v>
      </c>
      <c r="D41" s="11" t="s">
        <v>51</v>
      </c>
      <c r="E41" s="17" t="s">
        <v>59</v>
      </c>
      <c r="F41" s="10">
        <f t="shared" si="3"/>
        <v>10000</v>
      </c>
      <c r="G41" s="10">
        <f t="shared" si="4"/>
        <v>8320</v>
      </c>
      <c r="H41" s="30">
        <v>2000</v>
      </c>
      <c r="I41" s="11">
        <v>2080</v>
      </c>
      <c r="S41" s="11">
        <v>2080</v>
      </c>
      <c r="W41" s="11">
        <v>2080</v>
      </c>
      <c r="AA41" s="11">
        <v>2080</v>
      </c>
    </row>
    <row r="42" s="11" customFormat="1" spans="1:24">
      <c r="A42" s="11">
        <v>40</v>
      </c>
      <c r="D42" s="11" t="s">
        <v>51</v>
      </c>
      <c r="E42" s="17" t="s">
        <v>60</v>
      </c>
      <c r="F42" s="10">
        <f t="shared" si="3"/>
        <v>4000</v>
      </c>
      <c r="G42" s="10">
        <f>SUM(J42:AM42)</f>
        <v>4160</v>
      </c>
      <c r="H42" s="30">
        <v>0</v>
      </c>
      <c r="L42" s="11">
        <v>2080</v>
      </c>
      <c r="X42" s="11">
        <v>2080</v>
      </c>
    </row>
    <row r="43" s="11" customFormat="1" spans="1:29">
      <c r="A43" s="11">
        <v>41</v>
      </c>
      <c r="D43" s="11" t="s">
        <v>51</v>
      </c>
      <c r="E43" s="17" t="s">
        <v>61</v>
      </c>
      <c r="F43" s="10">
        <f t="shared" si="3"/>
        <v>34500</v>
      </c>
      <c r="G43" s="10">
        <f t="shared" ref="G43:G84" si="5">SUM(I43:AM43)</f>
        <v>34320</v>
      </c>
      <c r="H43" s="30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  <c r="AA43" s="11">
        <v>3120</v>
      </c>
      <c r="AC43" s="11">
        <v>3120</v>
      </c>
    </row>
    <row r="44" s="11" customFormat="1" spans="1:20">
      <c r="A44" s="11">
        <v>42</v>
      </c>
      <c r="D44" s="11" t="s">
        <v>51</v>
      </c>
      <c r="E44" s="17" t="s">
        <v>62</v>
      </c>
      <c r="F44" s="10">
        <f t="shared" si="3"/>
        <v>2000</v>
      </c>
      <c r="G44" s="10">
        <f t="shared" si="5"/>
        <v>2080</v>
      </c>
      <c r="H44" s="30">
        <v>0</v>
      </c>
      <c r="T44" s="11">
        <v>2080</v>
      </c>
    </row>
    <row r="45" s="11" customFormat="1" spans="1:26">
      <c r="A45" s="11">
        <v>43</v>
      </c>
      <c r="D45" s="11" t="s">
        <v>51</v>
      </c>
      <c r="E45" s="17" t="s">
        <v>63</v>
      </c>
      <c r="F45" s="10">
        <f t="shared" si="3"/>
        <v>18000</v>
      </c>
      <c r="G45" s="10">
        <f t="shared" si="5"/>
        <v>18720</v>
      </c>
      <c r="H45" s="30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  <c r="Z45" s="11">
        <v>3120</v>
      </c>
    </row>
    <row r="46" s="11" customFormat="1" spans="1:25">
      <c r="A46" s="11">
        <v>44</v>
      </c>
      <c r="D46" s="11" t="s">
        <v>64</v>
      </c>
      <c r="E46" s="17" t="s">
        <v>65</v>
      </c>
      <c r="F46" s="10">
        <f t="shared" si="3"/>
        <v>15000</v>
      </c>
      <c r="G46" s="10">
        <f t="shared" si="5"/>
        <v>12480</v>
      </c>
      <c r="H46" s="30">
        <v>3000</v>
      </c>
      <c r="K46" s="11">
        <v>3120</v>
      </c>
      <c r="O46" s="11">
        <v>3120</v>
      </c>
      <c r="U46" s="11">
        <v>3120</v>
      </c>
      <c r="Y46" s="11">
        <v>3120</v>
      </c>
    </row>
    <row r="47" s="11" customFormat="1" spans="1:24">
      <c r="A47" s="11">
        <v>45</v>
      </c>
      <c r="D47" s="11" t="s">
        <v>64</v>
      </c>
      <c r="E47" s="17" t="s">
        <v>66</v>
      </c>
      <c r="F47" s="10">
        <f t="shared" si="3"/>
        <v>12000</v>
      </c>
      <c r="G47" s="10">
        <f t="shared" si="5"/>
        <v>12480</v>
      </c>
      <c r="H47" s="30">
        <v>0</v>
      </c>
      <c r="L47" s="11">
        <v>3120</v>
      </c>
      <c r="O47" s="11">
        <v>3120</v>
      </c>
      <c r="S47" s="11">
        <v>3120</v>
      </c>
      <c r="X47" s="11">
        <v>3120</v>
      </c>
    </row>
    <row r="48" s="11" customFormat="1" spans="1:27">
      <c r="A48" s="11">
        <v>46</v>
      </c>
      <c r="D48" s="11" t="s">
        <v>64</v>
      </c>
      <c r="E48" s="17" t="s">
        <v>67</v>
      </c>
      <c r="F48" s="10">
        <f t="shared" si="3"/>
        <v>4000</v>
      </c>
      <c r="G48" s="10">
        <f t="shared" si="5"/>
        <v>4160</v>
      </c>
      <c r="H48" s="30">
        <v>0</v>
      </c>
      <c r="K48" s="11">
        <v>2080</v>
      </c>
      <c r="AA48" s="11">
        <v>2080</v>
      </c>
    </row>
    <row r="49" s="11" customFormat="1" spans="1:27">
      <c r="A49" s="11">
        <v>47</v>
      </c>
      <c r="D49" s="11" t="s">
        <v>64</v>
      </c>
      <c r="E49" s="17" t="s">
        <v>68</v>
      </c>
      <c r="F49" s="10">
        <f t="shared" si="3"/>
        <v>27000</v>
      </c>
      <c r="G49" s="10">
        <f t="shared" si="5"/>
        <v>24960</v>
      </c>
      <c r="H49" s="30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  <c r="AA49" s="11">
        <v>3120</v>
      </c>
    </row>
    <row r="50" s="11" customFormat="1" spans="1:28">
      <c r="A50" s="11">
        <v>48</v>
      </c>
      <c r="D50" s="11" t="s">
        <v>64</v>
      </c>
      <c r="E50" s="17" t="s">
        <v>69</v>
      </c>
      <c r="F50" s="10">
        <f t="shared" si="3"/>
        <v>24000</v>
      </c>
      <c r="G50" s="10">
        <f t="shared" si="5"/>
        <v>21840</v>
      </c>
      <c r="H50" s="30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  <c r="AB50" s="11">
        <v>3120</v>
      </c>
    </row>
    <row r="51" s="11" customFormat="1" spans="1:28">
      <c r="A51" s="11">
        <v>49</v>
      </c>
      <c r="D51" s="11" t="s">
        <v>64</v>
      </c>
      <c r="E51" s="17" t="s">
        <v>70</v>
      </c>
      <c r="F51" s="10">
        <f t="shared" si="3"/>
        <v>8000</v>
      </c>
      <c r="G51" s="10">
        <f t="shared" si="5"/>
        <v>8320</v>
      </c>
      <c r="H51" s="30">
        <v>0</v>
      </c>
      <c r="M51" s="11">
        <v>2080</v>
      </c>
      <c r="O51" s="11">
        <v>2080</v>
      </c>
      <c r="U51" s="11">
        <v>2080</v>
      </c>
      <c r="AB51" s="11">
        <v>2080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5"/>
        <v>0</v>
      </c>
      <c r="H52" s="30">
        <v>0</v>
      </c>
    </row>
    <row r="53" s="11" customFormat="1" spans="1:30">
      <c r="A53" s="11">
        <v>51</v>
      </c>
      <c r="D53" s="11" t="s">
        <v>64</v>
      </c>
      <c r="E53" s="17" t="s">
        <v>72</v>
      </c>
      <c r="F53" s="10">
        <f t="shared" si="3"/>
        <v>15000</v>
      </c>
      <c r="G53" s="10">
        <f t="shared" si="5"/>
        <v>15600</v>
      </c>
      <c r="H53" s="30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2080</v>
      </c>
      <c r="AB53" s="11">
        <v>1040</v>
      </c>
      <c r="AD53" s="11">
        <v>1040</v>
      </c>
    </row>
    <row r="54" s="11" customFormat="1" spans="1:26">
      <c r="A54" s="11">
        <v>52</v>
      </c>
      <c r="D54" s="11" t="s">
        <v>64</v>
      </c>
      <c r="E54" s="17" t="s">
        <v>73</v>
      </c>
      <c r="F54" s="10">
        <f t="shared" si="3"/>
        <v>12000</v>
      </c>
      <c r="G54" s="10">
        <f t="shared" si="5"/>
        <v>10400</v>
      </c>
      <c r="H54" s="30">
        <v>2000</v>
      </c>
      <c r="L54" s="37">
        <v>2080</v>
      </c>
      <c r="S54" s="11">
        <v>2080</v>
      </c>
      <c r="T54" s="11">
        <v>2080</v>
      </c>
      <c r="X54" s="11">
        <v>2080</v>
      </c>
      <c r="Z54" s="11">
        <v>2080</v>
      </c>
    </row>
    <row r="55" s="11" customFormat="1" spans="1:21">
      <c r="A55" s="11">
        <v>53</v>
      </c>
      <c r="B55" s="34"/>
      <c r="D55" s="11" t="s">
        <v>64</v>
      </c>
      <c r="E55" s="33" t="s">
        <v>74</v>
      </c>
      <c r="F55" s="10">
        <f t="shared" si="3"/>
        <v>2000</v>
      </c>
      <c r="G55" s="10">
        <f t="shared" si="5"/>
        <v>2080</v>
      </c>
      <c r="H55" s="30">
        <v>0</v>
      </c>
      <c r="U55" s="37">
        <v>2080</v>
      </c>
    </row>
    <row r="56" s="11" customFormat="1" spans="1:29">
      <c r="A56" s="11">
        <v>54</v>
      </c>
      <c r="B56" s="34"/>
      <c r="D56" s="11" t="s">
        <v>64</v>
      </c>
      <c r="E56" s="33" t="s">
        <v>75</v>
      </c>
      <c r="F56" s="10">
        <f t="shared" si="3"/>
        <v>3000</v>
      </c>
      <c r="G56" s="10">
        <f t="shared" si="5"/>
        <v>3120</v>
      </c>
      <c r="H56" s="30">
        <v>0</v>
      </c>
      <c r="N56" s="11">
        <v>1040</v>
      </c>
      <c r="Z56" s="11">
        <v>1040</v>
      </c>
      <c r="AC56" s="11">
        <v>1040</v>
      </c>
    </row>
    <row r="57" s="11" customFormat="1" spans="1:8">
      <c r="A57" s="11">
        <v>55</v>
      </c>
      <c r="B57" s="34"/>
      <c r="D57" s="11" t="s">
        <v>64</v>
      </c>
      <c r="E57" s="33" t="s">
        <v>76</v>
      </c>
      <c r="F57" s="10">
        <f t="shared" si="3"/>
        <v>0</v>
      </c>
      <c r="G57" s="10">
        <f t="shared" si="5"/>
        <v>0</v>
      </c>
      <c r="H57" s="30">
        <v>0</v>
      </c>
    </row>
    <row r="58" s="11" customFormat="1" spans="1:25">
      <c r="A58" s="11">
        <v>56</v>
      </c>
      <c r="D58" s="11" t="s">
        <v>77</v>
      </c>
      <c r="E58" s="17" t="s">
        <v>78</v>
      </c>
      <c r="F58" s="10">
        <f t="shared" si="3"/>
        <v>10000</v>
      </c>
      <c r="G58" s="10">
        <f t="shared" si="5"/>
        <v>10400</v>
      </c>
      <c r="H58" s="30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</row>
    <row r="59" s="11" customFormat="1" spans="1:27">
      <c r="A59" s="11">
        <v>57</v>
      </c>
      <c r="D59" s="11" t="s">
        <v>77</v>
      </c>
      <c r="E59" s="17" t="s">
        <v>79</v>
      </c>
      <c r="F59" s="10">
        <f t="shared" si="3"/>
        <v>30000</v>
      </c>
      <c r="G59" s="10">
        <f t="shared" si="5"/>
        <v>26000</v>
      </c>
      <c r="H59" s="30">
        <v>5000</v>
      </c>
      <c r="L59" s="11">
        <v>5200</v>
      </c>
      <c r="P59" s="37">
        <v>5200</v>
      </c>
      <c r="Q59" s="11">
        <v>5200</v>
      </c>
      <c r="T59" s="11">
        <v>5200</v>
      </c>
      <c r="AA59" s="11">
        <v>5200</v>
      </c>
    </row>
    <row r="60" s="11" customFormat="1" spans="1:20">
      <c r="A60" s="11">
        <v>58</v>
      </c>
      <c r="D60" s="11" t="s">
        <v>77</v>
      </c>
      <c r="E60" s="17" t="s">
        <v>80</v>
      </c>
      <c r="F60" s="10">
        <f t="shared" si="3"/>
        <v>10000</v>
      </c>
      <c r="G60" s="10">
        <f t="shared" si="5"/>
        <v>10400</v>
      </c>
      <c r="H60" s="30">
        <v>0</v>
      </c>
      <c r="K60" s="11">
        <v>5200</v>
      </c>
      <c r="T60" s="11">
        <v>5200</v>
      </c>
    </row>
    <row r="61" s="11" customFormat="1" spans="1:27">
      <c r="A61" s="11">
        <v>59</v>
      </c>
      <c r="D61" s="11" t="s">
        <v>77</v>
      </c>
      <c r="E61" s="17" t="s">
        <v>81</v>
      </c>
      <c r="F61" s="10">
        <f t="shared" si="3"/>
        <v>12000</v>
      </c>
      <c r="G61" s="10">
        <f t="shared" si="5"/>
        <v>12480</v>
      </c>
      <c r="H61" s="30">
        <v>0</v>
      </c>
      <c r="I61" s="11">
        <v>2080</v>
      </c>
      <c r="P61" s="11">
        <v>2080</v>
      </c>
      <c r="S61" s="11">
        <v>2080</v>
      </c>
      <c r="W61" s="38">
        <v>2080</v>
      </c>
      <c r="X61" s="11">
        <v>2080</v>
      </c>
      <c r="AA61" s="11">
        <v>2080</v>
      </c>
    </row>
    <row r="62" s="11" customFormat="1" spans="1:28">
      <c r="A62" s="11">
        <v>60</v>
      </c>
      <c r="B62" s="34"/>
      <c r="D62" s="11" t="s">
        <v>82</v>
      </c>
      <c r="E62" s="33" t="s">
        <v>83</v>
      </c>
      <c r="F62" s="10">
        <f t="shared" si="3"/>
        <v>25000</v>
      </c>
      <c r="G62" s="10">
        <f t="shared" si="5"/>
        <v>20800</v>
      </c>
      <c r="H62" s="30">
        <v>5000</v>
      </c>
      <c r="N62" s="11">
        <v>5200</v>
      </c>
      <c r="R62" s="11">
        <v>5200</v>
      </c>
      <c r="X62" s="11">
        <v>5200</v>
      </c>
      <c r="AB62" s="11">
        <v>5200</v>
      </c>
    </row>
    <row r="63" s="11" customFormat="1" spans="1:17">
      <c r="A63" s="11">
        <v>61</v>
      </c>
      <c r="B63" s="34"/>
      <c r="D63" s="11" t="s">
        <v>82</v>
      </c>
      <c r="E63" s="33" t="s">
        <v>84</v>
      </c>
      <c r="F63" s="10">
        <f t="shared" si="3"/>
        <v>3500</v>
      </c>
      <c r="G63" s="10">
        <f t="shared" si="5"/>
        <v>520</v>
      </c>
      <c r="H63" s="30">
        <v>3000</v>
      </c>
      <c r="Q63" s="37">
        <v>520</v>
      </c>
    </row>
    <row r="64" s="11" customFormat="1" spans="1:29">
      <c r="A64" s="11">
        <v>62</v>
      </c>
      <c r="C64" s="31" t="s">
        <v>85</v>
      </c>
      <c r="D64" s="11" t="s">
        <v>82</v>
      </c>
      <c r="E64" s="17" t="s">
        <v>86</v>
      </c>
      <c r="F64" s="10">
        <f t="shared" si="3"/>
        <v>10000</v>
      </c>
      <c r="G64" s="10">
        <f t="shared" si="5"/>
        <v>10400</v>
      </c>
      <c r="H64" s="30">
        <v>0</v>
      </c>
      <c r="O64" s="11">
        <v>5200</v>
      </c>
      <c r="AC64" s="11">
        <v>5200</v>
      </c>
    </row>
    <row r="65" s="11" customFormat="1" spans="1:26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6000</v>
      </c>
      <c r="G65" s="10">
        <f t="shared" si="5"/>
        <v>4160</v>
      </c>
      <c r="H65" s="25">
        <v>2000</v>
      </c>
      <c r="O65" s="11">
        <v>2080</v>
      </c>
      <c r="Z65" s="11">
        <v>2080</v>
      </c>
    </row>
    <row r="66" s="11" customFormat="1" spans="1:27">
      <c r="A66" s="11">
        <v>64</v>
      </c>
      <c r="B66" s="34"/>
      <c r="D66" s="11" t="s">
        <v>87</v>
      </c>
      <c r="E66" s="33" t="s">
        <v>89</v>
      </c>
      <c r="F66" s="10">
        <f t="shared" si="3"/>
        <v>14000</v>
      </c>
      <c r="G66" s="10">
        <f t="shared" si="5"/>
        <v>12480</v>
      </c>
      <c r="H66" s="30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  <c r="AA66" s="11">
        <v>2080</v>
      </c>
    </row>
    <row r="67" s="11" customFormat="1" spans="1:26">
      <c r="A67" s="11">
        <v>65</v>
      </c>
      <c r="B67" s="34"/>
      <c r="D67" s="11" t="s">
        <v>90</v>
      </c>
      <c r="E67" s="33" t="s">
        <v>91</v>
      </c>
      <c r="F67" s="10">
        <f t="shared" si="3"/>
        <v>6000</v>
      </c>
      <c r="G67" s="10">
        <f t="shared" si="5"/>
        <v>4160</v>
      </c>
      <c r="H67" s="30">
        <v>2000</v>
      </c>
      <c r="T67" s="11">
        <v>2080</v>
      </c>
      <c r="Z67" s="11">
        <v>2080</v>
      </c>
    </row>
    <row r="68" s="11" customFormat="1" spans="1:29">
      <c r="A68" s="11">
        <v>66</v>
      </c>
      <c r="D68" s="11" t="s">
        <v>92</v>
      </c>
      <c r="E68" s="17" t="s">
        <v>93</v>
      </c>
      <c r="F68" s="10">
        <f t="shared" si="3"/>
        <v>10000</v>
      </c>
      <c r="G68" s="10">
        <f t="shared" si="5"/>
        <v>8320</v>
      </c>
      <c r="H68" s="30">
        <v>2000</v>
      </c>
      <c r="L68" s="11">
        <v>2080</v>
      </c>
      <c r="S68" s="11">
        <v>2080</v>
      </c>
      <c r="X68" s="11">
        <v>2080</v>
      </c>
      <c r="AC68" s="11">
        <v>2080</v>
      </c>
    </row>
    <row r="69" s="11" customFormat="1" spans="1:29">
      <c r="A69" s="11">
        <v>67</v>
      </c>
      <c r="D69" s="11" t="s">
        <v>92</v>
      </c>
      <c r="E69" s="17" t="s">
        <v>94</v>
      </c>
      <c r="F69" s="10">
        <f t="shared" si="3"/>
        <v>4000</v>
      </c>
      <c r="G69" s="10">
        <f t="shared" si="5"/>
        <v>6240</v>
      </c>
      <c r="H69" s="30">
        <v>-2000</v>
      </c>
      <c r="N69" s="11">
        <v>2080</v>
      </c>
      <c r="X69" s="11">
        <v>2080</v>
      </c>
      <c r="AC69" s="11">
        <v>2080</v>
      </c>
    </row>
    <row r="70" s="11" customFormat="1" spans="1:27">
      <c r="A70" s="11">
        <v>68</v>
      </c>
      <c r="D70" s="11" t="s">
        <v>92</v>
      </c>
      <c r="E70" s="17" t="s">
        <v>95</v>
      </c>
      <c r="F70" s="10">
        <f t="shared" si="3"/>
        <v>6000</v>
      </c>
      <c r="G70" s="10">
        <f t="shared" si="5"/>
        <v>6240</v>
      </c>
      <c r="H70" s="30">
        <v>0</v>
      </c>
      <c r="I70" s="11">
        <v>2080</v>
      </c>
      <c r="O70" s="11">
        <v>2080</v>
      </c>
      <c r="AA70" s="11">
        <v>2080</v>
      </c>
    </row>
    <row r="71" s="11" customFormat="1" spans="1:29">
      <c r="A71" s="11">
        <v>69</v>
      </c>
      <c r="D71" s="11" t="s">
        <v>92</v>
      </c>
      <c r="E71" s="17" t="s">
        <v>96</v>
      </c>
      <c r="F71" s="10">
        <f t="shared" si="3"/>
        <v>4000</v>
      </c>
      <c r="G71" s="10">
        <f t="shared" si="5"/>
        <v>4160</v>
      </c>
      <c r="H71" s="30">
        <v>0</v>
      </c>
      <c r="J71" s="11">
        <v>1040</v>
      </c>
      <c r="R71" s="11">
        <v>1040</v>
      </c>
      <c r="W71" s="11">
        <v>1040</v>
      </c>
      <c r="AC71" s="11">
        <v>1040</v>
      </c>
    </row>
    <row r="72" s="11" customFormat="1" spans="1:30">
      <c r="A72" s="11">
        <v>70</v>
      </c>
      <c r="D72" s="11" t="s">
        <v>92</v>
      </c>
      <c r="E72" s="17" t="s">
        <v>97</v>
      </c>
      <c r="F72" s="10">
        <f t="shared" si="3"/>
        <v>40000</v>
      </c>
      <c r="G72" s="10">
        <f t="shared" si="5"/>
        <v>36400</v>
      </c>
      <c r="H72" s="30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  <c r="AA72" s="11">
        <v>5200</v>
      </c>
      <c r="AD72" s="11">
        <v>5200</v>
      </c>
    </row>
    <row r="73" s="11" customFormat="1" spans="1:26">
      <c r="A73" s="11">
        <v>71</v>
      </c>
      <c r="D73" s="11" t="s">
        <v>92</v>
      </c>
      <c r="E73" s="17" t="s">
        <v>98</v>
      </c>
      <c r="F73" s="10">
        <f t="shared" si="3"/>
        <v>15000</v>
      </c>
      <c r="G73" s="10">
        <f t="shared" si="5"/>
        <v>15600</v>
      </c>
      <c r="H73" s="30">
        <v>0</v>
      </c>
      <c r="J73" s="11">
        <v>3120</v>
      </c>
      <c r="O73" s="11">
        <v>3120</v>
      </c>
      <c r="S73" s="11">
        <v>3120</v>
      </c>
      <c r="W73" s="11">
        <v>3120</v>
      </c>
      <c r="Z73" s="11">
        <v>3120</v>
      </c>
    </row>
    <row r="74" s="11" customFormat="1" spans="1:29">
      <c r="A74" s="11">
        <v>72</v>
      </c>
      <c r="B74" s="34"/>
      <c r="D74" s="11" t="s">
        <v>92</v>
      </c>
      <c r="E74" s="33" t="s">
        <v>99</v>
      </c>
      <c r="F74" s="10">
        <f t="shared" si="3"/>
        <v>8000</v>
      </c>
      <c r="G74" s="10">
        <f t="shared" si="5"/>
        <v>8320</v>
      </c>
      <c r="H74" s="30">
        <v>0</v>
      </c>
      <c r="O74" s="11">
        <v>2080</v>
      </c>
      <c r="R74" s="11">
        <v>2080</v>
      </c>
      <c r="X74" s="11">
        <v>2080</v>
      </c>
      <c r="AC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30">
        <v>0</v>
      </c>
    </row>
    <row r="76" s="11" customFormat="1" spans="1:26">
      <c r="A76" s="11">
        <v>74</v>
      </c>
      <c r="B76" s="34"/>
      <c r="D76" s="11" t="s">
        <v>92</v>
      </c>
      <c r="E76" s="33" t="s">
        <v>101</v>
      </c>
      <c r="F76" s="10">
        <f t="shared" si="3"/>
        <v>4000</v>
      </c>
      <c r="G76" s="10">
        <f t="shared" si="5"/>
        <v>2080</v>
      </c>
      <c r="H76" s="30">
        <v>2000</v>
      </c>
      <c r="Z76" s="11">
        <v>2080</v>
      </c>
    </row>
    <row r="77" s="11" customFormat="1" spans="1:29">
      <c r="A77" s="11">
        <v>75</v>
      </c>
      <c r="D77" s="11" t="s">
        <v>102</v>
      </c>
      <c r="E77" s="17" t="s">
        <v>103</v>
      </c>
      <c r="F77" s="10">
        <f t="shared" si="3"/>
        <v>13000</v>
      </c>
      <c r="G77" s="10">
        <f t="shared" si="5"/>
        <v>11440</v>
      </c>
      <c r="H77" s="30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  <c r="AA77" s="11">
        <v>1040</v>
      </c>
      <c r="AC77" s="11">
        <v>1040</v>
      </c>
    </row>
    <row r="78" s="11" customFormat="1" spans="1:27">
      <c r="A78" s="11">
        <v>76</v>
      </c>
      <c r="D78" s="11" t="s">
        <v>102</v>
      </c>
      <c r="E78" s="17" t="s">
        <v>104</v>
      </c>
      <c r="F78" s="10">
        <f t="shared" si="3"/>
        <v>30000</v>
      </c>
      <c r="G78" s="10">
        <f t="shared" si="5"/>
        <v>24960</v>
      </c>
      <c r="H78" s="30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  <c r="AA78" s="11">
        <v>3120</v>
      </c>
    </row>
    <row r="79" s="11" customFormat="1" spans="1:25">
      <c r="A79" s="11">
        <v>77</v>
      </c>
      <c r="D79" s="11" t="s">
        <v>102</v>
      </c>
      <c r="E79" s="17" t="s">
        <v>105</v>
      </c>
      <c r="F79" s="10">
        <f t="shared" si="3"/>
        <v>15000</v>
      </c>
      <c r="G79" s="10">
        <f t="shared" si="5"/>
        <v>12480</v>
      </c>
      <c r="H79" s="30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</row>
    <row r="80" s="11" customFormat="1" spans="1:29">
      <c r="A80" s="11">
        <v>78</v>
      </c>
      <c r="B80" s="34"/>
      <c r="E80" s="33" t="s">
        <v>106</v>
      </c>
      <c r="F80" s="10">
        <f t="shared" si="3"/>
        <v>58000</v>
      </c>
      <c r="G80" s="10">
        <f t="shared" si="5"/>
        <v>9360</v>
      </c>
      <c r="H80" s="30">
        <v>49000</v>
      </c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V80" s="36"/>
      <c r="W80" s="39">
        <v>5200</v>
      </c>
      <c r="X80" s="36"/>
      <c r="Y80" s="36"/>
      <c r="AA80" s="11">
        <v>2080</v>
      </c>
      <c r="AC80" s="11">
        <v>2080</v>
      </c>
    </row>
    <row r="81" s="11" customFormat="1" spans="1:27">
      <c r="A81" s="11">
        <v>79</v>
      </c>
      <c r="B81" s="34"/>
      <c r="D81" s="11" t="s">
        <v>107</v>
      </c>
      <c r="E81" s="33" t="s">
        <v>108</v>
      </c>
      <c r="F81" s="10">
        <f t="shared" si="3"/>
        <v>7000</v>
      </c>
      <c r="G81" s="10">
        <f t="shared" si="5"/>
        <v>7280</v>
      </c>
      <c r="H81" s="30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  <c r="AA81" s="11">
        <v>1040</v>
      </c>
    </row>
    <row r="82" s="11" customFormat="1" spans="1:8">
      <c r="A82" s="11">
        <v>80</v>
      </c>
      <c r="B82" s="34"/>
      <c r="E82" s="33" t="s">
        <v>109</v>
      </c>
      <c r="F82" s="10">
        <f t="shared" si="3"/>
        <v>0</v>
      </c>
      <c r="G82" s="10">
        <f t="shared" si="5"/>
        <v>0</v>
      </c>
      <c r="H82" s="30">
        <v>0</v>
      </c>
    </row>
    <row r="83" s="11" customFormat="1" spans="1:24">
      <c r="A83" s="11">
        <v>81</v>
      </c>
      <c r="B83" s="34"/>
      <c r="D83" s="11" t="s">
        <v>110</v>
      </c>
      <c r="E83" s="33" t="s">
        <v>111</v>
      </c>
      <c r="F83" s="10">
        <f t="shared" ref="F83:F96" si="6">G83/1.04+H83</f>
        <v>2000</v>
      </c>
      <c r="G83" s="10">
        <f t="shared" si="5"/>
        <v>4160</v>
      </c>
      <c r="H83" s="30">
        <v>-2000</v>
      </c>
      <c r="J83" s="11">
        <v>2080</v>
      </c>
      <c r="X83" s="11">
        <v>2080</v>
      </c>
    </row>
    <row r="84" s="11" customFormat="1" spans="1:20">
      <c r="A84" s="11">
        <v>82</v>
      </c>
      <c r="B84" s="34"/>
      <c r="E84" s="33" t="s">
        <v>112</v>
      </c>
      <c r="F84" s="10">
        <f t="shared" si="6"/>
        <v>0</v>
      </c>
      <c r="G84" s="10">
        <f t="shared" si="5"/>
        <v>0</v>
      </c>
      <c r="H84" s="30">
        <v>0</v>
      </c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</row>
    <row r="85" s="11" customFormat="1" spans="1:27">
      <c r="A85" s="11">
        <v>83</v>
      </c>
      <c r="B85" s="34"/>
      <c r="D85" s="11" t="s">
        <v>113</v>
      </c>
      <c r="E85" s="33" t="s">
        <v>114</v>
      </c>
      <c r="F85" s="10">
        <f t="shared" si="6"/>
        <v>25000</v>
      </c>
      <c r="G85" s="10">
        <f>SUM(J85:AM85)</f>
        <v>26000</v>
      </c>
      <c r="H85" s="30">
        <v>0</v>
      </c>
      <c r="J85" s="11">
        <v>5200</v>
      </c>
      <c r="M85" s="11">
        <v>5200</v>
      </c>
      <c r="Q85" s="11">
        <v>5200</v>
      </c>
      <c r="V85" s="11">
        <v>5200</v>
      </c>
      <c r="AA85" s="11">
        <v>5200</v>
      </c>
    </row>
    <row r="86" s="11" customFormat="1" spans="1:16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ref="G86:G96" si="7">SUM(I86:AM86)</f>
        <v>5200</v>
      </c>
      <c r="H86" s="30">
        <v>0</v>
      </c>
      <c r="P86" s="11">
        <v>5200</v>
      </c>
    </row>
    <row r="87" s="11" customFormat="1" spans="1:27">
      <c r="A87" s="11">
        <v>85</v>
      </c>
      <c r="B87" s="34"/>
      <c r="C87" s="11">
        <v>683879115</v>
      </c>
      <c r="D87" s="11" t="s">
        <v>113</v>
      </c>
      <c r="E87" s="33" t="s">
        <v>116</v>
      </c>
      <c r="F87" s="10">
        <f t="shared" si="6"/>
        <v>6000</v>
      </c>
      <c r="G87" s="10">
        <f t="shared" si="7"/>
        <v>6240</v>
      </c>
      <c r="H87" s="30">
        <v>0</v>
      </c>
      <c r="I87" s="37">
        <v>2080</v>
      </c>
      <c r="N87" s="37">
        <v>2080</v>
      </c>
      <c r="AA87" s="38">
        <v>2080</v>
      </c>
    </row>
    <row r="88" s="11" customFormat="1" spans="1:26">
      <c r="A88" s="11">
        <v>86</v>
      </c>
      <c r="B88" s="34"/>
      <c r="D88" s="11" t="s">
        <v>117</v>
      </c>
      <c r="E88" s="33" t="s">
        <v>118</v>
      </c>
      <c r="F88" s="10">
        <f t="shared" si="6"/>
        <v>4000</v>
      </c>
      <c r="G88" s="10">
        <f t="shared" si="7"/>
        <v>4160</v>
      </c>
      <c r="H88" s="30">
        <v>0</v>
      </c>
      <c r="I88" s="36"/>
      <c r="J88" s="36"/>
      <c r="K88" s="36"/>
      <c r="L88" s="36"/>
      <c r="M88" s="36"/>
      <c r="N88" s="36"/>
      <c r="O88" s="34"/>
      <c r="P88" s="36"/>
      <c r="Q88" s="36"/>
      <c r="R88" s="36"/>
      <c r="S88" s="36">
        <v>2080</v>
      </c>
      <c r="T88" s="36"/>
      <c r="U88" s="36"/>
      <c r="V88" s="36"/>
      <c r="W88" s="34"/>
      <c r="X88" s="36">
        <v>2080</v>
      </c>
      <c r="Y88" s="36"/>
      <c r="Z88" s="36"/>
    </row>
    <row r="89" s="11" customFormat="1" spans="1:8">
      <c r="A89" s="11">
        <v>87</v>
      </c>
      <c r="B89" s="34"/>
      <c r="E89" s="33" t="s">
        <v>119</v>
      </c>
      <c r="F89" s="10">
        <f t="shared" si="6"/>
        <v>0</v>
      </c>
      <c r="G89" s="10">
        <f t="shared" si="7"/>
        <v>0</v>
      </c>
      <c r="H89" s="30">
        <v>0</v>
      </c>
    </row>
    <row r="90" s="11" customFormat="1" spans="1:19">
      <c r="A90" s="11">
        <v>88</v>
      </c>
      <c r="B90" s="34"/>
      <c r="E90" s="33" t="s">
        <v>120</v>
      </c>
      <c r="F90" s="10">
        <f t="shared" si="6"/>
        <v>1000</v>
      </c>
      <c r="G90" s="10">
        <f t="shared" si="7"/>
        <v>1040</v>
      </c>
      <c r="H90" s="30">
        <v>0</v>
      </c>
      <c r="I90" s="36"/>
      <c r="J90" s="36"/>
      <c r="K90" s="36"/>
      <c r="L90" s="36"/>
      <c r="M90" s="36"/>
      <c r="N90" s="36"/>
      <c r="O90" s="36"/>
      <c r="P90" s="36"/>
      <c r="Q90" s="36"/>
      <c r="R90" s="40">
        <v>1040</v>
      </c>
      <c r="S90" s="36"/>
    </row>
    <row r="91" s="11" customFormat="1" spans="1:24">
      <c r="A91" s="11">
        <v>89</v>
      </c>
      <c r="B91" s="34"/>
      <c r="E91" s="33" t="s">
        <v>121</v>
      </c>
      <c r="F91" s="10">
        <f t="shared" si="6"/>
        <v>0</v>
      </c>
      <c r="G91" s="10">
        <f t="shared" si="7"/>
        <v>0</v>
      </c>
      <c r="H91" s="30">
        <v>0</v>
      </c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</row>
    <row r="92" s="11" customFormat="1" spans="1:8">
      <c r="A92" s="11">
        <v>90</v>
      </c>
      <c r="E92" s="17" t="s">
        <v>122</v>
      </c>
      <c r="F92" s="10">
        <f t="shared" si="6"/>
        <v>1000</v>
      </c>
      <c r="G92" s="10">
        <f t="shared" si="7"/>
        <v>0</v>
      </c>
      <c r="H92" s="30">
        <v>1000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7"/>
        <v>0</v>
      </c>
      <c r="H93" s="30">
        <v>0</v>
      </c>
    </row>
    <row r="94" s="11" customFormat="1" spans="1:30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7"/>
        <v>2080</v>
      </c>
      <c r="H94" s="30">
        <v>0</v>
      </c>
      <c r="N94" s="11">
        <v>1040</v>
      </c>
      <c r="AD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7"/>
        <v>0</v>
      </c>
      <c r="H95" s="30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7"/>
        <v>0</v>
      </c>
      <c r="H96" s="30">
        <v>0</v>
      </c>
    </row>
    <row r="97" s="11" customFormat="1" spans="8:8">
      <c r="H97" s="25"/>
    </row>
    <row r="98" s="11" customFormat="1" spans="8:8">
      <c r="H98" s="25"/>
    </row>
    <row r="99" s="11" customFormat="1" spans="8:8">
      <c r="H99" s="25"/>
    </row>
    <row r="100" s="11" customFormat="1" spans="8:8">
      <c r="H100" s="25"/>
    </row>
    <row r="101" s="11" customFormat="1" spans="8:8">
      <c r="H101" s="25"/>
    </row>
    <row r="102" s="11" customFormat="1" spans="8:8">
      <c r="H102" s="25"/>
    </row>
    <row r="103" s="11" customFormat="1" spans="8:8">
      <c r="H103" s="25"/>
    </row>
    <row r="104" s="11" customFormat="1" spans="8:8">
      <c r="H104" s="25"/>
    </row>
    <row r="105" s="11" customFormat="1" spans="8:8">
      <c r="H105" s="25"/>
    </row>
    <row r="106" s="11" customFormat="1" spans="8:8">
      <c r="H106" s="25"/>
    </row>
    <row r="107" s="11" customFormat="1" spans="8:8">
      <c r="H107" s="25"/>
    </row>
    <row r="108" s="11" customFormat="1" spans="8:8">
      <c r="H108" s="25"/>
    </row>
    <row r="109" s="11" customFormat="1" spans="8:8">
      <c r="H109" s="25"/>
    </row>
    <row r="110" s="11" customFormat="1" spans="8:8">
      <c r="H110" s="25"/>
    </row>
    <row r="111" s="11" customFormat="1" spans="8:8">
      <c r="H111" s="25"/>
    </row>
    <row r="112" s="11" customFormat="1" spans="8:8">
      <c r="H112" s="25"/>
    </row>
    <row r="113" s="11" customFormat="1" spans="8:8">
      <c r="H113" s="25"/>
    </row>
    <row r="114" s="11" customFormat="1" spans="8:8">
      <c r="H114" s="25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V3" activePane="bottomRight" state="frozen"/>
      <selection/>
      <selection pane="topRight"/>
      <selection pane="bottomLeft"/>
      <selection pane="bottomRight" activeCell="Y13" sqref="Y13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4"/>
      <c r="AL1" s="24"/>
      <c r="AM1" s="24"/>
    </row>
    <row r="2" s="10" customFormat="1" spans="1:36">
      <c r="A2" s="13"/>
      <c r="B2" s="13"/>
      <c r="C2" s="13"/>
      <c r="D2" s="13"/>
      <c r="E2" s="13"/>
      <c r="F2" s="14">
        <f>SUM(H3:H121)</f>
        <v>880700</v>
      </c>
      <c r="G2" s="15" t="s">
        <v>8</v>
      </c>
      <c r="H2" s="16">
        <f t="shared" ref="H2:H65" si="0">SUM(I2:AM2)</f>
        <v>880700</v>
      </c>
      <c r="I2" s="10">
        <f t="shared" ref="I2:AA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36500</v>
      </c>
      <c r="AA2" s="10">
        <f t="shared" si="1"/>
        <v>12000</v>
      </c>
      <c r="AB2" s="22">
        <f>SUM(AB3:AB121)</f>
        <v>57000</v>
      </c>
      <c r="AC2" s="10">
        <f t="shared" ref="AC2:AJ2" si="2">SUM(AC3:AC121)</f>
        <v>8000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 t="shared" si="0"/>
        <v>9000</v>
      </c>
      <c r="I3" s="19">
        <v>3000</v>
      </c>
      <c r="R3" s="19">
        <v>3000</v>
      </c>
      <c r="Y3" s="20">
        <v>3000</v>
      </c>
      <c r="AB3" s="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si="0"/>
        <v>6000</v>
      </c>
      <c r="I4" s="19">
        <v>2000</v>
      </c>
      <c r="W4" s="20">
        <v>4000</v>
      </c>
      <c r="AB4" s="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  <c r="AB5" s="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0"/>
        <v>17000</v>
      </c>
      <c r="I6" s="19">
        <v>3000</v>
      </c>
      <c r="K6" s="19">
        <v>2000</v>
      </c>
      <c r="P6" s="19">
        <v>3000</v>
      </c>
      <c r="R6" s="19">
        <v>2000</v>
      </c>
      <c r="U6" s="19">
        <v>3000</v>
      </c>
      <c r="W6" s="20">
        <v>2000</v>
      </c>
      <c r="AB6" s="23">
        <v>2000</v>
      </c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0"/>
        <v>35000</v>
      </c>
      <c r="J7" s="19">
        <v>620</v>
      </c>
      <c r="L7" s="19">
        <v>7380</v>
      </c>
      <c r="P7" s="19">
        <v>8000</v>
      </c>
      <c r="T7" s="19">
        <v>7000</v>
      </c>
      <c r="U7" s="19">
        <v>4000</v>
      </c>
      <c r="Y7" s="20">
        <v>8000</v>
      </c>
      <c r="AB7" s="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0"/>
        <v>4000</v>
      </c>
      <c r="K8" s="11">
        <v>2000</v>
      </c>
      <c r="Z8" s="11">
        <v>2000</v>
      </c>
      <c r="AB8" s="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0"/>
        <v>6000</v>
      </c>
      <c r="I9" s="11">
        <v>2000</v>
      </c>
      <c r="R9" s="11">
        <v>2000</v>
      </c>
      <c r="Z9" s="11">
        <v>2000</v>
      </c>
      <c r="AB9" s="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0"/>
        <v>25000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  <c r="AB10" s="1">
        <v>3000</v>
      </c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0"/>
        <v>6000</v>
      </c>
      <c r="W11" s="20">
        <v>6000</v>
      </c>
      <c r="AB11" s="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0"/>
        <v>5000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  <c r="AB12" s="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0"/>
        <v>20000</v>
      </c>
      <c r="L13" s="11">
        <v>5000</v>
      </c>
      <c r="P13" s="11">
        <v>5000</v>
      </c>
      <c r="U13" s="11">
        <v>5000</v>
      </c>
      <c r="Z13" s="20">
        <v>5000</v>
      </c>
      <c r="AB13" s="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7" t="s">
        <v>27</v>
      </c>
      <c r="H14" s="10">
        <f t="shared" si="0"/>
        <v>39500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  <c r="Z14" s="11">
        <v>3000</v>
      </c>
      <c r="AB14" s="1">
        <v>3000</v>
      </c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0"/>
        <v>8000</v>
      </c>
      <c r="I15" s="11">
        <v>2000</v>
      </c>
      <c r="P15" s="11">
        <v>2000</v>
      </c>
      <c r="R15" s="11">
        <v>2000</v>
      </c>
      <c r="Y15" s="20">
        <v>2000</v>
      </c>
      <c r="AB15" s="1"/>
    </row>
    <row r="16" s="11" customFormat="1" spans="1:28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7" t="s">
        <v>30</v>
      </c>
      <c r="H16" s="10">
        <f t="shared" si="0"/>
        <v>3200</v>
      </c>
      <c r="I16" s="19">
        <v>1200</v>
      </c>
      <c r="K16" s="11">
        <v>1000</v>
      </c>
      <c r="W16" s="20">
        <v>1000</v>
      </c>
      <c r="AB16" s="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0"/>
        <v>0</v>
      </c>
      <c r="AB17" s="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0"/>
        <v>2000</v>
      </c>
      <c r="T18" s="11">
        <v>1000</v>
      </c>
      <c r="Z18" s="11">
        <v>1000</v>
      </c>
      <c r="AB18" s="1"/>
    </row>
    <row r="19" s="11" customFormat="1" spans="1:28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7" t="s">
        <v>35</v>
      </c>
      <c r="H19" s="10">
        <f t="shared" si="0"/>
        <v>8000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  <c r="AB19" s="1"/>
    </row>
    <row r="20" s="11" customFormat="1" spans="1:28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7" t="s">
        <v>37</v>
      </c>
      <c r="H20" s="10">
        <f t="shared" si="0"/>
        <v>20000</v>
      </c>
      <c r="L20" s="19">
        <v>5000</v>
      </c>
      <c r="N20" s="19">
        <v>5000</v>
      </c>
      <c r="S20" s="11">
        <v>5000</v>
      </c>
      <c r="Y20" s="11">
        <v>5000</v>
      </c>
      <c r="AB20" s="1"/>
    </row>
    <row r="21" s="11" customFormat="1" spans="1:28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7" t="s">
        <v>38</v>
      </c>
      <c r="H21" s="10">
        <f t="shared" si="0"/>
        <v>8000</v>
      </c>
      <c r="M21" s="11">
        <v>2000</v>
      </c>
      <c r="S21" s="19">
        <v>4000</v>
      </c>
      <c r="Y21" s="11">
        <v>2000</v>
      </c>
      <c r="AB21" s="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0"/>
        <v>4000</v>
      </c>
      <c r="J22" s="11">
        <v>1000</v>
      </c>
      <c r="N22" s="11">
        <v>1000</v>
      </c>
      <c r="Q22" s="11">
        <v>1000</v>
      </c>
      <c r="W22" s="11">
        <v>1000</v>
      </c>
      <c r="AB22" s="1"/>
    </row>
    <row r="23" s="11" customFormat="1" spans="1:28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7" t="s">
        <v>40</v>
      </c>
      <c r="H23" s="10">
        <f t="shared" si="0"/>
        <v>15000</v>
      </c>
      <c r="Q23" s="19">
        <v>5000</v>
      </c>
      <c r="S23" s="19">
        <v>10000</v>
      </c>
      <c r="AB23" s="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0"/>
        <v>7000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  <c r="Z24" s="11">
        <v>500</v>
      </c>
      <c r="AB24" s="1">
        <v>1000</v>
      </c>
    </row>
    <row r="25" s="11" customFormat="1" spans="1:28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7" t="s">
        <v>42</v>
      </c>
      <c r="H25" s="10">
        <f t="shared" si="0"/>
        <v>15000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  <c r="AB25" s="1"/>
    </row>
    <row r="26" s="11" customFormat="1" spans="1:28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7" t="s">
        <v>43</v>
      </c>
      <c r="H26" s="10">
        <f t="shared" si="0"/>
        <v>30000</v>
      </c>
      <c r="I26" s="19">
        <v>5000</v>
      </c>
      <c r="L26" s="19">
        <v>5000</v>
      </c>
      <c r="P26" s="19">
        <v>5000</v>
      </c>
      <c r="T26" s="19">
        <v>5000</v>
      </c>
      <c r="X26" s="20">
        <v>5000</v>
      </c>
      <c r="AA26" s="20">
        <v>5000</v>
      </c>
      <c r="AB26" s="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0"/>
        <v>7500</v>
      </c>
      <c r="I27" s="11">
        <v>3000</v>
      </c>
      <c r="Y27" s="11">
        <v>2000</v>
      </c>
      <c r="AB27" s="1">
        <v>2500</v>
      </c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0"/>
        <v>11500</v>
      </c>
      <c r="K28" s="11">
        <v>1500</v>
      </c>
      <c r="L28" s="11">
        <v>1000</v>
      </c>
      <c r="M28" s="19">
        <v>1000</v>
      </c>
      <c r="N28" s="19">
        <v>1000</v>
      </c>
      <c r="R28" s="11">
        <v>1000</v>
      </c>
      <c r="S28" s="11">
        <v>1000</v>
      </c>
      <c r="T28" s="11">
        <v>1000</v>
      </c>
      <c r="U28" s="11">
        <v>1000</v>
      </c>
      <c r="Y28" s="20">
        <v>1000</v>
      </c>
      <c r="AB28" s="1">
        <v>2000</v>
      </c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0"/>
        <v>6000</v>
      </c>
      <c r="L29" s="11">
        <v>2000</v>
      </c>
      <c r="T29" s="11">
        <v>2000</v>
      </c>
      <c r="AB29" s="1">
        <v>2000</v>
      </c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0"/>
        <v>6000</v>
      </c>
      <c r="I30" s="11">
        <v>1000</v>
      </c>
      <c r="J30" s="11">
        <v>1000</v>
      </c>
      <c r="T30" s="11">
        <v>2000</v>
      </c>
      <c r="Y30" s="11">
        <v>2000</v>
      </c>
      <c r="AB30" s="1"/>
    </row>
    <row r="31" s="11" customFormat="1" spans="1:28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7" t="s">
        <v>48</v>
      </c>
      <c r="H31" s="10">
        <f t="shared" si="0"/>
        <v>16000</v>
      </c>
      <c r="J31" s="11">
        <v>5500</v>
      </c>
      <c r="P31" s="11">
        <v>5000</v>
      </c>
      <c r="U31" s="19">
        <v>5500</v>
      </c>
      <c r="AB31" s="1"/>
    </row>
    <row r="32" s="11" customFormat="1" spans="1:28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7" t="s">
        <v>49</v>
      </c>
      <c r="H32" s="10">
        <f t="shared" si="0"/>
        <v>30000</v>
      </c>
      <c r="N32" s="19">
        <v>10000</v>
      </c>
      <c r="S32" s="19">
        <v>10000</v>
      </c>
      <c r="Y32" s="20">
        <v>10000</v>
      </c>
      <c r="AB32" s="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0"/>
        <v>11000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  <c r="Z33" s="11">
        <v>1000</v>
      </c>
      <c r="AB33" s="1">
        <v>1000</v>
      </c>
    </row>
    <row r="34" s="11" customFormat="1" spans="1:28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7" t="s">
        <v>52</v>
      </c>
      <c r="H34" s="10">
        <f t="shared" si="0"/>
        <v>7000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  <c r="AB34" s="1">
        <v>1000</v>
      </c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0"/>
        <v>5000</v>
      </c>
      <c r="K35" s="11">
        <v>1000</v>
      </c>
      <c r="P35" s="11">
        <v>1000</v>
      </c>
      <c r="S35" s="11">
        <v>2000</v>
      </c>
      <c r="Y35" s="11">
        <v>1000</v>
      </c>
      <c r="AB35" s="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si="0"/>
        <v>4000</v>
      </c>
      <c r="K36" s="11">
        <v>1500</v>
      </c>
      <c r="P36" s="11">
        <v>2500</v>
      </c>
      <c r="AB36" s="1"/>
    </row>
    <row r="37" s="11" customFormat="1" spans="1:29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0"/>
        <v>24000</v>
      </c>
      <c r="J37" s="19">
        <v>3000</v>
      </c>
      <c r="L37" s="19">
        <v>3000</v>
      </c>
      <c r="N37" s="19">
        <v>3000</v>
      </c>
      <c r="R37" s="19">
        <v>3000</v>
      </c>
      <c r="U37" s="19">
        <v>3000</v>
      </c>
      <c r="Y37" s="20">
        <v>3000</v>
      </c>
      <c r="Z37" s="20">
        <v>3000</v>
      </c>
      <c r="AB37" s="1"/>
      <c r="AC37" s="20">
        <v>3000</v>
      </c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0"/>
        <v>1000</v>
      </c>
      <c r="R38" s="11">
        <v>1000</v>
      </c>
      <c r="AB38" s="1"/>
    </row>
    <row r="39" s="11" customFormat="1" spans="1:28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7" t="s">
        <v>57</v>
      </c>
      <c r="H39" s="10">
        <f t="shared" si="0"/>
        <v>9000</v>
      </c>
      <c r="K39" s="19">
        <v>3000</v>
      </c>
      <c r="R39" s="19">
        <v>3000</v>
      </c>
      <c r="W39" s="20">
        <v>3000</v>
      </c>
      <c r="AB39" s="1"/>
    </row>
    <row r="40" s="11" customFormat="1" spans="1:28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7" t="s">
        <v>58</v>
      </c>
      <c r="H40" s="10">
        <f t="shared" si="0"/>
        <v>4000</v>
      </c>
      <c r="I40" s="19">
        <v>2000</v>
      </c>
      <c r="V40" s="20">
        <v>2000</v>
      </c>
      <c r="AB40" s="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0"/>
        <v>8000</v>
      </c>
      <c r="P41" s="11">
        <v>4000</v>
      </c>
      <c r="Z41" s="11">
        <v>4000</v>
      </c>
      <c r="AB41" s="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0"/>
        <v>4000</v>
      </c>
      <c r="M42" s="11">
        <v>2000</v>
      </c>
      <c r="Y42" s="11">
        <v>2000</v>
      </c>
      <c r="AB42" s="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0"/>
        <v>28500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  <c r="AA43" s="11">
        <v>3000</v>
      </c>
      <c r="AB43" s="1"/>
    </row>
    <row r="44" s="11" customFormat="1" spans="1:28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0"/>
        <v>2000</v>
      </c>
      <c r="R44" s="11">
        <v>2000</v>
      </c>
      <c r="AB44" s="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0"/>
        <v>18000</v>
      </c>
      <c r="K45" s="11">
        <v>3000</v>
      </c>
      <c r="P45" s="19">
        <v>3000</v>
      </c>
      <c r="S45" s="19">
        <v>3000</v>
      </c>
      <c r="W45" s="20">
        <v>3000</v>
      </c>
      <c r="Y45" s="11">
        <v>3000</v>
      </c>
      <c r="AB45" s="23">
        <v>3000</v>
      </c>
    </row>
    <row r="46" s="11" customFormat="1" spans="1:28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7" t="s">
        <v>65</v>
      </c>
      <c r="H46" s="10">
        <f t="shared" si="0"/>
        <v>15000</v>
      </c>
      <c r="J46" s="11">
        <v>3000</v>
      </c>
      <c r="N46" s="11">
        <v>3000</v>
      </c>
      <c r="R46" s="11">
        <v>6000</v>
      </c>
      <c r="Z46" s="20">
        <v>3000</v>
      </c>
      <c r="AB46" s="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0"/>
        <v>12000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  <c r="AB47" s="1"/>
    </row>
    <row r="48" s="11" customFormat="1" spans="1:28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7" t="s">
        <v>67</v>
      </c>
      <c r="H48" s="10">
        <f t="shared" si="0"/>
        <v>4000</v>
      </c>
      <c r="N48" s="19">
        <v>2000</v>
      </c>
      <c r="AB48" s="23">
        <v>2000</v>
      </c>
    </row>
    <row r="49" s="11" customFormat="1" spans="1:28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7" t="s">
        <v>68</v>
      </c>
      <c r="H49" s="10">
        <f t="shared" si="0"/>
        <v>24000</v>
      </c>
      <c r="J49" s="19">
        <v>4000</v>
      </c>
      <c r="M49" s="11">
        <v>2000</v>
      </c>
      <c r="N49" s="11">
        <v>3000</v>
      </c>
      <c r="R49" s="11">
        <v>3000</v>
      </c>
      <c r="W49" s="20">
        <v>4000</v>
      </c>
      <c r="Y49" s="11">
        <v>3500</v>
      </c>
      <c r="AB49" s="1">
        <v>4500</v>
      </c>
    </row>
    <row r="50" s="11" customFormat="1" spans="1:28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7" t="s">
        <v>69</v>
      </c>
      <c r="H50" s="10">
        <f t="shared" si="0"/>
        <v>18000</v>
      </c>
      <c r="K50" s="19">
        <v>3000</v>
      </c>
      <c r="L50" s="19">
        <v>3000</v>
      </c>
      <c r="P50" s="11">
        <v>3000</v>
      </c>
      <c r="U50" s="19">
        <v>6000</v>
      </c>
      <c r="W50" s="11">
        <v>3000</v>
      </c>
      <c r="AB50" s="1"/>
    </row>
    <row r="51" s="11" customFormat="1" spans="1:28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7" t="s">
        <v>70</v>
      </c>
      <c r="H51" s="10">
        <f t="shared" si="0"/>
        <v>6000</v>
      </c>
      <c r="M51" s="11">
        <v>2000</v>
      </c>
      <c r="R51" s="11">
        <v>2000</v>
      </c>
      <c r="Y51" s="11">
        <v>2000</v>
      </c>
      <c r="AB51" s="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0"/>
        <v>0</v>
      </c>
      <c r="AB52" s="1"/>
    </row>
    <row r="53" s="11" customFormat="1" spans="1:28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7" t="s">
        <v>72</v>
      </c>
      <c r="H53" s="10">
        <f t="shared" si="0"/>
        <v>13000</v>
      </c>
      <c r="K53" s="19">
        <v>1000</v>
      </c>
      <c r="N53" s="11">
        <v>1000</v>
      </c>
      <c r="Q53" s="19">
        <v>2000</v>
      </c>
      <c r="R53" s="19">
        <v>2000</v>
      </c>
      <c r="V53" s="20">
        <v>1000</v>
      </c>
      <c r="X53" s="20">
        <v>2000</v>
      </c>
      <c r="Y53" s="20">
        <v>1000</v>
      </c>
      <c r="AB53" s="23">
        <v>3000</v>
      </c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0"/>
        <v>12000</v>
      </c>
      <c r="I54" s="19">
        <v>2000</v>
      </c>
      <c r="N54" s="11">
        <v>2000</v>
      </c>
      <c r="R54" s="11">
        <v>1000</v>
      </c>
      <c r="Y54" s="20">
        <v>5000</v>
      </c>
      <c r="Z54" s="20">
        <v>2000</v>
      </c>
      <c r="AB54" s="1"/>
    </row>
    <row r="55" s="11" customFormat="1" spans="1:28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7" t="s">
        <v>74</v>
      </c>
      <c r="H55" s="10">
        <f t="shared" si="0"/>
        <v>2000</v>
      </c>
      <c r="U55" s="19">
        <v>2000</v>
      </c>
      <c r="AB55" s="1"/>
    </row>
    <row r="56" s="11" customFormat="1" spans="1:28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7" t="s">
        <v>75</v>
      </c>
      <c r="H56" s="10">
        <f t="shared" si="0"/>
        <v>1000</v>
      </c>
      <c r="N56" s="19">
        <v>1000</v>
      </c>
      <c r="AB56" s="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0"/>
        <v>0</v>
      </c>
      <c r="AB57" s="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0"/>
        <v>10000</v>
      </c>
      <c r="J58" s="11">
        <v>2000</v>
      </c>
      <c r="U58" s="11">
        <v>4000</v>
      </c>
      <c r="Y58" s="11">
        <v>4000</v>
      </c>
      <c r="AB58" s="1"/>
    </row>
    <row r="59" s="11" customFormat="1" spans="1:28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7" t="s">
        <v>79</v>
      </c>
      <c r="H59" s="10">
        <f t="shared" si="0"/>
        <v>25000</v>
      </c>
      <c r="P59" s="19">
        <v>15000</v>
      </c>
      <c r="Y59" s="11">
        <v>10000</v>
      </c>
      <c r="AB59" s="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0"/>
        <v>10000</v>
      </c>
      <c r="J60" s="11">
        <v>5000</v>
      </c>
      <c r="U60" s="11">
        <v>5000</v>
      </c>
      <c r="AB60" s="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0"/>
        <v>10000</v>
      </c>
      <c r="J61" s="11">
        <v>2000</v>
      </c>
      <c r="P61" s="11">
        <v>2000</v>
      </c>
      <c r="U61" s="11">
        <v>2000</v>
      </c>
      <c r="Y61" s="11">
        <v>4000</v>
      </c>
      <c r="AB61" s="1"/>
    </row>
    <row r="62" s="11" customFormat="1" spans="1:28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7" t="s">
        <v>83</v>
      </c>
      <c r="H62" s="10">
        <f t="shared" si="0"/>
        <v>15000</v>
      </c>
      <c r="I62" s="11">
        <v>5000</v>
      </c>
      <c r="S62" s="19">
        <v>10000</v>
      </c>
      <c r="AB62" s="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0"/>
        <v>2400</v>
      </c>
      <c r="U63" s="21">
        <v>2400</v>
      </c>
      <c r="AB63" s="1"/>
    </row>
    <row r="64" s="11" customFormat="1" spans="1:28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7" t="s">
        <v>86</v>
      </c>
      <c r="H64" s="10">
        <f t="shared" si="0"/>
        <v>5000</v>
      </c>
      <c r="P64" s="19">
        <v>5000</v>
      </c>
      <c r="AB64" s="1"/>
    </row>
    <row r="65" s="11" customFormat="1" spans="1:28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0"/>
        <v>6000</v>
      </c>
      <c r="J65" s="19">
        <v>2000</v>
      </c>
      <c r="P65" s="19">
        <v>2000</v>
      </c>
      <c r="AA65" s="20">
        <v>2000</v>
      </c>
      <c r="AB65" s="1"/>
    </row>
    <row r="66" s="11" customFormat="1" spans="1:2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7" t="s">
        <v>89</v>
      </c>
      <c r="H66" s="10">
        <f t="shared" ref="H66:H96" si="3">SUM(I66:AM66)</f>
        <v>11000</v>
      </c>
      <c r="I66" s="19">
        <v>2000</v>
      </c>
      <c r="S66" s="19">
        <v>6000</v>
      </c>
      <c r="AB66" s="1"/>
      <c r="AC66" s="20">
        <v>3000</v>
      </c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3500</v>
      </c>
      <c r="J67" s="11">
        <v>1500</v>
      </c>
      <c r="U67" s="11">
        <v>2000</v>
      </c>
      <c r="AB67" s="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si="3"/>
        <v>10000</v>
      </c>
      <c r="L68" s="11">
        <v>4000</v>
      </c>
      <c r="AB68" s="1">
        <v>6000</v>
      </c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3"/>
        <v>4000</v>
      </c>
      <c r="Y69" s="11">
        <v>2000</v>
      </c>
      <c r="AB69" s="1">
        <v>2000</v>
      </c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3"/>
        <v>6000</v>
      </c>
      <c r="I70" s="11">
        <v>1500</v>
      </c>
      <c r="P70" s="11">
        <v>2500</v>
      </c>
      <c r="AB70" s="1">
        <v>2000</v>
      </c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3"/>
        <v>3000</v>
      </c>
      <c r="L71" s="11">
        <v>1000</v>
      </c>
      <c r="S71" s="11">
        <v>1000</v>
      </c>
      <c r="Y71" s="11">
        <v>1000</v>
      </c>
      <c r="AB71" s="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3"/>
        <v>35000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  <c r="AB72" s="1">
        <v>5000</v>
      </c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3"/>
        <v>12000</v>
      </c>
      <c r="K73" s="11">
        <v>3000</v>
      </c>
      <c r="R73" s="11">
        <v>3000</v>
      </c>
      <c r="Y73" s="20">
        <v>3000</v>
      </c>
      <c r="Z73" s="11">
        <v>3000</v>
      </c>
      <c r="AB73" s="1"/>
    </row>
    <row r="74" s="11" customFormat="1" spans="1:28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7" t="s">
        <v>99</v>
      </c>
      <c r="H74" s="10">
        <f t="shared" si="3"/>
        <v>4000</v>
      </c>
      <c r="R74" s="19">
        <v>2000</v>
      </c>
      <c r="U74" s="19">
        <v>2000</v>
      </c>
      <c r="AB74" s="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3"/>
        <v>0</v>
      </c>
      <c r="AB75" s="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3"/>
        <v>3000</v>
      </c>
      <c r="L76" s="11">
        <v>1000</v>
      </c>
      <c r="P76" s="11">
        <v>1000</v>
      </c>
      <c r="AB76" s="1">
        <v>1000</v>
      </c>
    </row>
    <row r="77" s="11" customFormat="1" spans="1:28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7" t="s">
        <v>103</v>
      </c>
      <c r="H77" s="10">
        <f t="shared" si="3"/>
        <v>10100</v>
      </c>
      <c r="J77" s="11">
        <v>1200</v>
      </c>
      <c r="K77" s="11">
        <v>800</v>
      </c>
      <c r="L77" s="11">
        <v>1000</v>
      </c>
      <c r="P77" s="11">
        <v>600</v>
      </c>
      <c r="R77" s="19">
        <v>1500</v>
      </c>
      <c r="U77" s="19">
        <v>1900</v>
      </c>
      <c r="Y77" s="11">
        <v>1600</v>
      </c>
      <c r="Z77" s="11">
        <v>1500</v>
      </c>
      <c r="AB77" s="1"/>
    </row>
    <row r="78" s="11" customFormat="1" spans="1:28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7" t="s">
        <v>104</v>
      </c>
      <c r="H78" s="10">
        <f t="shared" si="3"/>
        <v>30000</v>
      </c>
      <c r="L78" s="19">
        <v>6000</v>
      </c>
      <c r="N78" s="19">
        <v>6000</v>
      </c>
      <c r="R78" s="11">
        <v>6000</v>
      </c>
      <c r="U78" s="11">
        <v>3000</v>
      </c>
      <c r="AB78" s="23">
        <v>9000</v>
      </c>
    </row>
    <row r="79" s="11" customFormat="1" spans="1:28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7" t="s">
        <v>105</v>
      </c>
      <c r="H79" s="10">
        <f t="shared" si="3"/>
        <v>14500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  <c r="Z79" s="11">
        <v>3500</v>
      </c>
      <c r="AB79" s="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3"/>
        <v>0</v>
      </c>
      <c r="AB80" s="1"/>
    </row>
    <row r="81" s="11" customFormat="1" spans="1:29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7" t="s">
        <v>108</v>
      </c>
      <c r="H81" s="10">
        <f t="shared" si="3"/>
        <v>6000</v>
      </c>
      <c r="U81" s="19">
        <v>4000</v>
      </c>
      <c r="AB81" s="1"/>
      <c r="AC81" s="20">
        <v>2000</v>
      </c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3"/>
        <v>0</v>
      </c>
      <c r="AB82" s="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3"/>
        <v>0</v>
      </c>
      <c r="AB83" s="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3"/>
        <v>0</v>
      </c>
      <c r="AB84" s="1"/>
    </row>
    <row r="85" s="11" customFormat="1" spans="1:28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7" t="s">
        <v>114</v>
      </c>
      <c r="H85" s="10">
        <f t="shared" si="3"/>
        <v>15000</v>
      </c>
      <c r="K85" s="19">
        <v>5000</v>
      </c>
      <c r="S85" s="19">
        <v>10000</v>
      </c>
      <c r="AB85" s="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3"/>
        <v>5000</v>
      </c>
      <c r="R86" s="11">
        <v>5000</v>
      </c>
      <c r="AB86" s="1"/>
    </row>
    <row r="87" s="11" customFormat="1" spans="1:28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7" t="s">
        <v>116</v>
      </c>
      <c r="H87" s="10">
        <f t="shared" si="3"/>
        <v>4000</v>
      </c>
      <c r="I87" s="19">
        <v>2000</v>
      </c>
      <c r="AA87" s="20">
        <v>2000</v>
      </c>
      <c r="AB87" s="1"/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3"/>
        <v>6000</v>
      </c>
      <c r="S88" s="19">
        <v>2000</v>
      </c>
      <c r="Z88" s="11">
        <v>2000</v>
      </c>
      <c r="AB88" s="1">
        <v>2000</v>
      </c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3"/>
        <v>0</v>
      </c>
      <c r="AB89" s="1"/>
    </row>
    <row r="90" s="11" customFormat="1" spans="1:28">
      <c r="A90" s="11">
        <v>88</v>
      </c>
      <c r="B90" s="11" t="s">
        <v>172</v>
      </c>
      <c r="C90" s="11">
        <v>88</v>
      </c>
      <c r="D90" s="11" t="s">
        <v>172</v>
      </c>
      <c r="G90" s="17" t="s">
        <v>120</v>
      </c>
      <c r="H90" s="10">
        <f t="shared" si="3"/>
        <v>1000</v>
      </c>
      <c r="R90" s="19">
        <v>1000</v>
      </c>
      <c r="AB90" s="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3"/>
        <v>0</v>
      </c>
      <c r="AB91" s="1"/>
    </row>
    <row r="92" s="11" customFormat="1" spans="1:28">
      <c r="A92" s="11">
        <v>90</v>
      </c>
      <c r="C92" s="11">
        <v>90</v>
      </c>
      <c r="E92" s="11">
        <v>9015378357</v>
      </c>
      <c r="G92" s="17" t="s">
        <v>122</v>
      </c>
      <c r="H92" s="10">
        <f t="shared" si="3"/>
        <v>0</v>
      </c>
      <c r="AB92" s="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3"/>
        <v>0</v>
      </c>
      <c r="AB93" s="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3"/>
        <v>1000</v>
      </c>
      <c r="W94" s="11">
        <v>1000</v>
      </c>
      <c r="AB94" s="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3"/>
        <v>0</v>
      </c>
      <c r="AB95" s="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3"/>
        <v>0</v>
      </c>
      <c r="AB96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topLeftCell="A76" workbookViewId="0">
      <selection activeCell="D94" sqref="A1:D94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173</v>
      </c>
    </row>
    <row r="2" spans="1:4">
      <c r="A2" s="4"/>
      <c r="B2" s="4"/>
      <c r="C2" s="5" t="s">
        <v>8</v>
      </c>
      <c r="D2" s="6">
        <f>Orders!F2-Collection!H2</f>
        <v>243000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3000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22000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2000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2000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5000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6000</v>
      </c>
    </row>
    <row r="15" spans="1:4">
      <c r="A15" s="7" t="s">
        <v>23</v>
      </c>
      <c r="B15" s="7"/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3000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10000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3000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5000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4500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1000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/>
      <c r="C31" s="8" t="s">
        <v>48</v>
      </c>
      <c r="D31" s="9">
        <f>Orders!F31-Collection!H31</f>
        <v>0</v>
      </c>
    </row>
    <row r="32" spans="1:4">
      <c r="A32" s="7" t="s">
        <v>36</v>
      </c>
      <c r="B32" s="7"/>
      <c r="C32" s="8" t="s">
        <v>49</v>
      </c>
      <c r="D32" s="9">
        <f>Orders!F32-Collection!H32</f>
        <v>5000</v>
      </c>
    </row>
    <row r="33" spans="1:4">
      <c r="A33" s="7" t="s">
        <v>36</v>
      </c>
      <c r="B33" s="7"/>
      <c r="C33" s="8" t="s">
        <v>50</v>
      </c>
      <c r="D33" s="9">
        <f>Orders!F33-Collection!H33</f>
        <v>0</v>
      </c>
    </row>
    <row r="34" spans="1:4">
      <c r="A34" s="7" t="s">
        <v>51</v>
      </c>
      <c r="B34" s="7"/>
      <c r="C34" s="8" t="s">
        <v>52</v>
      </c>
      <c r="D34" s="9">
        <f>Orders!F34-Collection!H34</f>
        <v>0</v>
      </c>
    </row>
    <row r="35" spans="1:4">
      <c r="A35" s="7" t="s">
        <v>51</v>
      </c>
      <c r="B35" s="7"/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/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/>
      <c r="C39" s="8" t="s">
        <v>57</v>
      </c>
      <c r="D39" s="9">
        <f>Orders!F39-Collection!H39</f>
        <v>3000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/>
      <c r="C41" s="8" t="s">
        <v>59</v>
      </c>
      <c r="D41" s="9">
        <f>Orders!F41-Collection!H41</f>
        <v>2000</v>
      </c>
    </row>
    <row r="42" spans="1:4">
      <c r="A42" s="7" t="s">
        <v>51</v>
      </c>
      <c r="B42" s="7"/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6000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/>
      <c r="C46" s="8" t="s">
        <v>65</v>
      </c>
      <c r="D46" s="9">
        <f>Orders!F46-Collection!H46</f>
        <v>0</v>
      </c>
    </row>
    <row r="47" spans="1:4">
      <c r="A47" s="7" t="s">
        <v>64</v>
      </c>
      <c r="B47" s="7"/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3000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6000</v>
      </c>
    </row>
    <row r="51" spans="1:4">
      <c r="A51" s="7" t="s">
        <v>64</v>
      </c>
      <c r="B51" s="7"/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/>
      <c r="C53" s="8" t="s">
        <v>72</v>
      </c>
      <c r="D53" s="9">
        <f>Orders!F53-Collection!H53</f>
        <v>2000</v>
      </c>
    </row>
    <row r="54" spans="1:4">
      <c r="A54" s="7" t="s">
        <v>64</v>
      </c>
      <c r="B54" s="7"/>
      <c r="C54" s="8" t="s">
        <v>73</v>
      </c>
      <c r="D54" s="9">
        <f>Orders!F54-Collection!H54</f>
        <v>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/>
      <c r="C56" s="8" t="s">
        <v>75</v>
      </c>
      <c r="D56" s="9">
        <f>Orders!F56-Collection!H56</f>
        <v>2000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5000</v>
      </c>
    </row>
    <row r="60" spans="1:4">
      <c r="A60" s="7" t="s">
        <v>77</v>
      </c>
      <c r="B60" s="7"/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2000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10000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5000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/>
      <c r="C66" s="8" t="s">
        <v>89</v>
      </c>
      <c r="D66" s="9">
        <f>Orders!F66-Collection!H66</f>
        <v>3000</v>
      </c>
    </row>
    <row r="67" spans="1:4">
      <c r="A67" s="7" t="s">
        <v>90</v>
      </c>
      <c r="B67" s="7"/>
      <c r="C67" s="8" t="s">
        <v>91</v>
      </c>
      <c r="D67" s="9">
        <f>Orders!F67-Collection!H67</f>
        <v>2500</v>
      </c>
    </row>
    <row r="68" spans="1:4">
      <c r="A68" s="7" t="s">
        <v>92</v>
      </c>
      <c r="B68" s="7"/>
      <c r="C68" s="8" t="s">
        <v>93</v>
      </c>
      <c r="D68" s="9">
        <f>Orders!F68-Collection!H68</f>
        <v>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/>
      <c r="C71" s="8" t="s">
        <v>96</v>
      </c>
      <c r="D71" s="9">
        <f>Orders!F71-Collection!H71</f>
        <v>1000</v>
      </c>
    </row>
    <row r="72" spans="1:4">
      <c r="A72" s="7" t="s">
        <v>92</v>
      </c>
      <c r="B72" s="7"/>
      <c r="C72" s="8" t="s">
        <v>97</v>
      </c>
      <c r="D72" s="9">
        <f>Orders!F72-Collection!H72</f>
        <v>5000</v>
      </c>
    </row>
    <row r="73" spans="1:4">
      <c r="A73" s="7" t="s">
        <v>92</v>
      </c>
      <c r="B73" s="7"/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4000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/>
      <c r="C76" s="8" t="s">
        <v>101</v>
      </c>
      <c r="D76" s="9">
        <f>Orders!F76-Collection!H76</f>
        <v>1000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2900</v>
      </c>
    </row>
    <row r="78" spans="1:4">
      <c r="A78" s="7" t="s">
        <v>102</v>
      </c>
      <c r="B78" s="7"/>
      <c r="C78" s="8" t="s">
        <v>104</v>
      </c>
      <c r="D78" s="9">
        <f>Orders!F78-Collection!H78</f>
        <v>0</v>
      </c>
    </row>
    <row r="79" spans="1:4">
      <c r="A79" s="7" t="s">
        <v>102</v>
      </c>
      <c r="B79" s="7"/>
      <c r="C79" s="8" t="s">
        <v>105</v>
      </c>
      <c r="D79" s="9">
        <f>Orders!F79-Collection!H79</f>
        <v>500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1000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/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/>
      <c r="C85" s="8" t="s">
        <v>114</v>
      </c>
      <c r="D85" s="9">
        <f>Orders!F85-Collection!H85</f>
        <v>10000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-2000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/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2021-02-22T03:22:09Z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